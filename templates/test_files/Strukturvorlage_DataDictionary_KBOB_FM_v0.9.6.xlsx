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DieseArbeitsmappe" defaultThemeVersion="202300"/>
  <mc:AlternateContent xmlns:mc="http://schemas.openxmlformats.org/markup-compatibility/2006">
    <mc:Choice Requires="x15">
      <x15ac:absPath xmlns:x15ac="http://schemas.microsoft.com/office/spreadsheetml/2010/11/ac" url="https://pomplus.sharepoint.com/sites/P110836_BUNDESAMTFRBAUTENUNDLOGISTIKBBLKBOBOBJEKTBEWIRTSCHAF/Freigegebene Dokumente/General/Berichte/Fachdatenkatalog_FM/07_DD FM/"/>
    </mc:Choice>
  </mc:AlternateContent>
  <xr:revisionPtr revIDLastSave="1852" documentId="8_{349AD43B-7F28-4BF3-9DDD-3C7B86B3F28E}" xr6:coauthVersionLast="47" xr6:coauthVersionMax="47" xr10:uidLastSave="{33090A10-B0AB-4A9C-98F3-286B219CFE4F}"/>
  <bookViews>
    <workbookView xWindow="-23955" yWindow="-21720" windowWidth="38640" windowHeight="21120" tabRatio="525" activeTab="9" xr2:uid="{00000000-000D-0000-FFFF-FFFF00000000}"/>
  </bookViews>
  <sheets>
    <sheet name="Impressum" sheetId="1" r:id="rId1"/>
    <sheet name="Anleitung" sheetId="2" r:id="rId2"/>
    <sheet name="Header" sheetId="3" r:id="rId3"/>
    <sheet name="Dictionary_public" sheetId="4" r:id="rId4"/>
    <sheet name="Classes" sheetId="5" r:id="rId5"/>
    <sheet name="Properties" sheetId="6" r:id="rId6"/>
    <sheet name="Values" sheetId="7" r:id="rId7"/>
    <sheet name="Documents" sheetId="8" r:id="rId8"/>
    <sheet name="GroupOfProperties" sheetId="9" r:id="rId9"/>
    <sheet name="Data_Template" sheetId="10" r:id="rId10"/>
    <sheet name="Gelöschte Bauteile" sheetId="11" state="hidden" r:id="rId11"/>
    <sheet name="Rules" sheetId="12" r:id="rId12"/>
  </sheets>
  <definedNames>
    <definedName name="_xlnm._FilterDatabase" localSheetId="8" hidden="1">GroupOfProperties!$A$2:$N$22</definedName>
    <definedName name="_xlnm._FilterDatabase" localSheetId="5" hidden="1">Properties!$A$1:$AH$183</definedName>
    <definedName name="Affectation_de_classe">Rules!$C$2:$C$47</definedName>
    <definedName name="Assegnazione_della_classe">Rules!$D$2:$D$47</definedName>
    <definedName name="Assegnazione_della_proprieta">Rules!$H$2:$H$47</definedName>
    <definedName name="Attribution_de_propriete">Rules!$G$2:$G$47</definedName>
    <definedName name="DataType">Rules!$I$2:$I$47</definedName>
    <definedName name="FAIR_Prinzipien">Rules!$M$2:$M$47</definedName>
    <definedName name="IFC_Data_Type">Rules!$J$2:$J$47</definedName>
    <definedName name="ISG___Informationssicherheitsgesetz">Rules!$L$2:$L$47</definedName>
    <definedName name="Klassen_Zuordnung">Rules!$B$2:$B$47</definedName>
    <definedName name="Klassifikation">Rules!$B$2:$B$47</definedName>
    <definedName name="LifecycleStatus">Rules!$N$2:$N$47</definedName>
    <definedName name="Markmals_Klassifikation">Rules!$F$2:$F$47</definedName>
    <definedName name="Merkmals_Zuordnung">Rules!$F$2:$F$47</definedName>
    <definedName name="Objekt_Einordnung">Rules!$A$2:$A$47</definedName>
    <definedName name="Property_Classification">Rules!$E$2:$E$47</definedName>
    <definedName name="Status">Rules!$K$2:$K$47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3" i="6" l="1"/>
  <c r="I83" i="6"/>
  <c r="H83" i="6"/>
  <c r="J76" i="6"/>
  <c r="I76" i="6"/>
  <c r="H76" i="6"/>
  <c r="H111" i="6"/>
  <c r="I111" i="6"/>
  <c r="J111" i="6"/>
  <c r="H112" i="6"/>
  <c r="I112" i="6"/>
  <c r="J112" i="6"/>
  <c r="H51" i="6"/>
  <c r="I51" i="6"/>
  <c r="J51" i="6"/>
  <c r="H52" i="6"/>
  <c r="I52" i="6"/>
  <c r="J52" i="6"/>
  <c r="H53" i="6"/>
  <c r="I53" i="6"/>
  <c r="J53" i="6"/>
  <c r="H54" i="6"/>
  <c r="I54" i="6"/>
  <c r="J54" i="6"/>
  <c r="H55" i="6"/>
  <c r="I55" i="6"/>
  <c r="J55" i="6"/>
  <c r="H17" i="6"/>
  <c r="I17" i="6"/>
  <c r="J17" i="6"/>
  <c r="H19" i="6"/>
  <c r="I19" i="6"/>
  <c r="J19" i="6"/>
  <c r="H20" i="6"/>
  <c r="I20" i="6"/>
  <c r="J20" i="6"/>
  <c r="H21" i="6"/>
  <c r="I21" i="6"/>
  <c r="J21" i="6"/>
  <c r="H22" i="6"/>
  <c r="I22" i="6"/>
  <c r="J22" i="6"/>
  <c r="H23" i="6"/>
  <c r="I23" i="6"/>
  <c r="J23" i="6"/>
  <c r="H24" i="6"/>
  <c r="I24" i="6"/>
  <c r="J24" i="6"/>
  <c r="H25" i="6"/>
  <c r="I25" i="6"/>
  <c r="J25" i="6"/>
  <c r="H26" i="6"/>
  <c r="I26" i="6"/>
  <c r="J26" i="6"/>
  <c r="J86" i="6"/>
  <c r="I86" i="6"/>
  <c r="H86" i="6"/>
  <c r="BE11" i="11"/>
  <c r="BE10" i="11"/>
  <c r="BE9" i="11"/>
  <c r="BE8" i="11"/>
  <c r="BE7" i="11"/>
  <c r="BE6" i="11"/>
  <c r="BE5" i="11"/>
  <c r="BE4" i="11"/>
  <c r="BE3" i="11"/>
  <c r="BE2" i="11"/>
  <c r="BE1" i="11"/>
  <c r="N24" i="5"/>
  <c r="M24" i="5"/>
  <c r="L24" i="5"/>
  <c r="N23" i="5"/>
  <c r="M23" i="5"/>
  <c r="L23" i="5"/>
  <c r="N22" i="5"/>
  <c r="M22" i="5"/>
  <c r="L22" i="5"/>
  <c r="N21" i="5"/>
  <c r="M21" i="5"/>
  <c r="L21" i="5"/>
  <c r="N20" i="5"/>
  <c r="M20" i="5"/>
  <c r="L20" i="5"/>
  <c r="N19" i="5"/>
  <c r="M19" i="5"/>
  <c r="L19" i="5"/>
  <c r="N18" i="5"/>
  <c r="M18" i="5"/>
  <c r="L18" i="5"/>
  <c r="N17" i="5"/>
  <c r="M17" i="5"/>
  <c r="L17" i="5"/>
  <c r="N16" i="5"/>
  <c r="M16" i="5"/>
  <c r="L16" i="5"/>
  <c r="N15" i="5"/>
  <c r="M15" i="5"/>
  <c r="L15" i="5"/>
  <c r="N14" i="5"/>
  <c r="M14" i="5"/>
  <c r="L14" i="5"/>
  <c r="N13" i="5"/>
  <c r="M13" i="5"/>
  <c r="L13" i="5"/>
  <c r="N12" i="5"/>
  <c r="M12" i="5"/>
  <c r="L12" i="5"/>
  <c r="N9" i="5"/>
  <c r="M9" i="5"/>
  <c r="L9" i="5"/>
  <c r="N8" i="5"/>
  <c r="M8" i="5"/>
  <c r="L8" i="5"/>
  <c r="N7" i="5"/>
  <c r="M7" i="5"/>
  <c r="L7" i="5"/>
  <c r="J183" i="6"/>
  <c r="I183" i="6"/>
  <c r="H183" i="6"/>
  <c r="J182" i="6"/>
  <c r="I182" i="6"/>
  <c r="H182" i="6"/>
  <c r="J181" i="6"/>
  <c r="I181" i="6"/>
  <c r="H181" i="6"/>
  <c r="J180" i="6"/>
  <c r="I180" i="6"/>
  <c r="H180" i="6"/>
  <c r="J179" i="6"/>
  <c r="I179" i="6"/>
  <c r="H179" i="6"/>
  <c r="J178" i="6"/>
  <c r="I178" i="6"/>
  <c r="H178" i="6"/>
  <c r="J177" i="6"/>
  <c r="I177" i="6"/>
  <c r="H177" i="6"/>
  <c r="J176" i="6"/>
  <c r="I176" i="6"/>
  <c r="H176" i="6"/>
  <c r="J175" i="6"/>
  <c r="I175" i="6"/>
  <c r="H175" i="6"/>
  <c r="J174" i="6"/>
  <c r="I174" i="6"/>
  <c r="H174" i="6"/>
  <c r="J173" i="6"/>
  <c r="I173" i="6"/>
  <c r="H173" i="6"/>
  <c r="J172" i="6"/>
  <c r="I172" i="6"/>
  <c r="H172" i="6"/>
  <c r="J171" i="6"/>
  <c r="I171" i="6"/>
  <c r="H171" i="6"/>
  <c r="J170" i="6"/>
  <c r="I170" i="6"/>
  <c r="H170" i="6"/>
  <c r="J169" i="6"/>
  <c r="I169" i="6"/>
  <c r="H169" i="6"/>
  <c r="J168" i="6"/>
  <c r="I168" i="6"/>
  <c r="H168" i="6"/>
  <c r="J167" i="6"/>
  <c r="I167" i="6"/>
  <c r="H167" i="6"/>
  <c r="J166" i="6"/>
  <c r="I166" i="6"/>
  <c r="H166" i="6"/>
  <c r="J165" i="6"/>
  <c r="I165" i="6"/>
  <c r="H165" i="6"/>
  <c r="J164" i="6"/>
  <c r="I164" i="6"/>
  <c r="H164" i="6"/>
  <c r="J163" i="6"/>
  <c r="I163" i="6"/>
  <c r="H163" i="6"/>
  <c r="J162" i="6"/>
  <c r="I162" i="6"/>
  <c r="H162" i="6"/>
  <c r="J161" i="6"/>
  <c r="I161" i="6"/>
  <c r="H161" i="6"/>
  <c r="J160" i="6"/>
  <c r="I160" i="6"/>
  <c r="H160" i="6"/>
  <c r="J159" i="6"/>
  <c r="I159" i="6"/>
  <c r="H159" i="6"/>
  <c r="J158" i="6"/>
  <c r="I158" i="6"/>
  <c r="H158" i="6"/>
  <c r="J157" i="6"/>
  <c r="I157" i="6"/>
  <c r="H157" i="6"/>
  <c r="J156" i="6"/>
  <c r="I156" i="6"/>
  <c r="H156" i="6"/>
  <c r="J155" i="6"/>
  <c r="I155" i="6"/>
  <c r="H155" i="6"/>
  <c r="J154" i="6"/>
  <c r="I154" i="6"/>
  <c r="H154" i="6"/>
  <c r="J153" i="6"/>
  <c r="I153" i="6"/>
  <c r="H153" i="6"/>
  <c r="J152" i="6"/>
  <c r="I152" i="6"/>
  <c r="H152" i="6"/>
  <c r="J151" i="6"/>
  <c r="I151" i="6"/>
  <c r="H151" i="6"/>
  <c r="J150" i="6"/>
  <c r="I150" i="6"/>
  <c r="H150" i="6"/>
  <c r="J149" i="6"/>
  <c r="I149" i="6"/>
  <c r="H149" i="6"/>
  <c r="J148" i="6"/>
  <c r="I148" i="6"/>
  <c r="H148" i="6"/>
  <c r="J147" i="6"/>
  <c r="I147" i="6"/>
  <c r="H147" i="6"/>
  <c r="J146" i="6"/>
  <c r="I146" i="6"/>
  <c r="H146" i="6"/>
  <c r="J145" i="6"/>
  <c r="I145" i="6"/>
  <c r="H145" i="6"/>
  <c r="J144" i="6"/>
  <c r="I144" i="6"/>
  <c r="H144" i="6"/>
  <c r="J143" i="6"/>
  <c r="I143" i="6"/>
  <c r="H143" i="6"/>
  <c r="J142" i="6"/>
  <c r="I142" i="6"/>
  <c r="H142" i="6"/>
  <c r="J141" i="6"/>
  <c r="I141" i="6"/>
  <c r="H141" i="6"/>
  <c r="J140" i="6"/>
  <c r="I140" i="6"/>
  <c r="H140" i="6"/>
  <c r="J139" i="6"/>
  <c r="I139" i="6"/>
  <c r="H139" i="6"/>
  <c r="J138" i="6"/>
  <c r="I138" i="6"/>
  <c r="H138" i="6"/>
  <c r="J137" i="6"/>
  <c r="I137" i="6"/>
  <c r="H137" i="6"/>
  <c r="J136" i="6"/>
  <c r="I136" i="6"/>
  <c r="H136" i="6"/>
  <c r="J135" i="6"/>
  <c r="I135" i="6"/>
  <c r="H135" i="6"/>
  <c r="J134" i="6"/>
  <c r="I134" i="6"/>
  <c r="H134" i="6"/>
  <c r="J133" i="6"/>
  <c r="I133" i="6"/>
  <c r="H133" i="6"/>
  <c r="J132" i="6"/>
  <c r="I132" i="6"/>
  <c r="H132" i="6"/>
  <c r="J131" i="6"/>
  <c r="I131" i="6"/>
  <c r="H131" i="6"/>
  <c r="J130" i="6"/>
  <c r="I130" i="6"/>
  <c r="H130" i="6"/>
  <c r="J129" i="6"/>
  <c r="I129" i="6"/>
  <c r="H129" i="6"/>
  <c r="J128" i="6"/>
  <c r="I128" i="6"/>
  <c r="H128" i="6"/>
  <c r="J127" i="6"/>
  <c r="I127" i="6"/>
  <c r="H127" i="6"/>
  <c r="J126" i="6"/>
  <c r="I126" i="6"/>
  <c r="H126" i="6"/>
  <c r="J125" i="6"/>
  <c r="I125" i="6"/>
  <c r="H125" i="6"/>
  <c r="J124" i="6"/>
  <c r="I124" i="6"/>
  <c r="H124" i="6"/>
  <c r="J123" i="6"/>
  <c r="I123" i="6"/>
  <c r="H123" i="6"/>
  <c r="J122" i="6"/>
  <c r="I122" i="6"/>
  <c r="H122" i="6"/>
  <c r="J121" i="6"/>
  <c r="I121" i="6"/>
  <c r="H121" i="6"/>
  <c r="J120" i="6"/>
  <c r="I120" i="6"/>
  <c r="H120" i="6"/>
  <c r="J119" i="6"/>
  <c r="I119" i="6"/>
  <c r="H119" i="6"/>
  <c r="J118" i="6"/>
  <c r="I118" i="6"/>
  <c r="H118" i="6"/>
  <c r="J117" i="6"/>
  <c r="I117" i="6"/>
  <c r="H117" i="6"/>
  <c r="J116" i="6"/>
  <c r="I116" i="6"/>
  <c r="H116" i="6"/>
  <c r="J115" i="6"/>
  <c r="I115" i="6"/>
  <c r="H115" i="6"/>
  <c r="J114" i="6"/>
  <c r="I114" i="6"/>
  <c r="H114" i="6"/>
  <c r="J113" i="6"/>
  <c r="I113" i="6"/>
  <c r="H113" i="6"/>
  <c r="J110" i="6"/>
  <c r="I110" i="6"/>
  <c r="H110" i="6"/>
  <c r="J109" i="6"/>
  <c r="I109" i="6"/>
  <c r="H109" i="6"/>
  <c r="J108" i="6"/>
  <c r="I108" i="6"/>
  <c r="H108" i="6"/>
  <c r="J107" i="6"/>
  <c r="I107" i="6"/>
  <c r="H107" i="6"/>
  <c r="J106" i="6"/>
  <c r="I106" i="6"/>
  <c r="H106" i="6"/>
  <c r="J105" i="6"/>
  <c r="I105" i="6"/>
  <c r="H105" i="6"/>
  <c r="J104" i="6"/>
  <c r="I104" i="6"/>
  <c r="H104" i="6"/>
  <c r="J103" i="6"/>
  <c r="I103" i="6"/>
  <c r="H103" i="6"/>
  <c r="J102" i="6"/>
  <c r="I102" i="6"/>
  <c r="H102" i="6"/>
  <c r="J101" i="6"/>
  <c r="I101" i="6"/>
  <c r="H101" i="6"/>
  <c r="J100" i="6"/>
  <c r="I100" i="6"/>
  <c r="H100" i="6"/>
  <c r="J99" i="6"/>
  <c r="I99" i="6"/>
  <c r="H99" i="6"/>
  <c r="J98" i="6"/>
  <c r="I98" i="6"/>
  <c r="H98" i="6"/>
  <c r="J97" i="6"/>
  <c r="I97" i="6"/>
  <c r="H97" i="6"/>
  <c r="J96" i="6"/>
  <c r="I96" i="6"/>
  <c r="H96" i="6"/>
  <c r="J95" i="6"/>
  <c r="I95" i="6"/>
  <c r="H95" i="6"/>
  <c r="J94" i="6"/>
  <c r="I94" i="6"/>
  <c r="H94" i="6"/>
  <c r="J93" i="6"/>
  <c r="I93" i="6"/>
  <c r="H93" i="6"/>
  <c r="J92" i="6"/>
  <c r="I92" i="6"/>
  <c r="H92" i="6"/>
  <c r="J91" i="6"/>
  <c r="I91" i="6"/>
  <c r="H91" i="6"/>
  <c r="J90" i="6"/>
  <c r="I90" i="6"/>
  <c r="H90" i="6"/>
  <c r="J89" i="6"/>
  <c r="I89" i="6"/>
  <c r="H89" i="6"/>
  <c r="J88" i="6"/>
  <c r="I88" i="6"/>
  <c r="H88" i="6"/>
  <c r="J87" i="6"/>
  <c r="I87" i="6"/>
  <c r="H87" i="6"/>
  <c r="J85" i="6"/>
  <c r="I85" i="6"/>
  <c r="H85" i="6"/>
  <c r="J81" i="6"/>
  <c r="I81" i="6"/>
  <c r="H81" i="6"/>
  <c r="J80" i="6"/>
  <c r="I80" i="6"/>
  <c r="H80" i="6"/>
  <c r="J79" i="6"/>
  <c r="I79" i="6"/>
  <c r="H79" i="6"/>
  <c r="J77" i="6"/>
  <c r="I77" i="6"/>
  <c r="H77" i="6"/>
  <c r="J75" i="6"/>
  <c r="I75" i="6"/>
  <c r="H75" i="6"/>
  <c r="J74" i="6"/>
  <c r="I74" i="6"/>
  <c r="H74" i="6"/>
  <c r="J73" i="6"/>
  <c r="I73" i="6"/>
  <c r="H73" i="6"/>
  <c r="J72" i="6"/>
  <c r="I72" i="6"/>
  <c r="H72" i="6"/>
  <c r="J71" i="6"/>
  <c r="I71" i="6"/>
  <c r="H71" i="6"/>
  <c r="J70" i="6"/>
  <c r="I70" i="6"/>
  <c r="H70" i="6"/>
  <c r="J69" i="6"/>
  <c r="I69" i="6"/>
  <c r="H69" i="6"/>
  <c r="J68" i="6"/>
  <c r="I68" i="6"/>
  <c r="H68" i="6"/>
  <c r="J67" i="6"/>
  <c r="I67" i="6"/>
  <c r="H67" i="6"/>
  <c r="J66" i="6"/>
  <c r="I66" i="6"/>
  <c r="H66" i="6"/>
  <c r="J65" i="6"/>
  <c r="I65" i="6"/>
  <c r="H65" i="6"/>
  <c r="J64" i="6"/>
  <c r="I64" i="6"/>
  <c r="H64" i="6"/>
  <c r="J63" i="6"/>
  <c r="I63" i="6"/>
  <c r="H63" i="6"/>
  <c r="J62" i="6"/>
  <c r="I62" i="6"/>
  <c r="H62" i="6"/>
  <c r="J61" i="6"/>
  <c r="I61" i="6"/>
  <c r="H61" i="6"/>
  <c r="J60" i="6"/>
  <c r="I60" i="6"/>
  <c r="H60" i="6"/>
  <c r="J59" i="6"/>
  <c r="I59" i="6"/>
  <c r="H59" i="6"/>
  <c r="J58" i="6"/>
  <c r="I58" i="6"/>
  <c r="H58" i="6"/>
  <c r="J57" i="6"/>
  <c r="I57" i="6"/>
  <c r="H57" i="6"/>
  <c r="J56" i="6"/>
  <c r="I56" i="6"/>
  <c r="H56" i="6"/>
  <c r="J50" i="6"/>
  <c r="I50" i="6"/>
  <c r="H50" i="6"/>
  <c r="J49" i="6"/>
  <c r="I49" i="6"/>
  <c r="H49" i="6"/>
  <c r="J48" i="6"/>
  <c r="I48" i="6"/>
  <c r="H48" i="6"/>
  <c r="J47" i="6"/>
  <c r="I47" i="6"/>
  <c r="H47" i="6"/>
  <c r="J46" i="6"/>
  <c r="I46" i="6"/>
  <c r="H46" i="6"/>
  <c r="J45" i="6"/>
  <c r="I45" i="6"/>
  <c r="H45" i="6"/>
  <c r="J44" i="6"/>
  <c r="I44" i="6"/>
  <c r="H44" i="6"/>
  <c r="J43" i="6"/>
  <c r="I43" i="6"/>
  <c r="H43" i="6"/>
  <c r="J42" i="6"/>
  <c r="I42" i="6"/>
  <c r="H42" i="6"/>
  <c r="J41" i="6"/>
  <c r="I41" i="6"/>
  <c r="H41" i="6"/>
  <c r="J40" i="6"/>
  <c r="I40" i="6"/>
  <c r="H40" i="6"/>
  <c r="J39" i="6"/>
  <c r="I39" i="6"/>
  <c r="H39" i="6"/>
  <c r="J38" i="6"/>
  <c r="I38" i="6"/>
  <c r="H38" i="6"/>
  <c r="J37" i="6"/>
  <c r="I37" i="6"/>
  <c r="H37" i="6"/>
  <c r="J36" i="6"/>
  <c r="I36" i="6"/>
  <c r="H36" i="6"/>
  <c r="J35" i="6"/>
  <c r="I35" i="6"/>
  <c r="H35" i="6"/>
  <c r="J34" i="6"/>
  <c r="I34" i="6"/>
  <c r="H34" i="6"/>
  <c r="J33" i="6"/>
  <c r="I33" i="6"/>
  <c r="H33" i="6"/>
  <c r="J32" i="6"/>
  <c r="I32" i="6"/>
  <c r="H32" i="6"/>
  <c r="J18" i="6"/>
  <c r="I18" i="6"/>
  <c r="H18" i="6"/>
  <c r="J31" i="6"/>
  <c r="I31" i="6"/>
  <c r="H31" i="6"/>
  <c r="J30" i="6"/>
  <c r="I30" i="6"/>
  <c r="H30" i="6"/>
  <c r="J29" i="6"/>
  <c r="I29" i="6"/>
  <c r="H29" i="6"/>
  <c r="J28" i="6"/>
  <c r="I28" i="6"/>
  <c r="H28" i="6"/>
  <c r="J27" i="6"/>
  <c r="I27" i="6"/>
  <c r="H27" i="6"/>
  <c r="J16" i="6"/>
  <c r="I16" i="6"/>
  <c r="H16" i="6"/>
  <c r="J15" i="6"/>
  <c r="I15" i="6"/>
  <c r="H15" i="6"/>
  <c r="J14" i="6"/>
  <c r="I14" i="6"/>
  <c r="H14" i="6"/>
  <c r="J13" i="6"/>
  <c r="I13" i="6"/>
  <c r="H13" i="6"/>
  <c r="J12" i="6"/>
  <c r="I12" i="6"/>
  <c r="H12" i="6"/>
  <c r="J11" i="6"/>
  <c r="I11" i="6"/>
  <c r="H11" i="6"/>
  <c r="J10" i="6"/>
  <c r="I10" i="6"/>
  <c r="H10" i="6"/>
  <c r="J9" i="6"/>
  <c r="I9" i="6"/>
  <c r="H9" i="6"/>
  <c r="J8" i="6"/>
  <c r="I8" i="6"/>
  <c r="H8" i="6"/>
  <c r="J7" i="6"/>
  <c r="I7" i="6"/>
  <c r="H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tc={F60684EB-6F87-4B2E-A6AD-3B77231CEF9A}</author>
  </authors>
  <commentList>
    <comment ref="AI7" authorId="0" shapeId="0" xr:uid="{F60684EB-6F87-4B2E-A6AD-3B77231CEF9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Kein offizielles Dokument sonder Arbeitsdokument von pom+. 
Dokument von KBOB?</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A00-000001000000}">
      <text>
        <r>
          <rPr>
            <sz val="11"/>
            <color theme="1"/>
            <rFont val="Aptos Narrow"/>
            <family val="2"/>
            <scheme val="minor"/>
          </rPr>
          <t>Schlammabscheider?</t>
        </r>
      </text>
    </comment>
    <comment ref="L9" authorId="0" shapeId="0" xr:uid="{00000000-0006-0000-0A00-000002000000}">
      <text>
        <r>
          <rPr>
            <sz val="11"/>
            <color theme="1"/>
            <rFont val="Aptos Narrow"/>
            <family val="2"/>
            <scheme val="minor"/>
          </rPr>
          <t>Abgedeckt unter Rohverbinder oder sep. benötigt?</t>
        </r>
      </text>
    </comment>
    <comment ref="R11" authorId="0" shapeId="0" xr:uid="{00000000-0006-0000-0A00-000003000000}">
      <text>
        <r>
          <rPr>
            <sz val="11"/>
            <color theme="1"/>
            <rFont val="Aptos Narrow"/>
            <family val="2"/>
            <scheme val="minor"/>
          </rPr>
          <t>modelliert?</t>
        </r>
      </text>
    </comment>
  </commentList>
</comments>
</file>

<file path=xl/sharedStrings.xml><?xml version="1.0" encoding="utf-8"?>
<sst xmlns="http://schemas.openxmlformats.org/spreadsheetml/2006/main" count="3234" uniqueCount="1311">
  <si>
    <t>Filter</t>
  </si>
  <si>
    <t>Hinweise zur Handhabung</t>
  </si>
  <si>
    <t>Properties</t>
  </si>
  <si>
    <t>GUID/URI</t>
  </si>
  <si>
    <t>Property-ID</t>
  </si>
  <si>
    <t>Property-Code</t>
  </si>
  <si>
    <t>Property-Assignment</t>
  </si>
  <si>
    <t>Merkmals-Zuordnung (DE)</t>
  </si>
  <si>
    <t>Attribution de propriété (FR)</t>
  </si>
  <si>
    <t>Assegnazione della proprietà (IT)</t>
  </si>
  <si>
    <t>Designation (EN)</t>
  </si>
  <si>
    <t>Bezeichnung (DE)</t>
  </si>
  <si>
    <t>Désignation (FR)</t>
  </si>
  <si>
    <t>Designazione (IT)</t>
  </si>
  <si>
    <t>Description (EN)</t>
  </si>
  <si>
    <t>Beschreibung (DE)</t>
  </si>
  <si>
    <t>Description (FR)</t>
  </si>
  <si>
    <t>Descrizione (IT)</t>
  </si>
  <si>
    <t>DataType
(Base Type)</t>
  </si>
  <si>
    <t>DataType
(IFC)</t>
  </si>
  <si>
    <t>EnumerationDesignation (EN)</t>
  </si>
  <si>
    <t xml:space="preserve"> IFC 4.3.2.0 (IFC4X3_ADD2)</t>
  </si>
  <si>
    <t>IFC_URI</t>
  </si>
  <si>
    <t>IfcPropertySet (Pset)
IfcQuantitySet (Qto)</t>
  </si>
  <si>
    <t>Units/Einheit/Unité/Unità</t>
  </si>
  <si>
    <t>QUDT URI</t>
  </si>
  <si>
    <t>Unit Name (EN)</t>
  </si>
  <si>
    <t>Einheit-Name (DE)</t>
  </si>
  <si>
    <t>Nom de l’unité (FR)</t>
  </si>
  <si>
    <t>Nome unità (IT)</t>
  </si>
  <si>
    <t>Governance</t>
  </si>
  <si>
    <t>Status</t>
  </si>
  <si>
    <t>Version date</t>
  </si>
  <si>
    <t>Provenance (PROV)</t>
  </si>
  <si>
    <t>Erforderlich für Excel</t>
  </si>
  <si>
    <t>yes</t>
  </si>
  <si>
    <t>Sprachen</t>
  </si>
  <si>
    <t>Referenziert / System generiert</t>
  </si>
  <si>
    <t>multilingual</t>
  </si>
  <si>
    <t>DE</t>
  </si>
  <si>
    <t>FR</t>
  </si>
  <si>
    <t>IT</t>
  </si>
  <si>
    <t>EN</t>
  </si>
  <si>
    <t>Dropdown Liste</t>
  </si>
  <si>
    <t>referenced</t>
  </si>
  <si>
    <t>system-generated</t>
  </si>
  <si>
    <t>Validierung</t>
  </si>
  <si>
    <t>Rules.Property-Assignment</t>
  </si>
  <si>
    <t>Rules.Merkmals-Zuordnung</t>
  </si>
  <si>
    <t>Rules.Attribution de propriété</t>
  </si>
  <si>
    <t>Rules.Assegnazione della proprietà</t>
  </si>
  <si>
    <t>Rules.DataType</t>
  </si>
  <si>
    <t>Rules.IFC Data Type</t>
  </si>
  <si>
    <t>Rules.Status</t>
  </si>
  <si>
    <t>guid</t>
  </si>
  <si>
    <t>GUID</t>
  </si>
  <si>
    <t>Property for uniquely identifying the object by means of a global unique identifier (GUID).</t>
  </si>
  <si>
    <t>Merkmal zur eindeutigen Identifikation des Objekts mittels Global Unique Identifier (GUID).</t>
  </si>
  <si>
    <t>STRING</t>
  </si>
  <si>
    <t>IfcLabel</t>
  </si>
  <si>
    <t>https://identifier.buildingsmart.org/uri/buildingsmart/ifc/4.3/prop/GlobalId</t>
  </si>
  <si>
    <t>Candidate</t>
  </si>
  <si>
    <t>2026-06-30T12:00:00Z</t>
  </si>
  <si>
    <t>KBOB</t>
  </si>
  <si>
    <t>Site ID</t>
  </si>
  <si>
    <t>Grundstück ID</t>
  </si>
  <si>
    <t>Property for uniquely identifying sites.</t>
  </si>
  <si>
    <t>Merkmal zur eindeutigen Identifikation von Grundstücken.</t>
  </si>
  <si>
    <t>https://identifier.buildingsmart.org/uri/buildingsmart/ifc/4.3/prop/LandID</t>
  </si>
  <si>
    <t>https://identifier.buildingsmart.org/uri/buildingsmart/ifc/4.3/class/Pset_LandRegistration</t>
  </si>
  <si>
    <t>wirtschaftseinheit-id</t>
  </si>
  <si>
    <t>Wirtschaftseinheit ID</t>
  </si>
  <si>
    <t>Property for uniquely identifying economic units.</t>
  </si>
  <si>
    <t>Merkmal zur eindeutigen Identifikation von Wirtschaftseinheiten.</t>
  </si>
  <si>
    <t>https://identifier.buildingsmart.org/uri/buildingsmart/ifc/4.3/prop/LandTitleID</t>
  </si>
  <si>
    <t>ort</t>
  </si>
  <si>
    <t>Location</t>
  </si>
  <si>
    <t>Ort</t>
  </si>
  <si>
    <t>Property for specifying the location.</t>
  </si>
  <si>
    <t>Merkmal zur Angabe von dem Ort.</t>
  </si>
  <si>
    <t>https://identifier.buildingsmart.org/uri/buildingsmart/ifc/4.3/prop/Town</t>
  </si>
  <si>
    <t>https://identifier.buildingsmart.org/uri/buildingsmart/ifc/4.3/class/Pset_Address</t>
  </si>
  <si>
    <t>Designation</t>
  </si>
  <si>
    <t>Bezeichnung</t>
  </si>
  <si>
    <t>https://identifier.buildingsmart.org/uri/buildingsmart/ifc/4.3/prop/Name</t>
  </si>
  <si>
    <t>landeskurzel</t>
  </si>
  <si>
    <t>Country code</t>
  </si>
  <si>
    <t>Landeskürzel</t>
  </si>
  <si>
    <t>Property for specifying the country code.</t>
  </si>
  <si>
    <t>Merkmal zur Angabe von dem Landeskürzel.</t>
  </si>
  <si>
    <t>https://identifier.buildingsmart.org/uri/buildingsmart/ifc/4.3/prop/Country</t>
  </si>
  <si>
    <t>kanton</t>
  </si>
  <si>
    <t>Canton</t>
  </si>
  <si>
    <t>Kanton</t>
  </si>
  <si>
    <t>Property for specifying the canton.</t>
  </si>
  <si>
    <t>Merkmal zur Angabe von dem Kanton.</t>
  </si>
  <si>
    <t>https://identifier.buildingsmart.org/uri/buildingsmart/ifc/4.3/prop/Region</t>
  </si>
  <si>
    <t>postleitzahl</t>
  </si>
  <si>
    <t>Postleitzahl</t>
  </si>
  <si>
    <t>Merkmal zur Angabe von der Postleitzahl.</t>
  </si>
  <si>
    <t>INTEGER</t>
  </si>
  <si>
    <t>https://identifier.buildingsmart.org/uri/buildingsmart/ifc/4.3/prop/PostalCode</t>
  </si>
  <si>
    <t>politische-gemeinde</t>
  </si>
  <si>
    <t>Political municipality</t>
  </si>
  <si>
    <t>Politische Gemeinde</t>
  </si>
  <si>
    <t>Merkmal zur Angabe von der politischen Gemeinde.</t>
  </si>
  <si>
    <t>gis-parzellennummer</t>
  </si>
  <si>
    <t>GIS parcel number</t>
  </si>
  <si>
    <t>GIS-Parzellennummer</t>
  </si>
  <si>
    <t>Property for specifying the GIS parcel number.</t>
  </si>
  <si>
    <t>Merkmal zur Angabe von der GIS-Parzellennummer.</t>
  </si>
  <si>
    <t>grundstucksflache</t>
  </si>
  <si>
    <t>Site area</t>
  </si>
  <si>
    <t>Grundstücksfläche</t>
  </si>
  <si>
    <t>Property for specifying the site area.</t>
  </si>
  <si>
    <t>Merkmal zur Angabe der Grundstücksfläche.</t>
  </si>
  <si>
    <t>REAL</t>
  </si>
  <si>
    <t>IfcAreaMeasure</t>
  </si>
  <si>
    <t>https://identifier.buildingsmart.org/uri/buildingsmart/ifc/4.3/prop/GrossArea</t>
  </si>
  <si>
    <t>https://identifier.buildingsmart.org/uri/buildingsmart/ifc/4.3/class/Qto_SiteBaseQuantities</t>
  </si>
  <si>
    <t>m²</t>
  </si>
  <si>
    <t>http://qudt.org/vocab/unit/M2</t>
  </si>
  <si>
    <t>Property for specifying the owner.</t>
  </si>
  <si>
    <t>dienstbarkeiten-id</t>
  </si>
  <si>
    <t>Easement ID</t>
  </si>
  <si>
    <t>Dienstbarkeiten ID</t>
  </si>
  <si>
    <t>Property for uniquely identifying easements.</t>
  </si>
  <si>
    <t>Merkmal zur eindeutigen Identifikation von Dienstbarkeiten.</t>
  </si>
  <si>
    <t>dienstbarkeitenname</t>
  </si>
  <si>
    <t>Easement name</t>
  </si>
  <si>
    <t>Dienstbarkeitenname</t>
  </si>
  <si>
    <t>Property for specifying the easement name.</t>
  </si>
  <si>
    <t>Merkmal zur Angabe von dem Namen der Dienstbarkeit.</t>
  </si>
  <si>
    <t>gebaude-id</t>
  </si>
  <si>
    <t>Building ID</t>
  </si>
  <si>
    <t>Gebäude ID</t>
  </si>
  <si>
    <t>https://identifier.buildingsmart.org/uri/buildingsmart/ifc/4.3/prop/BuildingID</t>
  </si>
  <si>
    <t>https://identifier.buildingsmart.org/uri/buildingsmart/ifc/4.3/class/Pset_BuildingCommon</t>
  </si>
  <si>
    <t>objekt-id</t>
  </si>
  <si>
    <t>Objekt ID</t>
  </si>
  <si>
    <t>Merkmal zur eindeutigen Identifikation von Objekten.</t>
  </si>
  <si>
    <t>gebaudebezeichnung</t>
  </si>
  <si>
    <t>Building designation</t>
  </si>
  <si>
    <t>Gebäudebezeichnung</t>
  </si>
  <si>
    <t>Property for specifying the building designation.</t>
  </si>
  <si>
    <t>Merkmal zur Angabe von der Gebäudebezeichnung.</t>
  </si>
  <si>
    <t>objekttyp</t>
  </si>
  <si>
    <t>Objekttyp</t>
  </si>
  <si>
    <t>Merkmal zur Angabe von dem Objekttyp.</t>
  </si>
  <si>
    <t>https://identifier.buildingsmart.org/uri/buildingsmart/ifc/4.3/prop/ObjectType</t>
  </si>
  <si>
    <t>strasse-hausnummer</t>
  </si>
  <si>
    <t>Strasse Hausnummer</t>
  </si>
  <si>
    <t>Merkmal zur Angabe von Strasse und Hausnummer.</t>
  </si>
  <si>
    <t>https://identifier.buildingsmart.org/uri/buildingsmart/ifc/4.3/prop/AddressLines</t>
  </si>
  <si>
    <t>https://identifier.buildingsmart.org/uri/buildingsmart/ifc/4.3/prop/ModelReference</t>
  </si>
  <si>
    <t>https://identifier.buildingsmart.org/uri/buildingsmart/ifc/4.3/class/Pset_ManufacturerTypeInformation</t>
  </si>
  <si>
    <t>gefahrdungsstufe</t>
  </si>
  <si>
    <t>Hazard level</t>
  </si>
  <si>
    <t>Gefährdungsstufe</t>
  </si>
  <si>
    <t>Property for specifying the hazard level.</t>
  </si>
  <si>
    <t>Merkmal zur Angabe von der Gefährdungsstufe.</t>
  </si>
  <si>
    <t>https://identifier.buildingsmart.org/uri/buildingsmart/ifc/4.3/prop/RiskType</t>
  </si>
  <si>
    <t>https://identifier.buildingsmart.org/uri/buildingsmart/ifc/4.3/class/Pset_Risk</t>
  </si>
  <si>
    <t>kostentrager</t>
  </si>
  <si>
    <t>Cost centre</t>
  </si>
  <si>
    <t>Kostenträger</t>
  </si>
  <si>
    <t>Property for specifying the cost centre.</t>
  </si>
  <si>
    <t>Merkmal zur Angabe von dem Kostenträger.</t>
  </si>
  <si>
    <t>gebaudegrundflache</t>
  </si>
  <si>
    <t>Building footprint area</t>
  </si>
  <si>
    <t>Gebäudegrundfläche</t>
  </si>
  <si>
    <t>Property for specifying the building footprint area.</t>
  </si>
  <si>
    <t>Merkmal zur Angabe der Gebäudegrundfläche.</t>
  </si>
  <si>
    <t>https://identifier.buildingsmart.org/uri/buildingsmart/ifc/4.3/prop/GrossFloorArea</t>
  </si>
  <si>
    <t>https://identifier.buildingsmart.org/uri/buildingsmart/ifc/4.3/class/Qto_BuildingBaseQuantities</t>
  </si>
  <si>
    <t>gebaudevolumen</t>
  </si>
  <si>
    <t>Gebäudevolumen</t>
  </si>
  <si>
    <t>Merkmal zur Angabe der dem Gebäudevolumen.</t>
  </si>
  <si>
    <t>IfcReal</t>
  </si>
  <si>
    <t>https://identifier.buildingsmart.org/uri/buildingsmart/ifc/4.3/prop/GrossVolume</t>
  </si>
  <si>
    <t>https://identifier.buildingsmart.org/uri/buildingsmart/ifc/4.3/class/Qto_BodyGeometryValidation</t>
  </si>
  <si>
    <t>m³</t>
  </si>
  <si>
    <t>http://qudt.org/vocab/unit/M3</t>
  </si>
  <si>
    <t>nummer-gebaudeversicherung</t>
  </si>
  <si>
    <t>Nummer Gebäudeversicherung</t>
  </si>
  <si>
    <t>Merkmal zur Angabe von der Nummer der Gebäudeversicherung.</t>
  </si>
  <si>
    <t>https://identifier.buildingsmart.org/uri/buildingsmart/ifc/4.3/prop/AssetInsuranceType</t>
  </si>
  <si>
    <t>https://identifier.buildingsmart.org/uri/buildingsmart/ifc/4.3/class/Pset_Asset</t>
  </si>
  <si>
    <t>baujahr</t>
  </si>
  <si>
    <t>Year of construction</t>
  </si>
  <si>
    <t>Baujahr</t>
  </si>
  <si>
    <t>Merkmal zur Angabe von dem Baujahr.</t>
  </si>
  <si>
    <t>https://identifier.buildingsmart.org/uri/buildingsmart/ifc/4.3/prop/YearOfConstruction</t>
  </si>
  <si>
    <t>eigentumer</t>
  </si>
  <si>
    <t>Owner</t>
  </si>
  <si>
    <t>Eigentümer</t>
  </si>
  <si>
    <t>Merkmal zur Angabe von dem Eigentümer.</t>
  </si>
  <si>
    <t>medienbezug-elektrisch</t>
  </si>
  <si>
    <t>Medienbezug Elektrisch</t>
  </si>
  <si>
    <t>Merkmal zur Angabe von dem elektrischen Medienbezug.</t>
  </si>
  <si>
    <t>medienbezug-wasser</t>
  </si>
  <si>
    <t>Medienbezug Wasser</t>
  </si>
  <si>
    <t>Merkmal zur Angabe von dem Wasserbezug.</t>
  </si>
  <si>
    <t>Medienbezug Heizung</t>
  </si>
  <si>
    <t>Merkmal zur Angabe von dem Heizungsbezug.</t>
  </si>
  <si>
    <t>nutzungsart-aussen</t>
  </si>
  <si>
    <t>Nutzungsart aussen</t>
  </si>
  <si>
    <t>Merkmal zur Angabe von der Nutzungsart im Aussenbereich.</t>
  </si>
  <si>
    <t>https://identifier.buildingsmart.org/uri/buildingsmart/ifc/4.3/prop/MarketCategory</t>
  </si>
  <si>
    <t>https://identifier.buildingsmart.org/uri/buildingsmart/ifc/4.3/class/Pset_BuildingUse</t>
  </si>
  <si>
    <t>gebaudeklasse</t>
  </si>
  <si>
    <t>Gebäudeklasse</t>
  </si>
  <si>
    <t>Merkmal zur Angabe von der Gebäudeklasse.</t>
  </si>
  <si>
    <t>https://identifier.buildingsmart.org/uri/buildingsmart/ifc/4.3/prop/OccupancyType</t>
  </si>
  <si>
    <t>https://identifier.buildingsmart.org/uri/buildingsmart/ifc/4.3/class/Pset_SpaceOccupancyRequirements</t>
  </si>
  <si>
    <t>gebaudelabel</t>
  </si>
  <si>
    <t>Building label</t>
  </si>
  <si>
    <t>Gebäudelabel</t>
  </si>
  <si>
    <t>Property for specifying the building label.</t>
  </si>
  <si>
    <t>Merkmal zur Angabe von dem Gebäudelabel.</t>
  </si>
  <si>
    <t>denkmalstatus</t>
  </si>
  <si>
    <t>Heritage status</t>
  </si>
  <si>
    <t>Denkmalstatus</t>
  </si>
  <si>
    <t>Property for specifying the heritage status.</t>
  </si>
  <si>
    <t>Merkmal zur Angabe von dem Denkmalstatus.</t>
  </si>
  <si>
    <t>https://identifier.buildingsmart.org/uri/buildingsmart/ifc/4.3/prop/IsLandmarked</t>
  </si>
  <si>
    <t>erdbebenbauwerksklasse</t>
  </si>
  <si>
    <t>Erdbebenbauwerksklasse</t>
  </si>
  <si>
    <t>Merkmal zur Angabe von der Erdbebenbauwerksklasse.</t>
  </si>
  <si>
    <t>https://identifier.buildingsmart.org/uri/buildingsmart/ifc/4.3/class/Pset_EnvironmentalCondition</t>
  </si>
  <si>
    <t>schutzzone</t>
  </si>
  <si>
    <t>Protection zone</t>
  </si>
  <si>
    <t>Schutzzone</t>
  </si>
  <si>
    <t>Property for specifying the protection zone.</t>
  </si>
  <si>
    <t>Merkmal zur Angabe von der Schutzzone.</t>
  </si>
  <si>
    <t>umgebungsflache-id</t>
  </si>
  <si>
    <t>Surrounding area ID</t>
  </si>
  <si>
    <t>Umgebungsfläche ID</t>
  </si>
  <si>
    <t>Merkmal zur eindeutigen Identifikation von Umgebungsflächen.</t>
  </si>
  <si>
    <t>umgebungsflachennummer</t>
  </si>
  <si>
    <t>Surrounding area number</t>
  </si>
  <si>
    <t>Umgebungsflächennummer</t>
  </si>
  <si>
    <t>Merkmal zur Angabe von der Umgebungsflächennummer.</t>
  </si>
  <si>
    <t>geschoss-id</t>
  </si>
  <si>
    <t>Geschoss ID</t>
  </si>
  <si>
    <t>Property for uniquely identifying storeys.</t>
  </si>
  <si>
    <t>Merkmal zur eindeutigen Identifikation von Geschossen.</t>
  </si>
  <si>
    <t>geschossbezeichnung</t>
  </si>
  <si>
    <t>Geschossbezeichnung</t>
  </si>
  <si>
    <t>Property for specifying the storey designation.</t>
  </si>
  <si>
    <t>Merkmal zur Angabe von der Geschossbezeichnung.</t>
  </si>
  <si>
    <t>geschossvolumen</t>
  </si>
  <si>
    <t>Geschossvolumen</t>
  </si>
  <si>
    <t>Property for specifying the the storey volume.</t>
  </si>
  <si>
    <t>Merkmal zur Angabe der dem Geschossvolumen.</t>
  </si>
  <si>
    <t>IfcVolumeMeasure</t>
  </si>
  <si>
    <t>geschosshohe</t>
  </si>
  <si>
    <t>Geschosshöhe</t>
  </si>
  <si>
    <t>Property for specifying the the storey height.</t>
  </si>
  <si>
    <t>Merkmal zur Angabe der der Geschosshöhe.</t>
  </si>
  <si>
    <t>IfcInteger</t>
  </si>
  <si>
    <t>https://identifier.buildingsmart.org/uri/buildingsmart/ifc/4.3/prop/NetHeight</t>
  </si>
  <si>
    <t>https://identifier.buildingsmart.org/uri/buildingsmart/ifc/4.3/class/Qto_BuildingStoreyBaseQuantities</t>
  </si>
  <si>
    <t>geschossflache</t>
  </si>
  <si>
    <t>Geschossfläche</t>
  </si>
  <si>
    <t>Property for specifying the the storey area.</t>
  </si>
  <si>
    <t>Merkmal zur Angabe der der Geschossfläche.</t>
  </si>
  <si>
    <t>aussengeschossflache</t>
  </si>
  <si>
    <t>Aussengeschossfläche</t>
  </si>
  <si>
    <t>Property for specifying the the external storey area.</t>
  </si>
  <si>
    <t>Merkmal zur Angabe der der Aussengeschossfläche.</t>
  </si>
  <si>
    <t>Description</t>
  </si>
  <si>
    <t>Beschreibung</t>
  </si>
  <si>
    <t>oberirdisch</t>
  </si>
  <si>
    <t>Above ground</t>
  </si>
  <si>
    <t>Oberirdisch</t>
  </si>
  <si>
    <t>Property for specifying whether the storey is above ground.</t>
  </si>
  <si>
    <t>Merkmal zur Angabe, ob das Geschoss oberirdisch liegt.</t>
  </si>
  <si>
    <t>https://identifier.buildingsmart.org/uri/buildingsmart/ifc/4.3/prop/AboveGround</t>
  </si>
  <si>
    <t>https://identifier.buildingsmart.org/uri/buildingsmart/ifc/4.3/class/Pset_BuildingStoreyCommon</t>
  </si>
  <si>
    <t>raum-id</t>
  </si>
  <si>
    <t>Room ID</t>
  </si>
  <si>
    <t>Raum ID</t>
  </si>
  <si>
    <t>Property for uniquely identifying rooms.</t>
  </si>
  <si>
    <t>Merkmal zur eindeutigen Identifikation von Räumen.</t>
  </si>
  <si>
    <t>raumnummer-betrieb</t>
  </si>
  <si>
    <t>Operational room number</t>
  </si>
  <si>
    <t>Raumnummer Betrieb</t>
  </si>
  <si>
    <t>Property for specifying the operational room number.</t>
  </si>
  <si>
    <t>Merkmal zur Angabe von der betrieblichen Raumnummer.</t>
  </si>
  <si>
    <t>raumbezeichnung</t>
  </si>
  <si>
    <t>Room designation</t>
  </si>
  <si>
    <t>Raumbezeichnung</t>
  </si>
  <si>
    <t>Property for specifying the room designation.</t>
  </si>
  <si>
    <t>Merkmal zur Angabe von der Raumbezeichnung.</t>
  </si>
  <si>
    <t>https://identifier.buildingsmart.org/uri/buildingsmart/ifc/4.3/prop/LongName</t>
  </si>
  <si>
    <t>raumtyp</t>
  </si>
  <si>
    <t>Room type</t>
  </si>
  <si>
    <t>Raumtyp</t>
  </si>
  <si>
    <t>Property for specifying the room type.</t>
  </si>
  <si>
    <t>Merkmal zur Angabe von dem Raumtyp.</t>
  </si>
  <si>
    <t>reinigungsgruppe</t>
  </si>
  <si>
    <t>Cleaning group</t>
  </si>
  <si>
    <t>Reinigungsgruppe</t>
  </si>
  <si>
    <t>Property for specifying the cleaning group.</t>
  </si>
  <si>
    <t>Merkmal zur Angabe von der Reinigungsgruppe.</t>
  </si>
  <si>
    <t>flachenart-sia-416</t>
  </si>
  <si>
    <t>Flächenart SIA 416</t>
  </si>
  <si>
    <t>Property for specifying the area type according to SIA 416.</t>
  </si>
  <si>
    <t>Merkmal zur Angabe von der Flächenart nach SIA 416.</t>
  </si>
  <si>
    <t>flachenart-d0165</t>
  </si>
  <si>
    <t>Flächenart d0165</t>
  </si>
  <si>
    <t>Property for specifying the area type according to d0165.</t>
  </si>
  <si>
    <t>Merkmal zur Angabe von der Flächenart nach d0165.</t>
  </si>
  <si>
    <t>raumvolumen-netto</t>
  </si>
  <si>
    <t>Net room volume</t>
  </si>
  <si>
    <t>Raumvolumen Netto</t>
  </si>
  <si>
    <t>Property for specifying the the net room volume.</t>
  </si>
  <si>
    <t>Merkmal zur Angabe der dem Netto-Raumvolumen.</t>
  </si>
  <si>
    <t>https://identifier.buildingsmart.org/uri/buildingsmart/ifc/4.3/prop/NetVolume</t>
  </si>
  <si>
    <t>nutzhohe</t>
  </si>
  <si>
    <t>Usable height</t>
  </si>
  <si>
    <t>Nutzhöhe</t>
  </si>
  <si>
    <t>Property for specifying the the usable height.</t>
  </si>
  <si>
    <t>Merkmal zur Angabe der der Nutzhöhe.</t>
  </si>
  <si>
    <t>lichte-raumhohe</t>
  </si>
  <si>
    <t>Clear room height</t>
  </si>
  <si>
    <t>Lichte Raumhöhe</t>
  </si>
  <si>
    <t>Property for specifying the the clear room height.</t>
  </si>
  <si>
    <t>Merkmal zur Angabe der der lichten Raumhöhe.</t>
  </si>
  <si>
    <t>https://identifier.buildingsmart.org/uri/buildingsmart/ifc/4.3/prop/ClearHeight</t>
  </si>
  <si>
    <t>https://identifier.buildingsmart.org/uri/buildingsmart/ifc/4.3/class/Pset_TransportElementElevator</t>
  </si>
  <si>
    <t>raumflache-brutto</t>
  </si>
  <si>
    <t>Gross room area</t>
  </si>
  <si>
    <t>Raumfläche Brutto</t>
  </si>
  <si>
    <t>Property for specifying the the gross room area.</t>
  </si>
  <si>
    <t>Merkmal zur Angabe der der Brutto-Raumfläche.</t>
  </si>
  <si>
    <t>https://identifier.buildingsmart.org/uri/buildingsmart/ifc/4.3/class/Qto_SpaceBaseQuantities</t>
  </si>
  <si>
    <t>raumflache-netto</t>
  </si>
  <si>
    <t>Net room area</t>
  </si>
  <si>
    <t>Raumfläche Netto</t>
  </si>
  <si>
    <t>Property for specifying the the net room area.</t>
  </si>
  <si>
    <t>Merkmal zur Angabe der der Netto-Raumfläche.</t>
  </si>
  <si>
    <t>https://identifier.buildingsmart.org/uri/buildingsmart/ifc/4.3/prop/NetFloorArea</t>
  </si>
  <si>
    <t>flachenlast</t>
  </si>
  <si>
    <t>Area load</t>
  </si>
  <si>
    <t>Flächenlast</t>
  </si>
  <si>
    <t>Property for specifying the the area load.</t>
  </si>
  <si>
    <t>Merkmal zur Angabe der der Flächenlast.</t>
  </si>
  <si>
    <t>https://identifier.buildingsmart.org/uri/buildingsmart/ifc/4.3/prop/LoadBearingCapacity</t>
  </si>
  <si>
    <t>kN/m²</t>
  </si>
  <si>
    <t>punktlast</t>
  </si>
  <si>
    <t>Point load</t>
  </si>
  <si>
    <t>Punktlast</t>
  </si>
  <si>
    <t>Property for specifying the the point load.</t>
  </si>
  <si>
    <t>Merkmal zur Angabe der der Punktlast.</t>
  </si>
  <si>
    <t>kN</t>
  </si>
  <si>
    <t>http://qudt.org/vocab/unit/KiloN</t>
  </si>
  <si>
    <t>personenbelegung-geplant</t>
  </si>
  <si>
    <t>Personenbelegung Geplant</t>
  </si>
  <si>
    <t>Merkmal zur Angabe der der geplanten Personenbelegung.</t>
  </si>
  <si>
    <t>https://identifier.buildingsmart.org/uri/buildingsmart/ifc/4.3/prop/OccupancyNumber</t>
  </si>
  <si>
    <t>personenbelegung-ist</t>
  </si>
  <si>
    <t>Actual occupancy</t>
  </si>
  <si>
    <t>Personenbelegung Ist</t>
  </si>
  <si>
    <t>Property for specifying the the actual occupancy.</t>
  </si>
  <si>
    <t>Merkmal zur Angabe der der tatsächlichen Personenbelegung.</t>
  </si>
  <si>
    <t>energiebezugsflache</t>
  </si>
  <si>
    <t>Energy reference area</t>
  </si>
  <si>
    <t>Energiebezugsfläche</t>
  </si>
  <si>
    <t>Property for specifying the the energy reference area.</t>
  </si>
  <si>
    <t>Merkmal zur Angabe der der Energiebezugsfläche.</t>
  </si>
  <si>
    <t>https://identifier.buildingsmart.org/uri/buildingsmart/ifc/4.3/class/Pset_SpaceCommon</t>
  </si>
  <si>
    <t>temperatur</t>
  </si>
  <si>
    <t>Temperature</t>
  </si>
  <si>
    <t>Temperatur</t>
  </si>
  <si>
    <t>Property for specifying the the temperature.</t>
  </si>
  <si>
    <t>Merkmal zur Angabe der der Temperatur.</t>
  </si>
  <si>
    <t>https://identifier.buildingsmart.org/uri/buildingsmart/ifc/4.3/prop/ReferenceEnvironmentTemperature</t>
  </si>
  <si>
    <t>fluchtweg</t>
  </si>
  <si>
    <t>Escape route</t>
  </si>
  <si>
    <t>Fluchtweg</t>
  </si>
  <si>
    <t>Merkmal zur Angabe von dem Fluchtweg.</t>
  </si>
  <si>
    <t>fensterflache</t>
  </si>
  <si>
    <t>Window area</t>
  </si>
  <si>
    <t>Fensterfläche</t>
  </si>
  <si>
    <t>Property for specifying the the window area.</t>
  </si>
  <si>
    <t>Merkmal zur Angabe der der Fensterfläche.</t>
  </si>
  <si>
    <t>fenster-offenbar</t>
  </si>
  <si>
    <t>Openable window</t>
  </si>
  <si>
    <t>Fenster Öffenbar</t>
  </si>
  <si>
    <t>Property for specifying whether the window can be opened.</t>
  </si>
  <si>
    <t>Merkmal zur Angabe, ob das Fenster geöffnet werden kann.</t>
  </si>
  <si>
    <t>https://identifier.buildingsmart.org/uri/buildingsmart/ifc/4.3/prop/OperationType</t>
  </si>
  <si>
    <t>raumnutzer</t>
  </si>
  <si>
    <t>Room user</t>
  </si>
  <si>
    <t>Raumnutzer</t>
  </si>
  <si>
    <t>Property for specifying the room user.</t>
  </si>
  <si>
    <t>Merkmal zur Angabe von dem Raumnutzer.</t>
  </si>
  <si>
    <t>bodenbelag</t>
  </si>
  <si>
    <t>Floor covering</t>
  </si>
  <si>
    <t>Bodenbelag</t>
  </si>
  <si>
    <t>Property for specifying the floor covering.</t>
  </si>
  <si>
    <t>Merkmal zur Angabe von dem Bodenbelag.</t>
  </si>
  <si>
    <t>https://identifier.buildingsmart.org/uri/buildingsmart/ifc/4.3/prop/FloorCovering</t>
  </si>
  <si>
    <t>https://identifier.buildingsmart.org/uri/buildingsmart/ifc/4.3/class/Pset_SpaceCoveringRequirements</t>
  </si>
  <si>
    <t>deckenmaterial</t>
  </si>
  <si>
    <t>Ceiling material</t>
  </si>
  <si>
    <t>Deckenmaterial</t>
  </si>
  <si>
    <t>Property for specifying the ceiling material.</t>
  </si>
  <si>
    <t>Merkmal zur Angabe von dem Deckenmaterial.</t>
  </si>
  <si>
    <t>https://identifier.buildingsmart.org/uri/buildingsmart/ifc/4.3/prop/CeilingCovering</t>
  </si>
  <si>
    <t>wandbelag</t>
  </si>
  <si>
    <t>Wall covering</t>
  </si>
  <si>
    <t>Wandbelag</t>
  </si>
  <si>
    <t>Property for specifying the wall covering.</t>
  </si>
  <si>
    <t>Merkmal zur Angabe von dem Wandbelag.</t>
  </si>
  <si>
    <t>https://identifier.buildingsmart.org/uri/buildingsmart/ifc/4.3/prop/WallCovering</t>
  </si>
  <si>
    <t>luftwechselrate</t>
  </si>
  <si>
    <t>Air change rate</t>
  </si>
  <si>
    <t>Luftwechselrate</t>
  </si>
  <si>
    <t>Property for specifying the the air change rate.</t>
  </si>
  <si>
    <t>Merkmal zur Angabe der der Luftwechselrate.</t>
  </si>
  <si>
    <t>https://identifier.buildingsmart.org/uri/buildingsmart/ifc/4.3/prop/MechanicalVentilationRate</t>
  </si>
  <si>
    <t>https://identifier.buildingsmart.org/uri/buildingsmart/ifc/4.3/class/Pset_SpaceHVACDesign</t>
  </si>
  <si>
    <t>sonnenschutz</t>
  </si>
  <si>
    <t>Solar shading</t>
  </si>
  <si>
    <t>Sonnenschutz</t>
  </si>
  <si>
    <t>Merkmal zur Angabe von dem Sonnenschutz.</t>
  </si>
  <si>
    <t>beluftung</t>
  </si>
  <si>
    <t>Ventilation</t>
  </si>
  <si>
    <t>klimatisiert</t>
  </si>
  <si>
    <t>Air-conditioned</t>
  </si>
  <si>
    <t>Klimatisiert</t>
  </si>
  <si>
    <t>Property for specifying whether the room is air-conditioned.</t>
  </si>
  <si>
    <t>Merkmal zur Angabe, ob der Raum klimatisiert ist.</t>
  </si>
  <si>
    <t>°C</t>
  </si>
  <si>
    <t>luftfeuchtigkeit</t>
  </si>
  <si>
    <t>Humidity</t>
  </si>
  <si>
    <t>Luftfeuchtigkeit</t>
  </si>
  <si>
    <t>Merkmal zur Angabe der der Luftfeuchtigkeit.</t>
  </si>
  <si>
    <t>https://identifier.buildingsmart.org/uri/buildingsmart/ifc/4.3/prop/ReferenceAirRelativeHumidity</t>
  </si>
  <si>
    <t>%</t>
  </si>
  <si>
    <t>http://qudt.org/vocab/unit/PERCENT</t>
  </si>
  <si>
    <t>befeuchtet</t>
  </si>
  <si>
    <t>Humidified</t>
  </si>
  <si>
    <t>Befeuchtet</t>
  </si>
  <si>
    <t>Property for specifying whether the room is humidified.</t>
  </si>
  <si>
    <t>Merkmal zur Angabe, ob der Raum befeuchtet wird.</t>
  </si>
  <si>
    <t>entfeuchtet</t>
  </si>
  <si>
    <t>Dehumidified</t>
  </si>
  <si>
    <t>Entfeuchtet</t>
  </si>
  <si>
    <t>Property for specifying whether the room is dehumidified.</t>
  </si>
  <si>
    <t>Merkmal zur Angabe, ob der Raum entfeuchtet wird.</t>
  </si>
  <si>
    <t>vermietbarkeit</t>
  </si>
  <si>
    <t>Vermietbarkeit</t>
  </si>
  <si>
    <t>Merkmal zur Angabe, ob der Raum oder das Objekt vermietbar ist.</t>
  </si>
  <si>
    <t>bauteil-id</t>
  </si>
  <si>
    <t>Component ID</t>
  </si>
  <si>
    <t>Bauteil ID</t>
  </si>
  <si>
    <t>Property for uniquely identifying components.</t>
  </si>
  <si>
    <t>Merkmal zur eindeutigen Identifikation von Bauteilen.</t>
  </si>
  <si>
    <t>aks</t>
  </si>
  <si>
    <t>https://identifier.buildingsmart.org/uri/buildingsmart/ifc/4.3/prop/AssetIdentifier</t>
  </si>
  <si>
    <t>https://identifier.buildingsmart.org/uri/buildingsmart/ifc/4.3/class/Pset_ConstructionOccurence</t>
  </si>
  <si>
    <t>antrieb</t>
  </si>
  <si>
    <t>Antrieb</t>
  </si>
  <si>
    <t>Property for specifying the drive.</t>
  </si>
  <si>
    <t>Merkmal zur Angabe von dem Antrieb.</t>
  </si>
  <si>
    <t>artikelnummer</t>
  </si>
  <si>
    <t>Article number</t>
  </si>
  <si>
    <t>Artikelnummer</t>
  </si>
  <si>
    <t>Property for specifying the article number.</t>
  </si>
  <si>
    <t>Merkmal zur Angabe von der Artikelnummer.</t>
  </si>
  <si>
    <t>https://identifier.buildingsmart.org/uri/buildingsmart/ifc/4.3/prop/ArticleNumber</t>
  </si>
  <si>
    <t>bauteilart</t>
  </si>
  <si>
    <t>Component category</t>
  </si>
  <si>
    <t>Bauteilart</t>
  </si>
  <si>
    <t>Property for specifying the component category.</t>
  </si>
  <si>
    <t>Merkmal zur Angabe von der Bauteilart.</t>
  </si>
  <si>
    <t>bauteiltyp</t>
  </si>
  <si>
    <t>Component type</t>
  </si>
  <si>
    <t>Bauteiltyp</t>
  </si>
  <si>
    <t>Property for specifying the component type.</t>
  </si>
  <si>
    <t>Merkmal zur Angabe von dem Bauteiltyp.</t>
  </si>
  <si>
    <t>bauteilname</t>
  </si>
  <si>
    <t>Component name</t>
  </si>
  <si>
    <t>Bauteilname</t>
  </si>
  <si>
    <t>Property for specifying the component name.</t>
  </si>
  <si>
    <t>Merkmal zur Angabe von dem Bauteilnamen.</t>
  </si>
  <si>
    <t>hersteller</t>
  </si>
  <si>
    <t>Manufacturer</t>
  </si>
  <si>
    <t>Hersteller</t>
  </si>
  <si>
    <t>Property for specifying the manufacturer.</t>
  </si>
  <si>
    <t>Merkmal zur Angabe von dem Hersteller.</t>
  </si>
  <si>
    <t>https://identifier.buildingsmart.org/uri/buildingsmart/ifc/4.3/prop/Manufacturer</t>
  </si>
  <si>
    <t>produkt-id</t>
  </si>
  <si>
    <t>Product ID</t>
  </si>
  <si>
    <t>Produkt ID</t>
  </si>
  <si>
    <t>Property for uniquely identifying products.</t>
  </si>
  <si>
    <t>Merkmal zur eindeutigen Identifikation von Produkten.</t>
  </si>
  <si>
    <t>material</t>
  </si>
  <si>
    <t>Material</t>
  </si>
  <si>
    <t>Property for specifying the material.</t>
  </si>
  <si>
    <t>Merkmal zur Angabe von dem Material.</t>
  </si>
  <si>
    <t>seriennummer</t>
  </si>
  <si>
    <t>Serial number</t>
  </si>
  <si>
    <t>Seriennummer</t>
  </si>
  <si>
    <t>Property for specifying the serial number.</t>
  </si>
  <si>
    <t>Merkmal zur Angabe von der Seriennummer.</t>
  </si>
  <si>
    <t>https://identifier.buildingsmart.org/uri/buildingsmart/ifc/4.3/prop/SerialNumber</t>
  </si>
  <si>
    <t>https://identifier.buildingsmart.org/uri/buildingsmart/ifc/4.3/class/Pset_ManufacturerOccurrence</t>
  </si>
  <si>
    <t>anlagenzustand</t>
  </si>
  <si>
    <t>Anlagenzustand</t>
  </si>
  <si>
    <t>Merkmal zur Angabe von dem Anlagenzustand.</t>
  </si>
  <si>
    <t>https://identifier.buildingsmart.org/uri/buildingsmart/ifc/4.3/prop/Status</t>
  </si>
  <si>
    <t>anschaffungskosten</t>
  </si>
  <si>
    <t>Acquisition cost</t>
  </si>
  <si>
    <t>Anschaffungskosten</t>
  </si>
  <si>
    <t>Property for specifying the the acquisition cost.</t>
  </si>
  <si>
    <t>Merkmal zur Angabe der den Anschaffungskosten.</t>
  </si>
  <si>
    <t>brandschutzklasse</t>
  </si>
  <si>
    <t>Fire protection class</t>
  </si>
  <si>
    <t>Brandschutzklasse</t>
  </si>
  <si>
    <t>Property for specifying the fire protection class.</t>
  </si>
  <si>
    <t>Merkmal zur Angabe von der Brandschutzklasse.</t>
  </si>
  <si>
    <t>https://identifier.buildingsmart.org/uri/buildingsmart/ifc/4.3/prop/FireRating</t>
  </si>
  <si>
    <t>ebkp-h</t>
  </si>
  <si>
    <t>eBKP-H</t>
  </si>
  <si>
    <t>Property for specifying the eBKP-H code.</t>
  </si>
  <si>
    <t>Merkmal zur Angabe von dem eBKP-H-Code.</t>
  </si>
  <si>
    <t>einbruchschutzklasse</t>
  </si>
  <si>
    <t>Burglar resistance class</t>
  </si>
  <si>
    <t>Einbruchschutzklasse</t>
  </si>
  <si>
    <t>Property for specifying the burglar resistance class.</t>
  </si>
  <si>
    <t>Merkmal zur Angabe von der Einbruchschutzklasse.</t>
  </si>
  <si>
    <t>https://identifier.buildingsmart.org/uri/buildingsmart/ifc/4.3/prop/SecurityRating</t>
  </si>
  <si>
    <t>fluchtwegfunktion</t>
  </si>
  <si>
    <t>Escape route function</t>
  </si>
  <si>
    <t>Fluchtwegfunktion</t>
  </si>
  <si>
    <t>Merkmal zur Angabe von der Fluchtwegfunktion.</t>
  </si>
  <si>
    <t>lebensdauer</t>
  </si>
  <si>
    <t>Lebensdauer</t>
  </si>
  <si>
    <t>Property for specifying the the service life.</t>
  </si>
  <si>
    <t>Merkmal zur Angabe der der Lebensdauer.</t>
  </si>
  <si>
    <t>https://identifier.buildingsmart.org/uri/buildingsmart/ifc/4.3/prop/ServiceLifeDuration</t>
  </si>
  <si>
    <t>https://identifier.buildingsmart.org/uri/buildingsmart/ifc/4.3/class/Pset_ServiceLife</t>
  </si>
  <si>
    <t>tursteuerung</t>
  </si>
  <si>
    <t>Door control</t>
  </si>
  <si>
    <t>Türsteuerung</t>
  </si>
  <si>
    <t>Property for specifying the door control.</t>
  </si>
  <si>
    <t>Merkmal zur Angabe von der Türsteuerung.</t>
  </si>
  <si>
    <t>wartungsvertrag</t>
  </si>
  <si>
    <t>Maintenance contract</t>
  </si>
  <si>
    <t>Wartungsvertrag</t>
  </si>
  <si>
    <t>Property for specifying the maintenance contract.</t>
  </si>
  <si>
    <t>Merkmal zur Angabe von dem Wartungsvertrag.</t>
  </si>
  <si>
    <t>https://identifier.buildingsmart.org/uri/buildingsmart/ifc/4.3/prop/WarrantyContent</t>
  </si>
  <si>
    <t>https://identifier.buildingsmart.org/uri/buildingsmart/ifc/4.3/class/Pset_Warranty</t>
  </si>
  <si>
    <t>wartungsintervall</t>
  </si>
  <si>
    <t>Maintenance interval</t>
  </si>
  <si>
    <t>Wartungsintervall</t>
  </si>
  <si>
    <t>Property for specifying the the maintenance interval.</t>
  </si>
  <si>
    <t>Merkmal zur Angabe der dem Wartungsintervall.</t>
  </si>
  <si>
    <t>https://identifier.buildingsmart.org/uri/buildingsmart/ifc/4.3/prop/DurationMaintenanceLevel</t>
  </si>
  <si>
    <t>https://identifier.buildingsmart.org/uri/buildingsmart/ifc/4.3/class/Pset_MaintenanceTriggerDuration</t>
  </si>
  <si>
    <t>abnahmedatum</t>
  </si>
  <si>
    <t>Acceptance date</t>
  </si>
  <si>
    <t>Abnahmedatum</t>
  </si>
  <si>
    <t>Property for specifying the acceptance date.</t>
  </si>
  <si>
    <t>Merkmal zur Angabe von dem Abnahmedatum.</t>
  </si>
  <si>
    <t>inbetriebnahme</t>
  </si>
  <si>
    <t>Commissioning date</t>
  </si>
  <si>
    <t>Inbetriebnahme</t>
  </si>
  <si>
    <t>Property for specifying the commissioning date.</t>
  </si>
  <si>
    <t>Merkmal zur Angabe von dem Datum der Inbetriebnahme.</t>
  </si>
  <si>
    <t>nutzlast</t>
  </si>
  <si>
    <t>Live load</t>
  </si>
  <si>
    <t>Nutzlast</t>
  </si>
  <si>
    <t>Property for specifying the the live load.</t>
  </si>
  <si>
    <t>Merkmal zur Angabe der der Nutzlast.</t>
  </si>
  <si>
    <t>fensterart</t>
  </si>
  <si>
    <t>Window type</t>
  </si>
  <si>
    <t>Fensterart</t>
  </si>
  <si>
    <t>Property for specifying the window type.</t>
  </si>
  <si>
    <t>Merkmal zur Angabe von der Fensterart.</t>
  </si>
  <si>
    <t>schliessart</t>
  </si>
  <si>
    <t>Locking type</t>
  </si>
  <si>
    <t>Schliessart</t>
  </si>
  <si>
    <t>Property for specifying the locking type.</t>
  </si>
  <si>
    <t>Merkmal zur Angabe von der Schliessart.</t>
  </si>
  <si>
    <t>doppelboden</t>
  </si>
  <si>
    <t>Doppelboden</t>
  </si>
  <si>
    <t>Merkmal zur Angabe von dem Doppelboden.</t>
  </si>
  <si>
    <t>Strukturvorlage Handlungsempfehlung Data Dictionaries</t>
  </si>
  <si>
    <t>Dokumenteninformationen</t>
  </si>
  <si>
    <t>Entwurf</t>
  </si>
  <si>
    <t>Version</t>
  </si>
  <si>
    <t>v20260510</t>
  </si>
  <si>
    <t>Letzte Änderung</t>
  </si>
  <si>
    <t>Autor</t>
  </si>
  <si>
    <t>Bauen digital Schweiz / buildingSMART Switzerland (BdCH/bSCH)</t>
  </si>
  <si>
    <t>Trägerschaft</t>
  </si>
  <si>
    <t>Mit freundlicher Unterstützung von</t>
  </si>
  <si>
    <t>Armasuisse</t>
  </si>
  <si>
    <t>Schweizerische Bundesbahnen (SBB AG)</t>
  </si>
  <si>
    <t>B+S AG</t>
  </si>
  <si>
    <t>Schweizerischer Baumeisterverband (SBV)</t>
  </si>
  <si>
    <t>Basler &amp; Hofmann AG</t>
  </si>
  <si>
    <t>Lignum Holzwirtschaft Schweiz</t>
  </si>
  <si>
    <t>Schweizerischer Ingenieur- und Architektenverein (SIA)</t>
  </si>
  <si>
    <t>Baumschlager Eberle Zürich AG</t>
  </si>
  <si>
    <t>Lombardi AG</t>
  </si>
  <si>
    <t>Stadt Luzern</t>
  </si>
  <si>
    <t>Buildup AG</t>
  </si>
  <si>
    <t>Losinger Marazzi AG</t>
  </si>
  <si>
    <t>Stadt Zürich</t>
  </si>
  <si>
    <t>Bundesamt für Strassen (ASTRA)</t>
  </si>
  <si>
    <t>Marti Tunnel AG</t>
  </si>
  <si>
    <t>Steinmann Ingenieure und Planer AG</t>
  </si>
  <si>
    <t>CRB</t>
  </si>
  <si>
    <t>MEGA</t>
  </si>
  <si>
    <t>Suissetec</t>
  </si>
  <si>
    <t>Fachgruppe für Untertagbau (FGU)</t>
  </si>
  <si>
    <t>Mensch und Maschine Schweiz AG</t>
  </si>
  <si>
    <t>Swissgee</t>
  </si>
  <si>
    <t>FHNW</t>
  </si>
  <si>
    <t>Open BIM Verband</t>
  </si>
  <si>
    <t>SWKI / die Planer</t>
  </si>
  <si>
    <t>Frutiger AG</t>
  </si>
  <si>
    <t>Penzel Valier AG</t>
  </si>
  <si>
    <t>Terradata AG</t>
  </si>
  <si>
    <t>HKG</t>
  </si>
  <si>
    <t>Rhomberg Sersa Rail Group Schweiz</t>
  </si>
  <si>
    <t>Walo AG</t>
  </si>
  <si>
    <t>IBG Engineering AG</t>
  </si>
  <si>
    <t>Roundtable Gebäudetechnik</t>
  </si>
  <si>
    <t>ILF BERATENDE INGENIEURE AG</t>
  </si>
  <si>
    <t>Schindler Aufzüge AG</t>
  </si>
  <si>
    <t>Implenia Schweiz AG</t>
  </si>
  <si>
    <t>Siemens AG</t>
  </si>
  <si>
    <t>Abgrenzung</t>
  </si>
  <si>
    <t>Fokus auf Austauschformat IFC 4.3.2.0 (IFC4X3_ADD2)</t>
  </si>
  <si>
    <t>Andere Formate (z. B. CityGML, gbXML, LandXML) sind kein Bestandteil</t>
  </si>
  <si>
    <t>Keine Abbildung von Geodaten (Geologie, Topographie, Bewuchs, Gewässer)</t>
  </si>
  <si>
    <t>Strukturvorlage ist eine methodische Grundlage, kein vollständiger Datenkatalog</t>
  </si>
  <si>
    <t>Vollständige Datenkataloge müssen in Datenbanken realsiert werden</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</si>
  <si>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</si>
  <si>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</si>
  <si>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Keine konkrete Implementierung oder Vernetzung von Datenkatalogen</t>
  </si>
  <si>
    <t>Copyright</t>
  </si>
  <si>
    <t>https://creativecommons.org/licenses/by-nc-sa/4.0/</t>
  </si>
  <si>
    <t>mailto:info@bauen-digital.ch</t>
  </si>
  <si>
    <t>Anleitung Strukturvorlage Data Dictionaries</t>
  </si>
  <si>
    <t>Inhaltsverzeichnis</t>
  </si>
  <si>
    <t>Handhabung</t>
  </si>
  <si>
    <t>Objekte</t>
  </si>
  <si>
    <t>Klassifikationen</t>
  </si>
  <si>
    <t>Merkmale</t>
  </si>
  <si>
    <t>Werteliste</t>
  </si>
  <si>
    <t>Dokumente</t>
  </si>
  <si>
    <t>B</t>
  </si>
  <si>
    <t>C</t>
  </si>
  <si>
    <t>D</t>
  </si>
  <si>
    <t>E</t>
  </si>
  <si>
    <t>Erforderlich</t>
  </si>
  <si>
    <t>Erforderlich für Data Dictionary</t>
  </si>
  <si>
    <t>A</t>
  </si>
  <si>
    <t>Erforderlich für Objektkatalog</t>
  </si>
  <si>
    <t>Definiert die Mindestandorderugen an einen Katalog. Unterscheidung zwischen ja = erforderlich / empfohlen / &lt;leer&gt; = nicht notwendig</t>
  </si>
  <si>
    <t>Definiert die Mindestandorderugen an ein in einer Datenbank eingepfegtes Data Dictionaries. Unterscheidung zwischen ja = erforderlich / empfohlen / &lt;leer&gt; = nicht notwendig</t>
  </si>
  <si>
    <t>Angabe zur Sprache: mehrsprachig = muss in der für den Katalog führenden Sprache enthalten sein / EN, DE, FR, IT = gibt Sprache zwingend vor / Sprachneutral = nicht von Sprache abängig</t>
  </si>
  <si>
    <t>Verweist auf die Dropdownliste in diesem Template</t>
  </si>
  <si>
    <t>Vorgabe einer minimalen Governance für die verschiedenen Kataloge</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</si>
  <si>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</si>
  <si>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</si>
  <si>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</si>
  <si>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</si>
  <si>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</si>
  <si>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</si>
  <si>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</si>
  <si>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</si>
  <si>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Vorgeschriebner Status des Merkmals während seines Lebenszyklus (Enumeration: active / inactive)</t>
  </si>
  <si>
    <t>Datum der Version. Format nach ISO 8601 = YYYY-MM-DDThh:mm:ssTDZ (T = festes Trennzeichen zwischen Datum und Uhrzeit / TDZ = Zeitzonenbezeichnung. Z = UTC, Abweichung zu UTC angeben)</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</si>
  <si>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</si>
  <si>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</si>
  <si>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Um eindeutig, maschinenlesbar und für den Menschen verständlich zu sein, müssen Merkmalsgruppen als Liste von Attributen festgelegt werden. Einige Attribute sind zwingend erforderlich und andere sind freigestellt.</t>
  </si>
  <si>
    <t>Verbindliche Regeln zur Erstellung, Pflege und Versionierung von Merkmalen und Merkmaslgruppen sowie zur koordinierten Abstimmung und Freigabe zwischen Akteuren zur Sicherstellung von Qualität, Konsistenz und Interoperabilität.</t>
  </si>
  <si>
    <t>H</t>
  </si>
  <si>
    <t>I</t>
  </si>
  <si>
    <t>J</t>
  </si>
  <si>
    <t>K</t>
  </si>
  <si>
    <t>L</t>
  </si>
  <si>
    <t>M</t>
  </si>
  <si>
    <t>N</t>
  </si>
  <si>
    <t>O</t>
  </si>
  <si>
    <t>Q</t>
  </si>
  <si>
    <t>R</t>
  </si>
  <si>
    <t>Strukturelle Einordnung</t>
  </si>
  <si>
    <t>Domäne</t>
  </si>
  <si>
    <t>Kategorie</t>
  </si>
  <si>
    <t>Objekt-ID</t>
  </si>
  <si>
    <t xml:space="preserve">Objekt-Einordnung </t>
  </si>
  <si>
    <t>IfcObject Entity</t>
  </si>
  <si>
    <t>PredefinedType</t>
  </si>
  <si>
    <t>ObjectType</t>
  </si>
  <si>
    <t>Fachlicher Gesamtbereich, oberste Gliederung nach Disziplin
Biespiele: Architektur, Tragwerk, HVAC, Verkehrswegebau, Bahntechnik, Werkleitungen</t>
  </si>
  <si>
    <t>Funktionale Einheit innerhalb einer Domäne. Bündelt Bauteile zu einer technischen Gesamtanlage oder Konstruktion.
Beispiele: Lufttechnische Anlage, Fahrbahnkonstruktion, Oberbau Geleise, Abwasserentsorgung</t>
  </si>
  <si>
    <t>Gliedert Komponenten nach technischer Funktion, Material oder Bauart.
Beispiele: Verteilnetz Lüftung, Belagsschichten, Schwellen, Kanalisation</t>
  </si>
  <si>
    <t>Global eindeutige, persistente Identifikatoren zur interoperablen Referenzierung von Ressourcen.</t>
  </si>
  <si>
    <t>Stabiler, systeminterner Code zur eindeutigen, sprachneutralen Identifikation des Objekts.
Mehrfach verwendete Objekte müssen die gleiche Objekt-ID besitzen</t>
  </si>
  <si>
    <t>Einheitliche Einordnung von Objekten entlang einer strukturierten Gliederung (räumlich, logisch, kontextuell) als fachliche Abstraktion über den gesamten Lebenszyklus.</t>
  </si>
  <si>
    <t>Eindeutiger, fachlicher Name eines Objekts zur Identifikation und Einordnung</t>
  </si>
  <si>
    <t>EN: Unique, domain-specific name of an object for identification and classification</t>
  </si>
  <si>
    <t>Kurzbeschreibung oder Definition zur fachlichen Erläuterung eines Objekts</t>
  </si>
  <si>
    <t>EN: Short description or definition explaining an object in a domain context</t>
  </si>
  <si>
    <t>P</t>
  </si>
  <si>
    <t>IfcTypeObject Entity</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</si>
  <si>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</si>
  <si>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</si>
  <si>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</si>
  <si>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</si>
  <si>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</si>
  <si>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</si>
  <si>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IfcClassification</t>
  </si>
  <si>
    <t>IfcClassRef</t>
  </si>
  <si>
    <t>Specification</t>
  </si>
  <si>
    <t>Name</t>
  </si>
  <si>
    <t>Source</t>
  </si>
  <si>
    <t>Edition</t>
  </si>
  <si>
    <t>Identification</t>
  </si>
  <si>
    <t>Ressourcenbezeichner oder -lokator der Klassifizierung, angegeben als URI, URN oder URL.</t>
  </si>
  <si>
    <t>Die Bezeichnung oder das Kürzel, unter dem die verwendete Klassifikation üblicherweise bekannt ist.</t>
  </si>
  <si>
    <t xml:space="preserve">Quelle (oder Herausgeber) der Klassifikation. </t>
  </si>
  <si>
    <t>Die Ausgabe oder Version des Klassifizierungssystems, aus der die Klassifizierungsbezeichnung stammt.</t>
  </si>
  <si>
    <t xml:space="preserve">Ort, an dem auf die externe Quelle (Klassifizierung, Dokument oder Bibliothek) auf elektronischem Wege zugegriffen werden kann. Der elektronische Speicherort wird als URI angegeben und normalerweise in Form einer URL-Adresse bereitgestellt. </t>
  </si>
  <si>
    <t>Die Identifikation liefert eine eindeutige Kennung des referenzierten Elements innerhalb der externen Quelle (Klassifikation, Dokument oder Bibliothek). 
Sie kann in Form von * einem Schlüssel, z. B. einer Klassifikationsbezeichnung wie NF2.3, einer UUID oder einer GUID vorliegen</t>
  </si>
  <si>
    <t xml:space="preserve">Optionaler Name zur genaueren Spezifizierung der Referenz. Er kann als für Menschen lesbare Kennung dienen (die nicht unbedingt eine Entsprechung in der internen Struktur des Dokuments haben muss). </t>
  </si>
  <si>
    <t>IFC 4.3.2.0</t>
  </si>
  <si>
    <t>MG</t>
  </si>
  <si>
    <t>Merkmal-ID</t>
  </si>
  <si>
    <t>Merkmal</t>
  </si>
  <si>
    <t>Property</t>
  </si>
  <si>
    <t>DataType (Base Type)</t>
  </si>
  <si>
    <t>DataType (IFC)</t>
  </si>
  <si>
    <t>Werteliste-ID</t>
  </si>
  <si>
    <t>IfcPropertySet (Pset)</t>
  </si>
  <si>
    <t>IfcQuantitySet (Qto)</t>
  </si>
  <si>
    <t>Benutzerdefiniertes PropertySet</t>
  </si>
  <si>
    <t>Merkmalsgruppen</t>
  </si>
  <si>
    <t>Merkmalsgruppe (group of property)</t>
  </si>
  <si>
    <t>Fachlich definiertes Attribut zur strukturierten Beschreibung eines Objekts in einem Datenkatalog.</t>
  </si>
  <si>
    <t>EN: Defined attribute used to describe an object in a structured and machine-readable way.</t>
  </si>
  <si>
    <t>Textliche Erläuterung zur fachlichen Bedeutung und Anwendung eines Merkmals.</t>
  </si>
  <si>
    <t>EN: Textual explanation of the meaning and intended use of a property.</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</si>
  <si>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</si>
  <si>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</si>
  <si>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</si>
  <si>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Hinweis: Entspricht PA001 - Attribute eines Merkmals</t>
  </si>
  <si>
    <t xml:space="preserve">Beschreibt eine Liste von Merkmalen für eine IFC-Entität. Merkmalssätze, deren Struktur und Eigenschaften fest in der IFC-Spezifikation definiert sind (z. B. Pset_WallCommon oder Pset_DoorCommon). </t>
  </si>
  <si>
    <t>Beschreibt eine Liste von Mengen für eine IFC-Entität. Mengen­sätze, deren Struktur und Inhalte in der IFC-Spezifikation definiert sind (z. B. Qto_WallBaseQuantities).</t>
  </si>
  <si>
    <t>Beschreibt eine Liste von Merkmalen für eine IFC-Entität. Dient dazu, projekt-, regionalspezifische oder anwendungsspezifische Merkmale zu erfassen, die nicht standardmässig in der IFC-Spezifikation enthalten sind.</t>
  </si>
  <si>
    <t>Eindeutiger, domänenspezifischer Name eines Objekts zur Identifizierung und Klassifizierung</t>
  </si>
  <si>
    <t>Wertekatalog</t>
  </si>
  <si>
    <t>Wertekatalog-ID</t>
  </si>
  <si>
    <t>List of values (EN)</t>
  </si>
  <si>
    <t>Werteliste (DE)</t>
  </si>
  <si>
    <t>Liste de valeurs (FR)</t>
  </si>
  <si>
    <t>Einheiten</t>
  </si>
  <si>
    <t>Eindeutiger, fachlicher Name eines Wertes zur Identifikation und Einordnung</t>
  </si>
  <si>
    <t>EN: A defined set of allowable values used to restrict and standardise characteristic values.</t>
  </si>
  <si>
    <t>DE: Definierte Menge zulässiger Werte zur Einschränkung und Standardisierung von Merkmalsausprägungen.</t>
  </si>
  <si>
    <t>FR : Ensemble défini de valeurs admissibles permettant de restreindre et de normaliser les prises de valeur d'une caractéristique.</t>
  </si>
  <si>
    <t>Festgelegte physikalische Einheiten zur eindeutigen Interpretation numerischer Werte.
Hinweis: Entspricht PA033 - Attribute eines Merkmals</t>
  </si>
  <si>
    <t>DocRef</t>
  </si>
  <si>
    <t>Revision</t>
  </si>
  <si>
    <t>Dokumentegruppe</t>
  </si>
  <si>
    <t>Dokumentgruppe</t>
  </si>
  <si>
    <t>7,1</t>
  </si>
  <si>
    <t xml:space="preserve">Bezeichner, der ein Dokument eindeutig identifiziert. </t>
  </si>
  <si>
    <t>Vom Eigentümer vergebener Dateiname oder Dokumentname.</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</si>
  <si>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</si>
  <si>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</si>
  <si>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Ort, an dem auf die externe Quelle (Klassifizierung, Dokument oder Bibliothek) auf elektronischem Wege zugegriffen werden kann. Der elektronische Speicherort wird als URI angegeben und normalerweise als URL-Zeichenfolge dargestellt</t>
  </si>
  <si>
    <t>Die Identifikation liefert eine eindeutige Kennung des referenzierten Elements innerhalb der externen Quelle (Klassifikation, Dokument oder Bibliothek). Sie kann bereitgestellt werden als einen Schlüssel, z. B. eine Klassifikationsbezeichnung wie SIA, eine UUID oder GUID</t>
  </si>
  <si>
    <t>Optionaler Name zur genaueren Spezifizierung der Referenz. Er kann als für Menschen lesbare Kennung dienen (die nicht unbedingt eine Entsprechung in der internen Struktur des Dokuments haben muss).</t>
  </si>
  <si>
    <t>Dokumentengruppen</t>
  </si>
  <si>
    <t>tbd</t>
  </si>
  <si>
    <t>Data Dictionary — Core Metadata</t>
  </si>
  <si>
    <t>Field</t>
  </si>
  <si>
    <t>Value</t>
  </si>
  <si>
    <t>Requirement</t>
  </si>
  <si>
    <t>Notes / Maps to</t>
  </si>
  <si>
    <t>IDENTIFICATION</t>
  </si>
  <si>
    <t>OrganizationCode</t>
  </si>
  <si>
    <t>user defined name (small or capital letters), max 7 chars</t>
  </si>
  <si>
    <t>Short org code — lowercase, max 7 chars, appears in all derived IRIs</t>
  </si>
  <si>
    <t>DictionaryCode</t>
  </si>
  <si>
    <t>SYSTEM-GENERATED</t>
  </si>
  <si>
    <t>Generated from DictionaryName (EN)</t>
  </si>
  <si>
    <t>DictionaryName (EN)</t>
  </si>
  <si>
    <t>KBOB FM Data Dictionary</t>
  </si>
  <si>
    <t>REQUIRED</t>
  </si>
  <si>
    <t>Required authoring title in English — source for DictionaryCode generation</t>
  </si>
  <si>
    <t>DictionaryName (DE)</t>
  </si>
  <si>
    <t>KBOB Datenkatalog FM</t>
  </si>
  <si>
    <t>OPTIONAL</t>
  </si>
  <si>
    <t>Core authoring title in German — minimal DCAT/i14y anchor</t>
  </si>
  <si>
    <t>DictionaryName (FR)</t>
  </si>
  <si>
    <t>Catalogue de données KBOB FM</t>
  </si>
  <si>
    <t>Optional multilingual title support</t>
  </si>
  <si>
    <t>DictionaryName (IT)</t>
  </si>
  <si>
    <t>DictionaryVersion</t>
  </si>
  <si>
    <t>0.3.0</t>
  </si>
  <si>
    <t>Semantic versioning: MAJOR.MINOR.PATCH</t>
  </si>
  <si>
    <t>DictionaryUri</t>
  </si>
  <si>
    <t>Derived from OrganizationCode and DictionaryCode; canonical base pattern https://example.com/&lt;OrganizationCode&gt;/&lt;DictionaryCode&gt;</t>
  </si>
  <si>
    <t>GOVERNANCE</t>
  </si>
  <si>
    <t>LifecycleStatus</t>
  </si>
  <si>
    <t>Governance state used to derive i14y registration status</t>
  </si>
  <si>
    <t>LEGEND</t>
  </si>
  <si>
    <t xml:space="preserve">REQUIRED: </t>
  </si>
  <si>
    <t>Must be filled before validation/export</t>
  </si>
  <si>
    <t xml:space="preserve">OPTIONAL: </t>
  </si>
  <si>
    <t>Fill if available</t>
  </si>
  <si>
    <t>Data Dictionary — Additional Metadata</t>
  </si>
  <si>
    <t>GOVERNANCE / PUBLISHING</t>
  </si>
  <si>
    <t>Owner / Publisher</t>
  </si>
  <si>
    <t>REQUIRED WHEN USED</t>
  </si>
  <si>
    <t>dct:publisher / i14y publisher mapping</t>
  </si>
  <si>
    <t>ContactEmail</t>
  </si>
  <si>
    <t>dcat:contactPoint / i14y contact</t>
  </si>
  <si>
    <t>Description (DE)</t>
  </si>
  <si>
    <t>dct:description@de</t>
  </si>
  <si>
    <t>dct:description@fr</t>
  </si>
  <si>
    <t>dct:description@en</t>
  </si>
  <si>
    <t>PrimaryLanguage</t>
  </si>
  <si>
    <t>Primary metadata/content language</t>
  </si>
  <si>
    <t>MetadataLanguages</t>
  </si>
  <si>
    <t>Additional metadata languages; delimited list allowed</t>
  </si>
  <si>
    <t>ReleaseDate</t>
  </si>
  <si>
    <t>dct:issued — format YYYY-MM-DD</t>
  </si>
  <si>
    <t>ModifiedDate</t>
  </si>
  <si>
    <t>QualityAssuranceProcedure</t>
  </si>
  <si>
    <t>QualityAssuranceProcedureUrl</t>
  </si>
  <si>
    <t>DISCOVERY / CATALOG METADATA</t>
  </si>
  <si>
    <t>Keywords (DE)</t>
  </si>
  <si>
    <t>German keywords/tags — dcat:keyword@de</t>
  </si>
  <si>
    <t>Keywords (FR)</t>
  </si>
  <si>
    <t>French keywords/tags — dcat:keyword@fr</t>
  </si>
  <si>
    <t>Keywords (EN)</t>
  </si>
  <si>
    <t>English keywords/tags — dcat:keyword@en</t>
  </si>
  <si>
    <t>AccessRights</t>
  </si>
  <si>
    <t>Access rights / visibility statement — dct:accessRights</t>
  </si>
  <si>
    <t>eCH_Theme</t>
  </si>
  <si>
    <t>Swiss eCH thematic classification / topic category</t>
  </si>
  <si>
    <t>SpatialCoverage</t>
  </si>
  <si>
    <t>Geographic scope or covered territory — dct:spatial</t>
  </si>
  <si>
    <t>TemporalCoverage</t>
  </si>
  <si>
    <t>Covered time period / validity period — dct:temporal</t>
  </si>
  <si>
    <t>DocumentationURLs</t>
  </si>
  <si>
    <t>Supporting documentation links; delimited list allowed</t>
  </si>
  <si>
    <t>RelatedResourceURLs</t>
  </si>
  <si>
    <t>Related datasets/resources links — dct:relation</t>
  </si>
  <si>
    <t>ApplicableLegislation</t>
  </si>
  <si>
    <t>Applicable legal basis / legislation references</t>
  </si>
  <si>
    <t>LICENSING</t>
  </si>
  <si>
    <t>License</t>
  </si>
  <si>
    <t>Human-readable license name — dct:license</t>
  </si>
  <si>
    <t>LicenseUrl</t>
  </si>
  <si>
    <t>Resolvable license URI/URL — dct:license</t>
  </si>
  <si>
    <t>TECHNICAL ENDPOINTS</t>
  </si>
  <si>
    <t>SPARQL_Endpoint</t>
  </si>
  <si>
    <t>SPARQL endpoint URL for published graph access</t>
  </si>
  <si>
    <t>TTL_Download_URL</t>
  </si>
  <si>
    <t>Download URL for Turtle/RDF serialization — dcat:distribution</t>
  </si>
  <si>
    <t>JSON_Download_URL</t>
  </si>
  <si>
    <t>Download URL for JSON/JSON-LD serialization — dcat:distribution</t>
  </si>
  <si>
    <t>MoreInfoUrl</t>
  </si>
  <si>
    <t>Landing page / homepage</t>
  </si>
  <si>
    <t>STANDARDS ALIGNMENT</t>
  </si>
  <si>
    <t>ConformsTo_ISO23386</t>
  </si>
  <si>
    <t>dct:conformsTo — property methodology</t>
  </si>
  <si>
    <t>ConformsTo_ISO12006_3</t>
  </si>
  <si>
    <t>ConformsTo_DCAT_AP_CH</t>
  </si>
  <si>
    <t>VersionNotes (DE)</t>
  </si>
  <si>
    <t>VersionNotes (FR)</t>
  </si>
  <si>
    <t>VersionNotes (EN)</t>
  </si>
  <si>
    <t>Structural categorisation</t>
  </si>
  <si>
    <t>Domain/Domäne/Domaine/Dominio</t>
  </si>
  <si>
    <t>System/System/Système/Sistema</t>
  </si>
  <si>
    <t>Category/Kategorie/Catégorie/Categoria</t>
  </si>
  <si>
    <t>Classes</t>
  </si>
  <si>
    <t>Class-ID</t>
  </si>
  <si>
    <t>Class-Code</t>
  </si>
  <si>
    <t>Class-Assignment</t>
  </si>
  <si>
    <t>Klassen-Zuordnung (DE)</t>
  </si>
  <si>
    <t>Affectation de classe (FR)</t>
  </si>
  <si>
    <t>Assegnazione della classe (IT)</t>
  </si>
  <si>
    <t>RDS</t>
  </si>
  <si>
    <t>RelatedDocuments</t>
  </si>
  <si>
    <t>RelatedDocumentName (EN)</t>
  </si>
  <si>
    <t>Rules.Class-Assignment</t>
  </si>
  <si>
    <t>Rules.Klassen-Zuordnung</t>
  </si>
  <si>
    <t>Rules.Affectation de classe</t>
  </si>
  <si>
    <t>Rules.Assegnazione della classe</t>
  </si>
  <si>
    <t>https://www.kbob.admin.ch/class/grundstuck</t>
  </si>
  <si>
    <t>grundstuck</t>
  </si>
  <si>
    <t>Spatial structure</t>
  </si>
  <si>
    <t>Site</t>
  </si>
  <si>
    <t>Grundstück</t>
  </si>
  <si>
    <t>KBOB FM object class for a site as a spatial unit of a developed or undeveloped plot.</t>
  </si>
  <si>
    <t>KBOB-FM-Objektklasse für ein Grundstück als räumliche Einheit des bebauten oder unbebauten Areals.</t>
  </si>
  <si>
    <t>https://identifier.buildingsmart.org/uri/buildingsmart/ifc/4.3/class/IfcSite</t>
  </si>
  <si>
    <t>IfcSite</t>
  </si>
  <si>
    <t>KBOB DK FM_i14y.csv</t>
  </si>
  <si>
    <t>https://www.kbob.admin.ch/class/gebaude</t>
  </si>
  <si>
    <t>gebaude</t>
  </si>
  <si>
    <t>Building</t>
  </si>
  <si>
    <t>Gebäude</t>
  </si>
  <si>
    <t>KBOB FM object class for a building as an independent built asset.</t>
  </si>
  <si>
    <t>KBOB-FM-Objektklasse für ein Gebäude als eigenständiges Bauwerk.</t>
  </si>
  <si>
    <t>https://identifier.buildingsmart.org/uri/buildingsmart/ifc/4.3/class/IfcBuilding</t>
  </si>
  <si>
    <t>IfcBuilding</t>
  </si>
  <si>
    <t>https://www.kbob.admin.ch/class/geschoss</t>
  </si>
  <si>
    <t>geschoss</t>
  </si>
  <si>
    <t>Geschoss</t>
  </si>
  <si>
    <t>KBOB FM object class for a storey as a spatial level within a building.</t>
  </si>
  <si>
    <t>KBOB-FM-Objektklasse für ein Geschoss als räumliche Ebene innerhalb eines Gebäudes.</t>
  </si>
  <si>
    <t>https://identifier.buildingsmart.org/uri/buildingsmart/ifc/4.3/class/IfcBuildingStorey</t>
  </si>
  <si>
    <t>IfcBuildingStorey</t>
  </si>
  <si>
    <t>https://www.kbob.admin.ch/class/raum</t>
  </si>
  <si>
    <t>raum</t>
  </si>
  <si>
    <t>Room</t>
  </si>
  <si>
    <t>Raum</t>
  </si>
  <si>
    <t>KBOB FM object class for a room as a usable spatial unit within a storey.</t>
  </si>
  <si>
    <t>KBOB-FM-Objektklasse für einen Raum als nutzbare räumliche Einheit innerhalb eines Geschosses.</t>
  </si>
  <si>
    <t>https://identifier.buildingsmart.org/uri/buildingsmart/ifc/4.3/class/IfcSpace</t>
  </si>
  <si>
    <t>IfcSpace</t>
  </si>
  <si>
    <t>https://www.kbob.admin.ch/class/bauteil</t>
  </si>
  <si>
    <t>bauteil</t>
  </si>
  <si>
    <t>Physical elements</t>
  </si>
  <si>
    <t>Component</t>
  </si>
  <si>
    <t>Bauteil</t>
  </si>
  <si>
    <t>KBOB FM object class for a component as an identifiable element of a building or facility.</t>
  </si>
  <si>
    <t>KBOB-FM-Objektklasse für ein Bauteil als identifizierbares Element eines Bauwerks oder einer Anlage.</t>
  </si>
  <si>
    <t>https://identifier.buildingsmart.org/uri/buildingsmart/ifc/4.3/class/IfcElement</t>
  </si>
  <si>
    <t>IfcElement</t>
  </si>
  <si>
    <t>Enumerations</t>
  </si>
  <si>
    <t>Enumeration-ID</t>
  </si>
  <si>
    <t>Enumeration-Code</t>
  </si>
  <si>
    <t>Enumeration (EN)</t>
  </si>
  <si>
    <t>Werteliste
(DE)</t>
  </si>
  <si>
    <t>Liste de valeurs
(FR)</t>
  </si>
  <si>
    <t>Lista valori
(IT)</t>
  </si>
  <si>
    <t>Documents</t>
  </si>
  <si>
    <t>Document-ID</t>
  </si>
  <si>
    <t>Document-Code</t>
  </si>
  <si>
    <t>DocumentName (EN)</t>
  </si>
  <si>
    <t>Security level/Sicherheitsstufe/Niveau de sécurité/Livello di sicurezza</t>
  </si>
  <si>
    <t>Accessibility/Zugänglichkeit/Accessibilité/Accessibilità</t>
  </si>
  <si>
    <t>DocumentOwner</t>
  </si>
  <si>
    <t>Rules.ISG - Informationssicherheitsgesetz</t>
  </si>
  <si>
    <t>Rules.FAIR Prinzipien</t>
  </si>
  <si>
    <t>nicht klassifiziert</t>
  </si>
  <si>
    <t>Zugänglich unentgeltlich</t>
  </si>
  <si>
    <t>Group of Properties</t>
  </si>
  <si>
    <t>GoP-ID</t>
  </si>
  <si>
    <t>GoP-Code</t>
  </si>
  <si>
    <t>GoP</t>
  </si>
  <si>
    <t>LOIN</t>
  </si>
  <si>
    <t>GoP - Designation/Bezeichnung/Désignation/Designazione</t>
  </si>
  <si>
    <t>Property - Designation/Bezeichnung/Désignation/Designazione</t>
  </si>
  <si>
    <t>Document - Designation/Bezeichnung/Désignation/Designazione</t>
  </si>
  <si>
    <t>LOIN_Milestone</t>
  </si>
  <si>
    <t>LOIN_Role</t>
  </si>
  <si>
    <t>LOIN_UseCase</t>
  </si>
  <si>
    <t>Class - Designation/Bezeichnung/Désignation/Designazione</t>
  </si>
  <si>
    <t>x</t>
  </si>
  <si>
    <t>05</t>
  </si>
  <si>
    <t>.</t>
  </si>
  <si>
    <t>01</t>
  </si>
  <si>
    <t>004</t>
  </si>
  <si>
    <t>nnn</t>
  </si>
  <si>
    <t>Schalldämpfer</t>
  </si>
  <si>
    <t>242.2</t>
  </si>
  <si>
    <t>-</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</si>
  <si>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</si>
  <si>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</si>
  <si>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</si>
  <si>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</si>
  <si>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</si>
  <si>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</si>
  <si>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</si>
  <si>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</si>
  <si>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</si>
  <si>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</si>
  <si>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</si>
  <si>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</si>
  <si>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</si>
  <si>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</si>
  <si>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</si>
  <si>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</si>
  <si>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</si>
  <si>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</si>
  <si>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</si>
  <si>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</si>
  <si>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</si>
  <si>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</si>
  <si>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</si>
  <si>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</si>
  <si>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</si>
  <si>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</si>
  <si>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</si>
  <si>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</si>
  <si>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</si>
  <si>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</si>
  <si>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</si>
  <si>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</si>
  <si>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</si>
  <si>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</si>
  <si>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</si>
  <si>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Klassen-Zuordnung</t>
  </si>
  <si>
    <t>Affectation de classe</t>
  </si>
  <si>
    <t>Assegnazione della classe</t>
  </si>
  <si>
    <t>Merkmals-Zuordnung</t>
  </si>
  <si>
    <t>Attribution de propriété</t>
  </si>
  <si>
    <t>Assegnazione della proprietà</t>
  </si>
  <si>
    <t>DataType</t>
  </si>
  <si>
    <t>IFC Data Type</t>
  </si>
  <si>
    <t>ISG - Informationssicherheitsgesetz</t>
  </si>
  <si>
    <t>FAIR Prinzipien</t>
  </si>
  <si>
    <t>Systems / Installations</t>
  </si>
  <si>
    <t>Systeme / Anlagen</t>
  </si>
  <si>
    <t>Systèmes / installations</t>
  </si>
  <si>
    <t>Sistemi / installazioni</t>
  </si>
  <si>
    <t>not defined</t>
  </si>
  <si>
    <t>nicht definiert</t>
  </si>
  <si>
    <t>non défini</t>
  </si>
  <si>
    <t>non definito</t>
  </si>
  <si>
    <t>BOOLEAN</t>
  </si>
  <si>
    <t>Preview</t>
  </si>
  <si>
    <t>Zugänglich kostenpflichtig</t>
  </si>
  <si>
    <t>Physische Bauteile</t>
  </si>
  <si>
    <t>Éléments physiques</t>
  </si>
  <si>
    <t>Elementi fisici</t>
  </si>
  <si>
    <t>Identification and classification</t>
  </si>
  <si>
    <t>Identifikation und Klassifikation</t>
  </si>
  <si>
    <t>Identification et classification</t>
  </si>
  <si>
    <t>Identificazione e classificazione</t>
  </si>
  <si>
    <t>CHARACTER</t>
  </si>
  <si>
    <t>IfcBoolean</t>
  </si>
  <si>
    <t>Active</t>
  </si>
  <si>
    <t>intern</t>
  </si>
  <si>
    <t>Räumliche Struktur</t>
  </si>
  <si>
    <t>Structure spatiale</t>
  </si>
  <si>
    <t>Struttura spaziale</t>
  </si>
  <si>
    <t>Manufacturer and product information</t>
  </si>
  <si>
    <t>Hersteller- und Produktinformationen</t>
  </si>
  <si>
    <t>Informations sur le fabricant et le produit</t>
  </si>
  <si>
    <t>Informazioni sul produttore e sul prodotto</t>
  </si>
  <si>
    <t>IfcDate</t>
  </si>
  <si>
    <t>Inactive</t>
  </si>
  <si>
    <t>sensitiv</t>
  </si>
  <si>
    <t>Nicht zugänglich - kostenpflichtig</t>
  </si>
  <si>
    <t>Logical zones &amp; groups</t>
  </si>
  <si>
    <t>Logische Zonen &amp; Gruppen</t>
  </si>
  <si>
    <t>Zones logiques et groupes</t>
  </si>
  <si>
    <t>Zone logiche e gruppi</t>
  </si>
  <si>
    <t>Geometric characteristics</t>
  </si>
  <si>
    <t>Geometrische Eigenschaften</t>
  </si>
  <si>
    <t>Caractéristiques géométriques</t>
  </si>
  <si>
    <t>Caratteristiche geometriche</t>
  </si>
  <si>
    <t>IfcDateTime</t>
  </si>
  <si>
    <t>Deprecated</t>
  </si>
  <si>
    <t>geheim</t>
  </si>
  <si>
    <t>Nicht zugänglich - unentgeltlich</t>
  </si>
  <si>
    <t>Geometric references &amp; grids</t>
  </si>
  <si>
    <t>Geometrische Referenzen &amp; Raster</t>
  </si>
  <si>
    <t>Références géométriques et grilles</t>
  </si>
  <si>
    <t>Riferimenti geometrici e griglie</t>
  </si>
  <si>
    <t>Physical characteristics</t>
  </si>
  <si>
    <t>Physikalische Eigenschaften</t>
  </si>
  <si>
    <t>Caractéristiques physiques</t>
  </si>
  <si>
    <t>Caratteristiche fisiche</t>
  </si>
  <si>
    <t>IfcDuration</t>
  </si>
  <si>
    <t>Retired</t>
  </si>
  <si>
    <t>Actors</t>
  </si>
  <si>
    <t>Akteure</t>
  </si>
  <si>
    <t>Acteurs</t>
  </si>
  <si>
    <t>Attori</t>
  </si>
  <si>
    <t>Material and construction</t>
  </si>
  <si>
    <t>Material und Aufbau</t>
  </si>
  <si>
    <t>Matériau et constitution</t>
  </si>
  <si>
    <t>Materiale e struttura</t>
  </si>
  <si>
    <t>TIME</t>
  </si>
  <si>
    <t>IfcGloballyUniqueId</t>
  </si>
  <si>
    <t>Resources</t>
  </si>
  <si>
    <t>Ressourcen</t>
  </si>
  <si>
    <t>Ressources</t>
  </si>
  <si>
    <t>Risorse</t>
  </si>
  <si>
    <t>Operating conditions and limits</t>
  </si>
  <si>
    <t>Betriebsbedingungen und Grenzwerte</t>
  </si>
  <si>
    <t>Conditions de fonctionnement et limites</t>
  </si>
  <si>
    <t>Condizioni operative e limiti</t>
  </si>
  <si>
    <t>DATETIME</t>
  </si>
  <si>
    <t>IfcIdentifier</t>
  </si>
  <si>
    <t>Recorded</t>
  </si>
  <si>
    <t>Processes &amp; tasks</t>
  </si>
  <si>
    <t>Prozesse &amp; Aufgaben</t>
  </si>
  <si>
    <t>Processus et tâches</t>
  </si>
  <si>
    <t>Processi e compiti</t>
  </si>
  <si>
    <t>Performance characteristics</t>
  </si>
  <si>
    <t>Leistungs- und Funktionskennwerte</t>
  </si>
  <si>
    <t>Caractéristiques de performance et de fonctionnement</t>
  </si>
  <si>
    <t>Caratteristiche prestazionali e funzionali</t>
  </si>
  <si>
    <t>Superseded</t>
  </si>
  <si>
    <t>Hydraulic / flow characteristics</t>
  </si>
  <si>
    <t>Hydraulische / strömungstechnische Kennwerte</t>
  </si>
  <si>
    <t>Caractéristiques hydrauliques / d’écoulement</t>
  </si>
  <si>
    <t>Caratteristiche idrauliche / di flusso</t>
  </si>
  <si>
    <t>Incomplete</t>
  </si>
  <si>
    <t>Thermal characteristics</t>
  </si>
  <si>
    <t>Thermische Kennwerte</t>
  </si>
  <si>
    <t>Caractéristiques thermiques</t>
  </si>
  <si>
    <t>Caratteristiche termiche</t>
  </si>
  <si>
    <t>IfcLengthMeasure</t>
  </si>
  <si>
    <t>Electrical characteristics</t>
  </si>
  <si>
    <t>Elektrische Kennwerte</t>
  </si>
  <si>
    <t>Caractéristiques électriques</t>
  </si>
  <si>
    <t>Caratteristiche elettriche</t>
  </si>
  <si>
    <t>IfcLocalTime</t>
  </si>
  <si>
    <t>Measurement, control and sensing</t>
  </si>
  <si>
    <t>Mess-, Steuer- und Regelungsdaten</t>
  </si>
  <si>
    <t>Caractéristiques de mesure, de commande et de détection</t>
  </si>
  <si>
    <t>Caratteristiche di misurazione, controllo e rilevamento</t>
  </si>
  <si>
    <t>IfcLogical</t>
  </si>
  <si>
    <t>Connection and interface characteristics</t>
  </si>
  <si>
    <t>Anschluss- und Schnittstelleninformationen</t>
  </si>
  <si>
    <t>Caractéristiques de raccordement et d’interface</t>
  </si>
  <si>
    <t>Caratteristiche di collegamento e interfaccia</t>
  </si>
  <si>
    <t>IfcNormalisedRatioMeasure</t>
  </si>
  <si>
    <t>Safety and protection characteristics</t>
  </si>
  <si>
    <t>Sicherheits- und Schutzmerkmale</t>
  </si>
  <si>
    <t>Caractéristiques de sécurité et de protection</t>
  </si>
  <si>
    <t>Caratteristiche di sicurezza e protezione</t>
  </si>
  <si>
    <t>IfcPositiveInteger</t>
  </si>
  <si>
    <t>Installation and delivery information</t>
  </si>
  <si>
    <t>Montage-, Einbau- und Lieferinformationen</t>
  </si>
  <si>
    <t>Informations de montage, d’installation et de livraison</t>
  </si>
  <si>
    <t>Informazioni di montaggio, installazione e fornitura</t>
  </si>
  <si>
    <t>IfcPositiveLengthMeasure</t>
  </si>
  <si>
    <t>Reference and documentation information</t>
  </si>
  <si>
    <t>Referenz- und Dokumentationsinformationen</t>
  </si>
  <si>
    <t>Informations de référence et de documentation</t>
  </si>
  <si>
    <t>Informazioni di riferimento e documentazione</t>
  </si>
  <si>
    <t>IfcPositiveRatioMeasure</t>
  </si>
  <si>
    <t>IfcPositiveTimeMeasure</t>
  </si>
  <si>
    <t>IfcRatioMeasure</t>
  </si>
  <si>
    <t>IfcText</t>
  </si>
  <si>
    <t>IfcThermalTransmittanceMeasure</t>
  </si>
  <si>
    <t>IfcTime</t>
  </si>
  <si>
    <t>IfcURIReference</t>
  </si>
  <si>
    <r>
      <t>Darf nicht vom Erstelle</t>
    </r>
    <r>
      <rPr>
        <b/>
        <sz val="10"/>
        <color theme="1"/>
        <rFont val="Arial"/>
        <family val="2"/>
      </rPr>
      <t xml:space="preserve">r </t>
    </r>
    <r>
      <rPr>
        <sz val="10"/>
        <color theme="1"/>
        <rFont val="Arial"/>
        <family val="2"/>
      </rPr>
      <t>manuell ausgefüllt werden, son</t>
    </r>
    <r>
      <rPr>
        <b/>
        <sz val="10"/>
        <color theme="1"/>
        <rFont val="Arial"/>
        <family val="2"/>
      </rPr>
      <t>d</t>
    </r>
    <r>
      <rPr>
        <sz val="10"/>
        <color theme="1"/>
        <rFont val="Arial"/>
        <family val="2"/>
      </rPr>
      <t>ern wird auf eine Quelle referenziert, resp. von eine Datenbank automatisch generiert</t>
    </r>
  </si>
  <si>
    <t>Postcode</t>
  </si>
  <si>
    <t>Address line</t>
  </si>
  <si>
    <t>Gross building volume</t>
  </si>
  <si>
    <t>Building insurance reference</t>
  </si>
  <si>
    <t>Electricity supply connection</t>
  </si>
  <si>
    <t>Water supply connection</t>
  </si>
  <si>
    <t>Heating supply connection</t>
  </si>
  <si>
    <t>External area use</t>
  </si>
  <si>
    <t>Building use class</t>
  </si>
  <si>
    <t>Seismic risk class</t>
  </si>
  <si>
    <t>SIA 416 area category</t>
  </si>
  <si>
    <t>d0165 area category</t>
  </si>
  <si>
    <t>Design occupancy</t>
  </si>
  <si>
    <t>Lettable status</t>
  </si>
  <si>
    <t>eBKP-H code</t>
  </si>
  <si>
    <t>Raised access floor</t>
  </si>
  <si>
    <t>Grundstückbezeichnung</t>
  </si>
  <si>
    <t>Site designation</t>
  </si>
  <si>
    <t>Property for specifying the site designation.</t>
  </si>
  <si>
    <t>Property for specifying the postcode.</t>
  </si>
  <si>
    <t>Property for specifying the address line.</t>
  </si>
  <si>
    <t>Property for specifying the the gross building volume.</t>
  </si>
  <si>
    <t>Property for specifying the building insurance reference.</t>
  </si>
  <si>
    <t>Property for specifying the electrical supply connection.</t>
  </si>
  <si>
    <t>Property for specifying the water supply connection.</t>
  </si>
  <si>
    <t>Property for specifying the heating supply connection.</t>
  </si>
  <si>
    <t>Property for specifying the external area use.</t>
  </si>
  <si>
    <t>Property for specifying the building use class.</t>
  </si>
  <si>
    <t>Property for specifying the seismic risk class.</t>
  </si>
  <si>
    <t>Building storey ID</t>
  </si>
  <si>
    <t>Building storey designation</t>
  </si>
  <si>
    <t>Building storey volume</t>
  </si>
  <si>
    <t>Building storey height</t>
  </si>
  <si>
    <t>Building storey area</t>
  </si>
  <si>
    <t>External building storey area</t>
  </si>
  <si>
    <t>Merkmal zur Angabe von der Grundstückbezeichnung.</t>
  </si>
  <si>
    <t>Property for uniquely identifying external area.</t>
  </si>
  <si>
    <t>Property for specifying the external area number.</t>
  </si>
  <si>
    <t>Property for specifying the the design occupancy.</t>
  </si>
  <si>
    <t>Anlagenkennzeichnungssystem</t>
  </si>
  <si>
    <t>Asset condition rating</t>
  </si>
  <si>
    <t>Property for specifying the asset identification code.</t>
  </si>
  <si>
    <t>Property for specifying whether the room is lettable.</t>
  </si>
  <si>
    <t>Property for specifying the the relative humidity.</t>
  </si>
  <si>
    <t>Property for specifying the asset condition rating.</t>
  </si>
  <si>
    <t>["true", "false"]</t>
  </si>
  <si>
    <t>["1.2", "1.2.1", "1.2.2", 2, "2.1.1.1", "2.1.1.2", "2.1.2", "2.1.3", 3, "3.1.1", "3.1.2", "3.1.3", "AIRSPACE", "ROOF", 1, 2, 3, 4]</t>
  </si>
  <si>
    <t>["1_GSF", "1.1_GGF", "1.2_UF", "1.2.1_BUF", "1.2.2_UUF", "2_GF", "2.1.1.1_HNF", "2.1.1.2_NNF", "2.1.2_VF", "2.1.3_FF", "3_AGF", "3.1_ANGF", "3.1.1_ANF", "3.1.2_AVF", "3.1.3_AFF", "5_GV", "AIRSPACE_LUFTRAUM", "ROOF_DACH"]</t>
  </si>
  <si>
    <t>[1.1, 1.2, 1.3, 1.4, 1.5, 1.6, 2.1, 2.2, 2.3, 2.4, 2.5, 2.6, 2.7, 2.8, 3.1, 3.2, 3.3, 3.4, 3.5, 3.6, 3.7, 3.8, 3.9, 4.1, 4.2, 4.3, 4.4, 4.5, 4.6, 5.1, 5.2, 5.3, 5.4, 5.5, 5.6, 5.7, 5.8, 5.9, 6.1, 6.2, 6.3, 6.4, 6.5, 6.6, 6.7, 6.8, 7.1, 7.2, 7.3, 7.4, 7.5, 7.6, 7.7, 8.1, 8.2, 8.3, 8.4, 8.5, 8.6, 8.7, 8.8, 8.9, 9.1, 9.2, 9.3, 9.4, 10.1]</t>
  </si>
  <si>
    <t>["1.1_Wohnräume", "1.2_Gemeinschaftsräume", "1.3_Pausenräume", "1.4_Warteräume", "1.5_Speiseräume", "1.6_Hafträume", "2.1_Büroräume", "2.2_Grossraumbüros", "2.3_Besprechungsräume", "2.4_Konstruktionsräume", "2.5_Schalterräume", "2.6_Bedienungsräume", "2.7_Aufsichtsräume", "2.8_Bürotechnikräume", "3.1_Werkhallen", "3.2_Werkstätten", "3.3_Technologische Labors", "3.4_Physikalische/physikaltechnische/elektrotechnische Labors", "3.5_Chemische/bakteriologische/morphologische Labors", "3.6_Räume für Tierhaltung", "3.7_Räume für Pflanzenzucht", "3.8_Küchen", "3.9_Sonderarbeitsräume", "4.1_Lagerräume", "4.2_Archive/Sammlungsräume", "4.3_Kühlräume", "4.4_Annahme- und Ausgaberäume", "4.5_Verkaufsräume", "4.6_Ausstellungsräume", "5.1_Unterrichtsräume mit festem Gestühl", "5.2_Allgemein Unterrichts- und Übungsräume ohne festes Gestühl", "5.3_Besondere Unterrichts- und Übungsräume ohne festes Gestühl", "5.4_Bibliotheksräume", "5.5_Sporträume", "5.6_Versammlungsräume", "5.7_Bühnen-/Studioräume", "5.8_Schauräume", "5.9_Sakralräume", "6.1_Räume mit allgemeiner medizinischen Ausstattung", "6.2_Räume mit besonderer medizinischen Ausstattung", "6.3_Räume für operative Eingriffe/Endoskopien/Entbindungen", "6.4_Räume für Strahlendiagnostik", "6.5_Räume für Strahlentherapie", "6.6_Räume für Physiotherapie und Rehabilitation", "6.7_Bettenräume mit allgemeiner Ausstattung", "6.8_Bettenräume mit besonderer Ausstattung", "7.1_Sanitärräume", "7.2_Garderoben", "7.3_Abstellräume", "7.4_Fahrzeugabstellflächen", "7.5_Fahrgastflächen", "7.6_Räume für zentrale Technik", "7.7_Schutzräum", "8.1_Abwasseraufbereitung u. -beseitigung", "8.2_Wasserversorgung", "8.3_Heizung und Brauchwassererwärmung", "8.4_Gase und Flüssigkeiten", "8.5_Elektrische Stromversorgung", "8.6_Fernmeldetechnik", "8.7_Raumlufttechnische Anlagen", "8.8_Aufzugs- und Förderanlagen", "8.9_Sonstige betriebstechnische Anlagen", "9.1_Flure/Hallen", "9.2_Treppen", "9.3_Schächte für Förderanlagen", "9.4_Fahrzeugsverkehrsflächen", "10.1_aussenliegende Fahrzeugabstellflächen"]</t>
  </si>
  <si>
    <t>https://identifier.buildingsmart.org/uri/buildingsmart/ifc/4.3/class/IfcOccupantOWNER</t>
  </si>
  <si>
    <t>https://identifier.buildingsmart.org/uri/buildingsmart/ifc/4.3/class/Pset_SpatialZoneCommon</t>
  </si>
  <si>
    <t>https://identifier.buildingsmart.org/uri/buildingsmart/ifc/4.3/prop/ElementType</t>
  </si>
  <si>
    <t>https://identifier.buildingsmart.org/uri/buildingsmart/ifc/4.3/prop/GlazingAreaFraction</t>
  </si>
  <si>
    <t>Building storey</t>
  </si>
  <si>
    <t>Property for specifying whether the room is ventilated.</t>
  </si>
  <si>
    <t>City</t>
  </si>
  <si>
    <t>Asset Identification Code</t>
  </si>
  <si>
    <t>Life span</t>
  </si>
  <si>
    <t>Business unit ID</t>
  </si>
  <si>
    <t>Property for specifying the political municipality</t>
  </si>
  <si>
    <t>Property for uniquely identifying the building.</t>
  </si>
  <si>
    <t>Merkmal zur eindeutigen Identifikation des Gebäudes.</t>
  </si>
  <si>
    <t>Property for specifying the year of construction.</t>
  </si>
  <si>
    <t>Property for specifying whether the room forms a part of an escape route.</t>
  </si>
  <si>
    <t>Property for specifying whether the room has the solar shading.</t>
  </si>
  <si>
    <t>m</t>
  </si>
  <si>
    <t>h⁻¹</t>
  </si>
  <si>
    <t>Property for specifying whether the room has the raised floor.</t>
  </si>
  <si>
    <t>https://identifier.buildingsmart.org/uri/buildingsmart/ifc/4.3/class/Pset_WindowCommon</t>
  </si>
  <si>
    <t>Merkmal zur Angabe von dem Anlagenkennzeichnungssystem-Code.</t>
  </si>
  <si>
    <t>Property for specifying whether the component has an escape route function.</t>
  </si>
  <si>
    <t>https://identifier.buildingsmart.org/uri/buildingsmart/ifc/4.3/prop/AcceptanceDate</t>
  </si>
  <si>
    <t>https://identifier.buildingsmart.org/uri/buildingsmart/ifc/4.3/class/Pset_InstallationOccurrence</t>
  </si>
  <si>
    <t>https://identifier.buildingsmart.org/uri/buildingsmart/ifc/4.3/prop/PutIntoOperationDate</t>
  </si>
  <si>
    <t>["Zürich", "Bern", "Luzern", "Uri", "Schwyz", "Obwalden", "Nidwalden", "Glarus", "Zug", "Freiburg", "Solothurn", "Basel-Stadt", "Basel-Landschaft", "Schaffhausen", "Appenzell Ausserrhoden", "Appenzell Innerrhoden", "St. Gallen", "Graubünden", "Aargau", "Thurgau", "Tessin", "Waadt", "Wallis", "Neuenburg", "Genf", "Jura"]</t>
  </si>
  <si>
    <t>["A01.01", "A01.02", "A01.03", "A01.04", "A02.01", "A02.02", "A02.03", "A02.04", "A02.05", "A02.06", "A02.07", "B01.01", "B01.02", "B01.03", "B01.04", "B02.01", "B02.02", "B02.03", "B02.04", "B02.05", "B02.06", "B02.07", "B02.08", "B03.01", "B03.02", "B03.03", "B03.04", "B03.05", "B04.01", "B04.02", "B04.03", "B04.04", "B04.05", "B04.06", "B04.07", "B04.08", "B05.01", "B05.02", "B05.03", "B06.01", "B06.02", "B06.03", "B06.04", "B06.05", "B06.06", "B07.01", "B07.02", "B07.03", "B07.04", "B08.01", "B08.02", "B08.03", "B08.04", "B09.01", "B09.02", "B09.03", "C01.01", "C01.02", "C01.03", "C01.04", "C01.05", "C02.01", "C02.02", "C03.01", "C03.02", "C04.01", "C04.02", "C04.03", "C04.04", "C04.05", "C04.06", "C04.07", "C04.08", "C05.01", "C05.02", "D01.01", "D01.02", "D01.03", "D01.04", "D01.05", "D01.06", "D01.07", "D01.08", "D01.09", "D01.10", "D01.11", "D02.01", "D02.02", "D02.03", "D02.04", "D02.05", "D02.06", "D02.07", "D03.01", "D03.02", "D03.03", "D03.04", "D04.01", "D04.02", "D04.03", "D04.04", "D04.05", "D04.06", "D04.07", "D05.01", "D05.02", "D05.03", "D05.04", "D05.05", "D05.06", "D06.01", "D06.02", "D06.03", "D06.04", "D06.05", "D06.06", "D07.01", "D07.02", "D07.03", "D07.04", "D07.05", "D07.06", "D08.01", "D08.02", "D08.03", "D08.04", "D08.05", "D08.06", "D09.01", "D09.02", "D09.03", "D09.04", "D09.05", "D10.01", "D10.02", "D10.03", "D10.04", "D10.05", "D11.01", "D11.02", "D11.03", "D11.04", "D11.05", "D12.01", "D12.02", "D12.03", "D12.04", "D12.05", "D12.06", "E01.01", "E01.02", "E01.03", "E02.01", "E02.02", "E02.03", "E02.04", "E02.05", "E02.06", "E03.01", "E03.02", "E03.03", "E03.04", "E03.05", "F01.01", "F01.02", "F01.03", "F01.04", "F02.01", "F02.02", "F02.03", "G01.01", "G01.02", "G01.03", "G01.04", "G01.05", "G01.06", "G02.01", "G02.02", "G03.01", "G03.02", "G04.01", "G04.02", "G05.01", "G05.02", "G05.03", "G05.04", "G05.05", "G05.06", "G05.07", "G06.01", "G06.02", "G06.03", "G06.04", "H01.01", "H01.02", "H01.03", "H01.04", "H01.05", "H02.01", "H02.02", "H02.03", "H02.04", "H02.05", "H03.01", "H03.02", "H03.03", "H03.04", "H03.05", "H04.01", "H04.02", "H04.03", "H04.04", "H04.05", "H05.01", "H05.02", "H05.03", "H05.04", "H05.05", "H05.06", "H05.07", "H05.08", "H05.09", "H05.10", "H05.11", "H05.12", "H06.01", "H06.02", "H06.03", "H06.04", "H07.01", "H07.02", "H07.03", "H07.04", "H08.01", "H08.02", "H08.03", "H08.04", "H09.01", "H09.02", "H09.03", "H09.04", "H09.05", "H09.06", "H09.07", "H09.08", "H09.09", "I01.01", "I01.02", "I02.01", "I02.02", "I02.03", "I02.04", "I02.05", "I02.06", "I02.07", "I02.08", "I03.01", "I03.02", "I03.03", "I03.04", "I03.05", "I03.06", "I03.07", "I03.08", "I03.09", "I04.01", "I04.02", "I04.03", "I04.04", "I05.01", "I05.02", "I05.03", "I05.04", "I05.05", "I05.06", "I05.07", "I05.08", "I06.01", "I06.02", "I06.03", "I06.04", "J01.01", "J01.02", "J01.03", "J01.04", "J02.01", "J02.02", "J02.03", "J03.01", "J03.02", "J04.01", "J04.02", "V01.01", "V01.02", "V01.03", "V01.04", "V01.05", "V01.06", "V01.07", "V02.01", "V02.02", "V03.01", "V03.02", "V03.03", "V03.04", "V03.05", "V03.06", "V03.07", "W01.01", "W01.02", "W02.01", "W02.02", "W02.03", "W03.01", "W03.02", "W04.01", "W04.02", "W04.03", "W05.01", "W06.01", "W06.02", "W06.03", "W06.04", "W07.01", "W07.02", "Y01.01", "Y02.01", "Z01.01"]</t>
  </si>
  <si>
    <t>Medienbezug Heizwärme</t>
  </si>
  <si>
    <t>Beheizt</t>
  </si>
  <si>
    <t>Gekühlt</t>
  </si>
  <si>
    <t>Sanitäre Anlagen</t>
  </si>
  <si>
    <t>Belüftet</t>
  </si>
  <si>
    <t>Merkmal zur Angabe, ob der Raum befüftet wird.</t>
  </si>
  <si>
    <t>Antriebsart</t>
  </si>
  <si>
    <t>2026-07-31T12:00:00Z</t>
  </si>
  <si>
    <t>SN 504 416 - Areas and volumes of buildings</t>
  </si>
  <si>
    <t>SN 504 416 -Flächen und Volumen von Gebäuden</t>
  </si>
  <si>
    <t>SIA</t>
  </si>
  <si>
    <t>Property for specifying whether the room is heated.</t>
  </si>
  <si>
    <t>Merkmal zur Angabe, ob der Raum beheizt wird.</t>
  </si>
  <si>
    <t>Merkmal zur Angabe, ob der Raum gekühlt wird.</t>
  </si>
  <si>
    <t>Merkmal zur Angabe, ob der Raum mit sanitären Anlagen ausgestattet ist.</t>
  </si>
  <si>
    <t>Property for specifying whether the room is equipped with sanitary facilities.</t>
  </si>
  <si>
    <t>Sanitary facilities</t>
  </si>
  <si>
    <t>Property for specifying whether the room is cooled.</t>
  </si>
  <si>
    <t>Cooled</t>
  </si>
  <si>
    <t>Heated</t>
  </si>
  <si>
    <t>KBOB_Geometrie</t>
  </si>
  <si>
    <t>KBOB_Geometry</t>
  </si>
  <si>
    <t>PropertySetName KBOB_Geometrie</t>
  </si>
  <si>
    <t>KBOB_Identifikation</t>
  </si>
  <si>
    <t>KBOB_Identification</t>
  </si>
  <si>
    <t>KBOB_Verortung</t>
  </si>
  <si>
    <t>KBOB_Klassifikation</t>
  </si>
  <si>
    <t>KBOB_Nutzung</t>
  </si>
  <si>
    <t>KBOB_Compliance</t>
  </si>
  <si>
    <t>KBOB_Betrieb</t>
  </si>
  <si>
    <t>KBOB_Technik</t>
  </si>
  <si>
    <t>KBOB_Wartung</t>
  </si>
  <si>
    <t>KBOB_Material</t>
  </si>
  <si>
    <t>KBOB_Location</t>
  </si>
  <si>
    <t>KBOB_Classification</t>
  </si>
  <si>
    <t>KBOB_Usage</t>
  </si>
  <si>
    <t>KBOB_Operations</t>
  </si>
  <si>
    <t>KBOB_Technical</t>
  </si>
  <si>
    <t>KBOB_Maintenance</t>
  </si>
  <si>
    <t>PropertySetName KBOB_Identifikation</t>
  </si>
  <si>
    <t>PropertySetName KBOB_Verortung</t>
  </si>
  <si>
    <t>PropertySetName KBOB_Klassifikation</t>
  </si>
  <si>
    <t>PropertySetName KBOB_Nutzung</t>
  </si>
  <si>
    <t>PropertySetName KBOB_Compliance</t>
  </si>
  <si>
    <t>PropertySetName KBOB_Betrieb</t>
  </si>
  <si>
    <t>PropertySetName KBOB_Technik</t>
  </si>
  <si>
    <t>PropertySetName KBOB_Wartung</t>
  </si>
  <si>
    <t>PropertySetName KBOB_Material</t>
  </si>
  <si>
    <t>PropertySetName  KBOB_Identification</t>
  </si>
  <si>
    <t>PropertySetName  KBOB_Location</t>
  </si>
  <si>
    <t>PropertySetName  KBOB_Classification</t>
  </si>
  <si>
    <t>PropertySetName  KBOB_Usage</t>
  </si>
  <si>
    <t>PropertySetName  KBOB_Compliance</t>
  </si>
  <si>
    <t>PropertySetName  KBOB_Geometry</t>
  </si>
  <si>
    <t>PropertySetName  KBOB_Operations</t>
  </si>
  <si>
    <t>PropertySetName  KBOB_Technical</t>
  </si>
  <si>
    <t>PropertySetName  KBOB_Maintenance</t>
  </si>
  <si>
    <t>PropertySetName  KBOB_Material</t>
  </si>
  <si>
    <t>medienbezug-heizwaerme</t>
  </si>
  <si>
    <t>grundstueckbezeichnung</t>
  </si>
  <si>
    <t>grundstueck-id</t>
  </si>
  <si>
    <t>beheizt</t>
  </si>
  <si>
    <t>gekühlt</t>
  </si>
  <si>
    <t>sanitäre-anlagen</t>
  </si>
  <si>
    <t>Property ID</t>
  </si>
  <si>
    <t>Property type</t>
  </si>
  <si>
    <t>Drive</t>
  </si>
  <si>
    <t>https://identifier.buildingsmart.org/uri/buildingsmart/ifc/4.3/prop/HasDrive</t>
  </si>
  <si>
    <t>Property for uniquely identifying the property.</t>
  </si>
  <si>
    <t>Property for specifying the property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</si>
</sst>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9"/>
      <color rgb="FF000000"/>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
      <b/>
      <sz val="12"/>
      <color theme="1"/>
      <name val="Arial"/>
      <family val="2"/>
    </font>
    <font>
      <sz val="10"/>
      <color rgb="FFFF0000"/>
      <name val="Arial"/>
      <family val="2"/>
    </font>
  </fonts>
  <fills count="17">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s>
  <borders count="24">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0" fillId="0" borderId="0"/>
    <xf numFmtId="0" fontId="4" fillId="0" borderId="0"/>
    <xf numFmtId="0" fontId="6" fillId="0" borderId="7"/>
    <xf numFmtId="0" fontId="12" fillId="0" borderId="0"/>
    <xf numFmtId="0" fontId="17" fillId="0" borderId="0"/>
    <xf numFmtId="0" fontId="4" fillId="0" borderId="0"/>
    <xf numFmtId="0" fontId="24" fillId="10" borderId="0"/>
    <xf numFmtId="0" fontId="10" fillId="0" borderId="0"/>
  </cellStyleXfs>
  <cellXfs count="267">
    <xf numFmtId="0" fontId="0" fillId="0" borderId="0" xfId="0"/>
    <xf numFmtId="0" fontId="5" fillId="0" borderId="0" xfId="0" applyFont="1"/>
    <xf numFmtId="49" fontId="7" fillId="0" borderId="1" xfId="0" applyNumberFormat="1" applyFont="1" applyBorder="1" applyAlignment="1">
      <alignment vertical="center"/>
    </xf>
    <xf numFmtId="49" fontId="7" fillId="0" borderId="2" xfId="0" applyNumberFormat="1" applyFont="1" applyBorder="1" applyAlignment="1">
      <alignment vertical="center"/>
    </xf>
    <xf numFmtId="49" fontId="7" fillId="0" borderId="3" xfId="0" applyNumberFormat="1" applyFont="1" applyBorder="1" applyAlignment="1">
      <alignment vertical="center"/>
    </xf>
    <xf numFmtId="49" fontId="7" fillId="0" borderId="6" xfId="0" applyNumberFormat="1" applyFont="1" applyBorder="1" applyAlignment="1">
      <alignment vertical="center"/>
    </xf>
    <xf numFmtId="49" fontId="7" fillId="0" borderId="9" xfId="0" applyNumberFormat="1" applyFont="1" applyBorder="1" applyAlignment="1">
      <alignment vertical="center"/>
    </xf>
    <xf numFmtId="49" fontId="7" fillId="0" borderId="5" xfId="0" applyNumberFormat="1" applyFont="1" applyBorder="1" applyAlignment="1">
      <alignment vertical="center"/>
    </xf>
    <xf numFmtId="49" fontId="7" fillId="0" borderId="8" xfId="0" applyNumberFormat="1" applyFont="1" applyBorder="1" applyAlignment="1">
      <alignment vertical="center"/>
    </xf>
    <xf numFmtId="49" fontId="7" fillId="0" borderId="4" xfId="0" applyNumberFormat="1" applyFont="1" applyBorder="1" applyAlignment="1">
      <alignment horizontal="center" vertical="center"/>
    </xf>
    <xf numFmtId="49" fontId="7" fillId="0" borderId="3" xfId="0" applyNumberFormat="1" applyFont="1" applyBorder="1" applyAlignment="1">
      <alignment horizontal="center" vertical="center"/>
    </xf>
    <xf numFmtId="49" fontId="7" fillId="0" borderId="6" xfId="0" applyNumberFormat="1" applyFont="1" applyBorder="1" applyAlignment="1">
      <alignment horizontal="center" vertical="center"/>
    </xf>
    <xf numFmtId="49" fontId="7" fillId="0" borderId="2" xfId="0" applyNumberFormat="1" applyFont="1" applyBorder="1" applyAlignment="1">
      <alignment horizontal="left" vertical="center"/>
    </xf>
    <xf numFmtId="49" fontId="7" fillId="0" borderId="3" xfId="0" applyNumberFormat="1" applyFont="1" applyBorder="1" applyAlignment="1">
      <alignment horizontal="left" vertical="center"/>
    </xf>
    <xf numFmtId="49" fontId="7" fillId="0" borderId="6" xfId="0" applyNumberFormat="1" applyFont="1" applyBorder="1" applyAlignment="1">
      <alignment horizontal="left" vertical="center"/>
    </xf>
    <xf numFmtId="49" fontId="7" fillId="0" borderId="2" xfId="0" applyNumberFormat="1" applyFont="1" applyBorder="1" applyAlignment="1">
      <alignment horizontal="center" vertical="center"/>
    </xf>
    <xf numFmtId="0" fontId="7" fillId="0" borderId="2" xfId="0" applyFont="1" applyBorder="1" applyAlignment="1">
      <alignment horizontal="left" vertical="center"/>
    </xf>
    <xf numFmtId="0" fontId="7" fillId="0" borderId="3" xfId="0" applyFont="1" applyBorder="1" applyAlignment="1">
      <alignment horizontal="left" vertical="center"/>
    </xf>
    <xf numFmtId="0" fontId="7" fillId="0" borderId="6" xfId="0" applyFont="1" applyBorder="1" applyAlignment="1">
      <alignment horizontal="left" vertical="center"/>
    </xf>
    <xf numFmtId="49" fontId="7" fillId="0" borderId="1" xfId="0" applyNumberFormat="1" applyFont="1" applyBorder="1" applyAlignment="1">
      <alignment horizontal="right" vertical="center"/>
    </xf>
    <xf numFmtId="49" fontId="7" fillId="2" borderId="3" xfId="0" applyNumberFormat="1" applyFont="1" applyFill="1" applyBorder="1" applyAlignment="1">
      <alignment horizontal="left" vertical="center"/>
    </xf>
    <xf numFmtId="49" fontId="7" fillId="2" borderId="4" xfId="0" applyNumberFormat="1" applyFont="1" applyFill="1" applyBorder="1" applyAlignment="1">
      <alignment horizontal="center" vertical="center"/>
    </xf>
    <xf numFmtId="49" fontId="7" fillId="2" borderId="3" xfId="0" applyNumberFormat="1" applyFont="1" applyFill="1" applyBorder="1" applyAlignment="1">
      <alignment horizontal="center" vertical="center"/>
    </xf>
    <xf numFmtId="49" fontId="7" fillId="2" borderId="5" xfId="0" applyNumberFormat="1" applyFont="1" applyFill="1" applyBorder="1" applyAlignment="1">
      <alignment vertical="center"/>
    </xf>
    <xf numFmtId="49" fontId="7" fillId="0" borderId="5" xfId="0" applyNumberFormat="1" applyFont="1" applyBorder="1" applyAlignment="1">
      <alignment horizontal="right" vertical="center"/>
    </xf>
    <xf numFmtId="49" fontId="7" fillId="0" borderId="8" xfId="0" applyNumberFormat="1" applyFont="1" applyBorder="1" applyAlignment="1">
      <alignment horizontal="right" vertical="center"/>
    </xf>
    <xf numFmtId="49" fontId="7" fillId="0" borderId="5" xfId="0" applyNumberFormat="1" applyFont="1" applyBorder="1" applyAlignment="1">
      <alignment horizontal="left" vertical="center"/>
    </xf>
    <xf numFmtId="49" fontId="7" fillId="0" borderId="4" xfId="0" applyNumberFormat="1" applyFont="1" applyBorder="1" applyAlignment="1">
      <alignment horizontal="left" vertical="center"/>
    </xf>
    <xf numFmtId="49" fontId="7" fillId="2" borderId="4" xfId="0" applyNumberFormat="1" applyFont="1" applyFill="1" applyBorder="1" applyAlignment="1">
      <alignment horizontal="left" vertical="center"/>
    </xf>
    <xf numFmtId="49" fontId="7" fillId="0" borderId="10" xfId="0" applyNumberFormat="1" applyFont="1" applyBorder="1" applyAlignment="1">
      <alignment horizontal="left" vertical="center"/>
    </xf>
    <xf numFmtId="0" fontId="8" fillId="0" borderId="0" xfId="0" applyFont="1" applyAlignment="1">
      <alignment vertical="center"/>
    </xf>
    <xf numFmtId="0" fontId="10" fillId="0" borderId="12" xfId="0" applyFont="1" applyBorder="1" applyAlignment="1">
      <alignment horizontal="left" vertical="center"/>
    </xf>
    <xf numFmtId="0" fontId="8" fillId="0" borderId="0" xfId="0" applyFont="1" applyAlignment="1">
      <alignment vertical="top"/>
    </xf>
    <xf numFmtId="0" fontId="9" fillId="0" borderId="0" xfId="0" applyFont="1" applyAlignment="1">
      <alignment horizontal="left" vertical="top"/>
    </xf>
    <xf numFmtId="0" fontId="15" fillId="4" borderId="0" xfId="0" applyFont="1" applyFill="1" applyAlignment="1">
      <alignment horizontal="centerContinuous" vertical="center"/>
    </xf>
    <xf numFmtId="0" fontId="15" fillId="5" borderId="0" xfId="0" applyFont="1" applyFill="1" applyAlignment="1">
      <alignment horizontal="centerContinuous" vertical="center" wrapText="1"/>
    </xf>
    <xf numFmtId="0" fontId="8" fillId="0" borderId="0" xfId="0" applyFont="1"/>
    <xf numFmtId="0" fontId="9" fillId="0" borderId="0" xfId="0" applyFont="1" applyAlignment="1">
      <alignment vertical="top"/>
    </xf>
    <xf numFmtId="0" fontId="9" fillId="0" borderId="0" xfId="0" applyFont="1" applyAlignment="1">
      <alignment vertical="center"/>
    </xf>
    <xf numFmtId="0" fontId="10" fillId="0" borderId="12" xfId="0" applyFont="1" applyBorder="1" applyAlignment="1">
      <alignment horizontal="left" vertical="top"/>
    </xf>
    <xf numFmtId="0" fontId="11" fillId="0" borderId="0" xfId="0" applyFont="1" applyAlignment="1">
      <alignment vertical="top"/>
    </xf>
    <xf numFmtId="0" fontId="16" fillId="8" borderId="12" xfId="0" applyFont="1" applyFill="1" applyBorder="1" applyAlignment="1">
      <alignment horizontal="left" vertical="top" wrapText="1"/>
    </xf>
    <xf numFmtId="49" fontId="10" fillId="0" borderId="12" xfId="0" applyNumberFormat="1" applyFont="1" applyBorder="1" applyAlignment="1">
      <alignment vertical="top" wrapText="1"/>
    </xf>
    <xf numFmtId="0" fontId="9" fillId="0" borderId="0" xfId="0" applyFont="1" applyAlignment="1">
      <alignment horizontal="left" vertical="top" wrapText="1"/>
    </xf>
    <xf numFmtId="0" fontId="9" fillId="0" borderId="0" xfId="0" applyFont="1" applyAlignment="1">
      <alignment vertical="top" wrapText="1"/>
    </xf>
    <xf numFmtId="0" fontId="21" fillId="0" borderId="0" xfId="0" applyFont="1" applyAlignment="1">
      <alignment vertical="top"/>
    </xf>
    <xf numFmtId="0" fontId="22" fillId="0" borderId="0" xfId="0" applyFont="1" applyAlignment="1">
      <alignment vertical="center" wrapText="1"/>
    </xf>
    <xf numFmtId="49" fontId="10" fillId="0" borderId="12" xfId="0" applyNumberFormat="1" applyFont="1" applyBorder="1" applyAlignment="1">
      <alignment horizontal="left" vertical="top"/>
    </xf>
    <xf numFmtId="0" fontId="9" fillId="0" borderId="0" xfId="0" applyFont="1" applyAlignment="1">
      <alignment vertical="center" wrapText="1"/>
    </xf>
    <xf numFmtId="0" fontId="19" fillId="0" borderId="0" xfId="0" applyFont="1" applyAlignment="1" applyProtection="1">
      <alignment horizontal="left" vertical="top"/>
      <protection locked="0"/>
    </xf>
    <xf numFmtId="0" fontId="8" fillId="0" borderId="0" xfId="0" applyFont="1" applyAlignment="1" applyProtection="1">
      <alignment vertical="center"/>
      <protection locked="0"/>
    </xf>
    <xf numFmtId="0" fontId="10" fillId="0" borderId="0" xfId="0" applyFont="1" applyAlignment="1" applyProtection="1">
      <alignment vertical="top"/>
      <protection locked="0"/>
    </xf>
    <xf numFmtId="49" fontId="10" fillId="0" borderId="12" xfId="0" applyNumberFormat="1" applyFont="1" applyBorder="1" applyAlignment="1" applyProtection="1">
      <alignment vertical="top" wrapText="1"/>
      <protection locked="0"/>
    </xf>
    <xf numFmtId="0" fontId="10" fillId="0" borderId="12" xfId="0" applyFont="1" applyBorder="1" applyAlignment="1" applyProtection="1">
      <alignment horizontal="left" vertical="top"/>
      <protection locked="0"/>
    </xf>
    <xf numFmtId="49" fontId="10" fillId="0" borderId="12" xfId="0" applyNumberFormat="1" applyFont="1" applyBorder="1" applyAlignment="1" applyProtection="1">
      <alignment vertical="top"/>
      <protection locked="0"/>
    </xf>
    <xf numFmtId="0" fontId="10" fillId="0" borderId="12" xfId="0" applyFont="1" applyBorder="1" applyAlignment="1" applyProtection="1">
      <alignment horizontal="left" vertical="top" wrapText="1"/>
      <protection locked="0"/>
    </xf>
    <xf numFmtId="0" fontId="23" fillId="0" borderId="0" xfId="0" applyFont="1" applyAlignment="1" applyProtection="1">
      <alignment horizontal="left" vertical="center"/>
      <protection locked="0"/>
    </xf>
    <xf numFmtId="49" fontId="13" fillId="0" borderId="12" xfId="0" applyNumberFormat="1" applyFont="1" applyBorder="1" applyAlignment="1" applyProtection="1">
      <alignment vertical="center"/>
      <protection locked="0"/>
    </xf>
    <xf numFmtId="49" fontId="10" fillId="0" borderId="12" xfId="0" applyNumberFormat="1" applyFont="1" applyBorder="1" applyAlignment="1" applyProtection="1">
      <alignment vertical="center"/>
      <protection locked="0"/>
    </xf>
    <xf numFmtId="49" fontId="10" fillId="0" borderId="12" xfId="0" applyNumberFormat="1" applyFont="1" applyBorder="1" applyAlignment="1" applyProtection="1">
      <alignment vertical="center" wrapText="1"/>
      <protection locked="0"/>
    </xf>
    <xf numFmtId="0" fontId="9" fillId="0" borderId="0" xfId="0" applyFont="1" applyAlignment="1" applyProtection="1">
      <alignment vertical="center"/>
      <protection locked="0"/>
    </xf>
    <xf numFmtId="0" fontId="10" fillId="0" borderId="12" xfId="0" applyFont="1" applyBorder="1" applyAlignment="1" applyProtection="1">
      <alignment horizontal="left" vertical="center"/>
      <protection locked="0"/>
    </xf>
    <xf numFmtId="0" fontId="19" fillId="0" borderId="0" xfId="0" applyFont="1" applyAlignment="1" applyProtection="1">
      <alignment horizontal="left" vertical="center"/>
      <protection locked="0"/>
    </xf>
    <xf numFmtId="0" fontId="10" fillId="0" borderId="0" xfId="0" applyFont="1" applyAlignment="1" applyProtection="1">
      <alignment vertical="center"/>
      <protection locked="0"/>
    </xf>
    <xf numFmtId="49" fontId="8" fillId="0" borderId="0" xfId="0" applyNumberFormat="1" applyFont="1" applyAlignment="1" applyProtection="1">
      <alignment vertical="center"/>
      <protection locked="0"/>
    </xf>
    <xf numFmtId="49" fontId="8" fillId="0" borderId="0" xfId="0" applyNumberFormat="1" applyFont="1" applyAlignment="1" applyProtection="1">
      <alignment horizontal="right" vertical="center"/>
      <protection locked="0"/>
    </xf>
    <xf numFmtId="49" fontId="26" fillId="11" borderId="12" xfId="0" applyNumberFormat="1" applyFont="1" applyFill="1" applyBorder="1" applyAlignment="1">
      <alignment horizontal="center" vertical="center"/>
    </xf>
    <xf numFmtId="0" fontId="26" fillId="11" borderId="12" xfId="0" applyFont="1" applyFill="1" applyBorder="1" applyAlignment="1">
      <alignment horizontal="center" vertical="center"/>
    </xf>
    <xf numFmtId="0" fontId="9" fillId="0" borderId="0" xfId="0" applyFont="1" applyAlignment="1" applyProtection="1">
      <alignment vertical="top"/>
      <protection locked="0"/>
    </xf>
    <xf numFmtId="0" fontId="9" fillId="0" borderId="12" xfId="0" applyFont="1" applyBorder="1" applyAlignment="1" applyProtection="1">
      <alignment vertical="top" wrapText="1"/>
      <protection locked="0"/>
    </xf>
    <xf numFmtId="0" fontId="9" fillId="0" borderId="0" xfId="0" applyFont="1" applyProtection="1">
      <protection locked="0"/>
    </xf>
    <xf numFmtId="0" fontId="8" fillId="0" borderId="0" xfId="0" applyFont="1" applyProtection="1">
      <protection locked="0"/>
    </xf>
    <xf numFmtId="0" fontId="8" fillId="0" borderId="0" xfId="0" applyFont="1" applyAlignment="1" applyProtection="1">
      <alignment wrapText="1"/>
      <protection locked="0"/>
    </xf>
    <xf numFmtId="0" fontId="0" fillId="0" borderId="0" xfId="0" applyAlignment="1">
      <alignment vertical="top"/>
    </xf>
    <xf numFmtId="0" fontId="10" fillId="0" borderId="13" xfId="0" applyFont="1" applyBorder="1" applyAlignment="1">
      <alignment horizontal="left" vertical="center"/>
    </xf>
    <xf numFmtId="0" fontId="10" fillId="0" borderId="12" xfId="0" applyFont="1" applyBorder="1" applyAlignment="1">
      <alignment horizontal="left" vertical="top" wrapText="1"/>
    </xf>
    <xf numFmtId="2" fontId="0" fillId="0" borderId="0" xfId="0" applyNumberFormat="1" applyAlignment="1">
      <alignment vertical="top"/>
    </xf>
    <xf numFmtId="0" fontId="0" fillId="0" borderId="0" xfId="0" applyAlignment="1">
      <alignment wrapText="1"/>
    </xf>
    <xf numFmtId="0" fontId="10" fillId="9" borderId="12" xfId="0" applyFont="1" applyFill="1" applyBorder="1" applyAlignment="1" applyProtection="1">
      <alignment horizontal="left" vertical="top"/>
      <protection locked="0"/>
    </xf>
    <xf numFmtId="0" fontId="29" fillId="0" borderId="0" xfId="0" applyFont="1" applyAlignment="1">
      <alignment horizontal="left" vertical="center" wrapText="1" readingOrder="1"/>
    </xf>
    <xf numFmtId="0" fontId="8" fillId="0" borderId="0" xfId="0" applyFont="1" applyAlignment="1">
      <alignment textRotation="90"/>
    </xf>
    <xf numFmtId="0" fontId="16" fillId="7" borderId="12" xfId="0" applyFont="1" applyFill="1" applyBorder="1" applyAlignment="1">
      <alignment horizontal="left" textRotation="90" wrapText="1"/>
    </xf>
    <xf numFmtId="0" fontId="8" fillId="0" borderId="0" xfId="0" applyFont="1" applyAlignment="1">
      <alignment horizontal="left" vertical="top" wrapText="1"/>
    </xf>
    <xf numFmtId="49" fontId="10" fillId="0" borderId="12" xfId="0" applyNumberFormat="1" applyFont="1" applyBorder="1" applyAlignment="1">
      <alignment horizontal="left" vertical="top" wrapText="1"/>
    </xf>
    <xf numFmtId="0" fontId="20" fillId="0" borderId="0" xfId="0" applyFont="1" applyAlignment="1">
      <alignment horizontal="left" vertical="top"/>
    </xf>
    <xf numFmtId="49" fontId="10" fillId="0" borderId="12" xfId="0" applyNumberFormat="1" applyFont="1" applyBorder="1" applyAlignment="1">
      <alignment vertical="top"/>
    </xf>
    <xf numFmtId="49" fontId="10" fillId="0" borderId="0" xfId="0" applyNumberFormat="1" applyFont="1" applyAlignment="1">
      <alignment vertical="top"/>
    </xf>
    <xf numFmtId="0" fontId="8" fillId="0" borderId="0" xfId="0" applyFont="1" applyAlignment="1">
      <alignment vertical="top" wrapText="1"/>
    </xf>
    <xf numFmtId="0" fontId="10" fillId="0" borderId="12" xfId="0" applyFont="1" applyBorder="1" applyAlignment="1">
      <alignment vertical="top" wrapText="1"/>
    </xf>
    <xf numFmtId="0" fontId="16" fillId="0" borderId="0" xfId="6" applyFont="1" applyFill="1" applyAlignment="1">
      <alignment horizontal="left" textRotation="90" wrapText="1"/>
    </xf>
    <xf numFmtId="0" fontId="16" fillId="6" borderId="12" xfId="6" applyFont="1" applyFill="1" applyBorder="1" applyAlignment="1">
      <alignment horizontal="left" textRotation="90" wrapText="1"/>
    </xf>
    <xf numFmtId="0" fontId="27" fillId="5" borderId="12" xfId="6" applyFont="1" applyFill="1" applyBorder="1" applyAlignment="1">
      <alignment horizontal="left" textRotation="90" wrapText="1"/>
    </xf>
    <xf numFmtId="0" fontId="27" fillId="12" borderId="12" xfId="6" applyFont="1" applyFill="1" applyBorder="1" applyAlignment="1">
      <alignment horizontal="left" textRotation="90" wrapText="1"/>
    </xf>
    <xf numFmtId="0" fontId="27" fillId="13" borderId="12" xfId="6" applyFont="1" applyFill="1" applyBorder="1" applyAlignment="1">
      <alignment horizontal="left" textRotation="90" wrapText="1"/>
    </xf>
    <xf numFmtId="0" fontId="27" fillId="5" borderId="0" xfId="0" applyFont="1" applyFill="1" applyAlignment="1">
      <alignment horizontal="centerContinuous" vertical="center" wrapText="1"/>
    </xf>
    <xf numFmtId="49" fontId="27" fillId="5" borderId="0" xfId="0" applyNumberFormat="1" applyFont="1" applyFill="1" applyAlignment="1">
      <alignment horizontal="centerContinuous" vertical="center" wrapText="1"/>
    </xf>
    <xf numFmtId="49" fontId="27" fillId="5" borderId="0" xfId="0" applyNumberFormat="1" applyFont="1" applyFill="1" applyAlignment="1">
      <alignment horizontal="centerContinuous" vertical="center"/>
    </xf>
    <xf numFmtId="0" fontId="9" fillId="0" borderId="0" xfId="0" applyFont="1" applyAlignment="1">
      <alignment horizontal="center" vertical="center"/>
    </xf>
    <xf numFmtId="0" fontId="27" fillId="13" borderId="12" xfId="6" applyFont="1" applyFill="1" applyBorder="1" applyAlignment="1">
      <alignment horizontal="center" textRotation="90" wrapText="1"/>
    </xf>
    <xf numFmtId="0" fontId="19" fillId="0" borderId="0" xfId="0" applyFont="1" applyAlignment="1" applyProtection="1">
      <alignment horizontal="center" vertical="top"/>
      <protection locked="0"/>
    </xf>
    <xf numFmtId="0" fontId="9" fillId="0" borderId="0" xfId="0" applyFont="1" applyAlignment="1" applyProtection="1">
      <alignment horizontal="center" vertical="top"/>
      <protection locked="0"/>
    </xf>
    <xf numFmtId="0" fontId="9" fillId="0" borderId="0" xfId="0" applyFont="1" applyAlignment="1" applyProtection="1">
      <alignment horizontal="center"/>
      <protection locked="0"/>
    </xf>
    <xf numFmtId="0" fontId="27" fillId="5" borderId="0" xfId="6" applyFont="1" applyFill="1" applyAlignment="1">
      <alignment horizontal="center" textRotation="90" wrapText="1"/>
    </xf>
    <xf numFmtId="0" fontId="27" fillId="12" borderId="12" xfId="6" applyFont="1" applyFill="1" applyBorder="1" applyAlignment="1">
      <alignment horizontal="center" textRotation="90" wrapText="1"/>
    </xf>
    <xf numFmtId="0" fontId="23" fillId="0" borderId="0" xfId="0" applyFont="1" applyAlignment="1" applyProtection="1">
      <alignment horizontal="center"/>
      <protection locked="0"/>
    </xf>
    <xf numFmtId="49" fontId="9" fillId="0" borderId="12" xfId="0" applyNumberFormat="1" applyFont="1" applyBorder="1" applyAlignment="1" applyProtection="1">
      <alignment vertical="center"/>
      <protection locked="0"/>
    </xf>
    <xf numFmtId="0" fontId="18" fillId="0" borderId="12" xfId="4" applyFont="1" applyBorder="1" applyAlignment="1" applyProtection="1">
      <alignment vertical="top"/>
      <protection locked="0"/>
    </xf>
    <xf numFmtId="0" fontId="10" fillId="0" borderId="12" xfId="0" applyFont="1" applyBorder="1" applyAlignment="1" applyProtection="1">
      <alignment vertical="top"/>
      <protection locked="0"/>
    </xf>
    <xf numFmtId="0" fontId="19" fillId="11" borderId="12" xfId="0" applyFont="1" applyFill="1" applyBorder="1" applyAlignment="1">
      <alignment horizontal="center" vertical="center"/>
    </xf>
    <xf numFmtId="49" fontId="19" fillId="11" borderId="12" xfId="0" applyNumberFormat="1" applyFont="1" applyFill="1" applyBorder="1" applyAlignment="1">
      <alignment horizontal="center" vertical="center"/>
    </xf>
    <xf numFmtId="0" fontId="28" fillId="11" borderId="12" xfId="0" applyFont="1" applyFill="1" applyBorder="1" applyAlignment="1">
      <alignment vertical="center"/>
    </xf>
    <xf numFmtId="49" fontId="26" fillId="11" borderId="12" xfId="0" applyNumberFormat="1" applyFont="1" applyFill="1" applyBorder="1" applyAlignment="1">
      <alignment horizontal="left" vertical="center"/>
    </xf>
    <xf numFmtId="0" fontId="16" fillId="6" borderId="19" xfId="6" applyFont="1" applyFill="1" applyBorder="1" applyAlignment="1">
      <alignment horizontal="left" textRotation="90" wrapText="1"/>
    </xf>
    <xf numFmtId="0" fontId="26" fillId="11" borderId="12" xfId="0" applyFont="1" applyFill="1" applyBorder="1" applyAlignment="1">
      <alignment horizontal="center" vertical="center" wrapText="1"/>
    </xf>
    <xf numFmtId="0" fontId="25" fillId="0" borderId="12" xfId="4" applyFont="1" applyBorder="1" applyAlignment="1" applyProtection="1">
      <alignment vertical="top"/>
      <protection locked="0"/>
    </xf>
    <xf numFmtId="0" fontId="25" fillId="0" borderId="12" xfId="4" applyFont="1" applyBorder="1" applyAlignment="1" applyProtection="1">
      <alignment horizontal="left" vertical="top"/>
      <protection locked="0"/>
    </xf>
    <xf numFmtId="0" fontId="14" fillId="0" borderId="0" xfId="0" applyFont="1" applyAlignment="1" applyProtection="1">
      <alignment vertical="center"/>
      <protection locked="0"/>
    </xf>
    <xf numFmtId="0" fontId="27" fillId="5" borderId="15" xfId="0" applyFont="1" applyFill="1" applyBorder="1" applyAlignment="1">
      <alignment horizontal="centerContinuous" vertical="center" wrapText="1"/>
    </xf>
    <xf numFmtId="0" fontId="16" fillId="0" borderId="14" xfId="0" applyFont="1" applyBorder="1" applyAlignment="1">
      <alignment horizontal="centerContinuous" vertical="center" wrapText="1"/>
    </xf>
    <xf numFmtId="0" fontId="16" fillId="0" borderId="15" xfId="0" applyFont="1" applyBorder="1" applyAlignment="1">
      <alignment horizontal="centerContinuous" vertical="center" wrapText="1"/>
    </xf>
    <xf numFmtId="0" fontId="16" fillId="0" borderId="11" xfId="0" applyFont="1" applyBorder="1" applyAlignment="1">
      <alignment horizontal="centerContinuous" vertical="center" wrapText="1"/>
    </xf>
    <xf numFmtId="0" fontId="27" fillId="5" borderId="12" xfId="6" applyFont="1" applyFill="1" applyBorder="1" applyAlignment="1">
      <alignment horizontal="center" textRotation="90" wrapText="1"/>
    </xf>
    <xf numFmtId="0" fontId="27" fillId="5" borderId="0" xfId="0" applyFont="1" applyFill="1" applyAlignment="1">
      <alignment horizontal="centerContinuous" vertical="center"/>
    </xf>
    <xf numFmtId="0" fontId="8" fillId="0" borderId="0" xfId="0" applyFont="1" applyAlignment="1" applyProtection="1">
      <alignment horizontal="center" vertical="center"/>
      <protection locked="0"/>
    </xf>
    <xf numFmtId="0" fontId="16" fillId="4" borderId="12" xfId="6" applyFont="1" applyFill="1" applyBorder="1" applyAlignment="1">
      <alignment horizontal="center" textRotation="90" wrapText="1"/>
    </xf>
    <xf numFmtId="0" fontId="23" fillId="0" borderId="0" xfId="0" applyFont="1" applyAlignment="1" applyProtection="1">
      <alignment horizontal="center" vertical="center"/>
      <protection locked="0"/>
    </xf>
    <xf numFmtId="0" fontId="11" fillId="0" borderId="0" xfId="0" applyFont="1" applyAlignment="1">
      <alignment vertical="top" wrapText="1"/>
    </xf>
    <xf numFmtId="0" fontId="27" fillId="15" borderId="12" xfId="0" applyFont="1" applyFill="1" applyBorder="1" applyAlignment="1">
      <alignment horizontal="center" vertical="center"/>
    </xf>
    <xf numFmtId="0" fontId="27" fillId="15" borderId="19" xfId="0" applyFont="1" applyFill="1" applyBorder="1" applyAlignment="1">
      <alignment horizontal="center" vertical="center"/>
    </xf>
    <xf numFmtId="0" fontId="27" fillId="15" borderId="20" xfId="0" applyFont="1" applyFill="1" applyBorder="1" applyAlignment="1">
      <alignment horizontal="center" vertical="center"/>
    </xf>
    <xf numFmtId="0" fontId="27" fillId="15" borderId="13" xfId="0" applyFont="1" applyFill="1" applyBorder="1" applyAlignment="1">
      <alignment horizontal="center" vertical="center"/>
    </xf>
    <xf numFmtId="0" fontId="16" fillId="6" borderId="0" xfId="6" applyFont="1" applyFill="1" applyAlignment="1">
      <alignment horizontal="left" textRotation="90" wrapText="1"/>
    </xf>
    <xf numFmtId="0" fontId="15" fillId="5" borderId="0" xfId="0" applyFont="1" applyFill="1" applyAlignment="1">
      <alignment horizontal="left" vertical="center"/>
    </xf>
    <xf numFmtId="0" fontId="16" fillId="0" borderId="0" xfId="0" applyFont="1" applyAlignment="1">
      <alignment horizontal="left" textRotation="90"/>
    </xf>
    <xf numFmtId="49" fontId="27" fillId="16" borderId="17" xfId="6" applyNumberFormat="1" applyFont="1" applyFill="1" applyBorder="1" applyAlignment="1">
      <alignment horizontal="center" textRotation="90" wrapText="1"/>
    </xf>
    <xf numFmtId="0" fontId="9" fillId="0" borderId="0" xfId="0" applyFont="1" applyAlignment="1">
      <alignment horizontal="center" vertical="top"/>
    </xf>
    <xf numFmtId="0" fontId="16" fillId="6" borderId="12" xfId="6" applyFont="1" applyFill="1" applyBorder="1" applyAlignment="1">
      <alignment horizontal="center" textRotation="90" wrapText="1"/>
    </xf>
    <xf numFmtId="0" fontId="16" fillId="0" borderId="0" xfId="6" applyFont="1" applyFill="1" applyAlignment="1">
      <alignment horizontal="center" textRotation="90" wrapText="1"/>
    </xf>
    <xf numFmtId="0" fontId="11" fillId="0" borderId="0" xfId="0" applyFont="1" applyAlignment="1">
      <alignment vertical="center"/>
    </xf>
    <xf numFmtId="0" fontId="21" fillId="0" borderId="0" xfId="0" applyFont="1" applyAlignment="1">
      <alignment vertical="center"/>
    </xf>
    <xf numFmtId="0" fontId="15" fillId="12" borderId="0" xfId="0" applyFont="1" applyFill="1" applyAlignment="1">
      <alignment vertical="center"/>
    </xf>
    <xf numFmtId="0" fontId="21" fillId="0" borderId="0" xfId="0" applyFont="1" applyAlignment="1">
      <alignment horizontal="center" vertical="center"/>
    </xf>
    <xf numFmtId="0" fontId="11" fillId="0" borderId="0" xfId="0" applyFont="1" applyAlignment="1">
      <alignment horizontal="center" vertical="top"/>
    </xf>
    <xf numFmtId="0" fontId="15" fillId="12" borderId="0" xfId="0" applyFont="1" applyFill="1" applyAlignment="1">
      <alignment horizontal="left" vertical="center"/>
    </xf>
    <xf numFmtId="0" fontId="15" fillId="12" borderId="14" xfId="0" applyFont="1" applyFill="1" applyBorder="1" applyAlignment="1">
      <alignment vertical="center"/>
    </xf>
    <xf numFmtId="0" fontId="15" fillId="12" borderId="15" xfId="0" applyFont="1" applyFill="1" applyBorder="1" applyAlignment="1">
      <alignment vertical="center"/>
    </xf>
    <xf numFmtId="0" fontId="15" fillId="12" borderId="11" xfId="0" applyFont="1" applyFill="1" applyBorder="1" applyAlignment="1">
      <alignment vertical="center"/>
    </xf>
    <xf numFmtId="0" fontId="11" fillId="0" borderId="0" xfId="0" applyFont="1" applyAlignment="1">
      <alignment horizontal="center" vertical="center"/>
    </xf>
    <xf numFmtId="0" fontId="30" fillId="4" borderId="14" xfId="0" applyFont="1" applyFill="1" applyBorder="1" applyAlignment="1">
      <alignment vertical="center"/>
    </xf>
    <xf numFmtId="0" fontId="16" fillId="4" borderId="14" xfId="0" applyFont="1" applyFill="1" applyBorder="1" applyAlignment="1">
      <alignment vertical="center"/>
    </xf>
    <xf numFmtId="0" fontId="16" fillId="4" borderId="15" xfId="0" applyFont="1" applyFill="1" applyBorder="1" applyAlignment="1">
      <alignment vertical="center"/>
    </xf>
    <xf numFmtId="0" fontId="16" fillId="4" borderId="11" xfId="0" applyFont="1" applyFill="1" applyBorder="1" applyAlignment="1">
      <alignment vertical="center"/>
    </xf>
    <xf numFmtId="0" fontId="15" fillId="5" borderId="14" xfId="0" applyFont="1" applyFill="1" applyBorder="1" applyAlignment="1">
      <alignment horizontal="left" vertical="center"/>
    </xf>
    <xf numFmtId="0" fontId="15" fillId="5" borderId="15" xfId="0" applyFont="1" applyFill="1" applyBorder="1" applyAlignment="1">
      <alignment horizontal="left" vertical="center"/>
    </xf>
    <xf numFmtId="0" fontId="15" fillId="5" borderId="11" xfId="0" applyFont="1" applyFill="1" applyBorder="1" applyAlignment="1">
      <alignment horizontal="left" vertical="center"/>
    </xf>
    <xf numFmtId="0" fontId="15" fillId="13" borderId="14" xfId="0" applyFont="1" applyFill="1" applyBorder="1" applyAlignment="1">
      <alignment vertical="center"/>
    </xf>
    <xf numFmtId="0" fontId="15" fillId="13" borderId="15" xfId="0" applyFont="1" applyFill="1" applyBorder="1" applyAlignment="1">
      <alignment vertical="center"/>
    </xf>
    <xf numFmtId="0" fontId="15" fillId="13" borderId="11" xfId="0" applyFont="1" applyFill="1" applyBorder="1" applyAlignment="1">
      <alignment vertical="center"/>
    </xf>
    <xf numFmtId="0" fontId="21" fillId="0" borderId="0" xfId="0" applyFont="1" applyAlignment="1">
      <alignment horizontal="center" vertical="top"/>
    </xf>
    <xf numFmtId="0" fontId="31" fillId="0" borderId="0" xfId="0" applyFont="1" applyAlignment="1" applyProtection="1">
      <alignment horizontal="center" vertical="center"/>
      <protection locked="0"/>
    </xf>
    <xf numFmtId="0" fontId="31" fillId="0" borderId="0" xfId="0" applyFont="1" applyAlignment="1">
      <alignment horizontal="center" vertical="center"/>
    </xf>
    <xf numFmtId="0" fontId="27" fillId="5" borderId="14" xfId="0" applyFont="1" applyFill="1" applyBorder="1" applyAlignment="1">
      <alignment vertical="center"/>
    </xf>
    <xf numFmtId="0" fontId="27" fillId="5" borderId="15" xfId="0" applyFont="1" applyFill="1" applyBorder="1" applyAlignment="1">
      <alignment vertical="center"/>
    </xf>
    <xf numFmtId="0" fontId="27" fillId="5" borderId="11" xfId="0" applyFont="1" applyFill="1" applyBorder="1" applyAlignment="1">
      <alignment vertical="center"/>
    </xf>
    <xf numFmtId="0" fontId="27" fillId="16" borderId="14" xfId="0" applyFont="1" applyFill="1" applyBorder="1" applyAlignment="1">
      <alignment vertical="center"/>
    </xf>
    <xf numFmtId="0" fontId="27" fillId="16" borderId="15" xfId="0" applyFont="1" applyFill="1" applyBorder="1" applyAlignment="1">
      <alignment vertical="center"/>
    </xf>
    <xf numFmtId="0" fontId="27" fillId="16" borderId="11" xfId="0" applyFont="1" applyFill="1" applyBorder="1" applyAlignment="1">
      <alignment vertical="center"/>
    </xf>
    <xf numFmtId="0" fontId="15" fillId="16" borderId="0" xfId="0" applyFont="1" applyFill="1" applyAlignment="1">
      <alignment horizontal="left" vertical="center"/>
    </xf>
    <xf numFmtId="49" fontId="27" fillId="16" borderId="12" xfId="6" applyNumberFormat="1" applyFont="1" applyFill="1" applyBorder="1" applyAlignment="1">
      <alignment horizontal="center" textRotation="90" wrapText="1"/>
    </xf>
    <xf numFmtId="0" fontId="16" fillId="6" borderId="12" xfId="6" applyFont="1" applyFill="1" applyBorder="1" applyAlignment="1">
      <alignment horizontal="center" textRotation="90"/>
    </xf>
    <xf numFmtId="0" fontId="16" fillId="4" borderId="14" xfId="6" applyFont="1" applyFill="1" applyBorder="1" applyAlignment="1">
      <alignment horizontal="center" textRotation="90" wrapText="1"/>
    </xf>
    <xf numFmtId="0" fontId="16" fillId="4" borderId="15" xfId="6" applyFont="1" applyFill="1" applyBorder="1" applyAlignment="1">
      <alignment horizontal="center" textRotation="90" wrapText="1"/>
    </xf>
    <xf numFmtId="0" fontId="27" fillId="13" borderId="15" xfId="6" applyFont="1" applyFill="1" applyBorder="1" applyAlignment="1">
      <alignment horizontal="center" textRotation="90" wrapText="1"/>
    </xf>
    <xf numFmtId="0" fontId="27" fillId="5" borderId="15" xfId="6" applyFont="1" applyFill="1" applyBorder="1" applyAlignment="1">
      <alignment horizontal="center" textRotation="90" wrapText="1"/>
    </xf>
    <xf numFmtId="0" fontId="10" fillId="0" borderId="12" xfId="0" applyFont="1" applyBorder="1" applyAlignment="1">
      <alignment horizontal="left" textRotation="90"/>
    </xf>
    <xf numFmtId="49" fontId="11" fillId="3" borderId="16" xfId="0" applyNumberFormat="1" applyFont="1" applyFill="1" applyBorder="1" applyAlignment="1">
      <alignment horizontal="center" vertical="center"/>
    </xf>
    <xf numFmtId="0" fontId="14" fillId="0" borderId="0" xfId="0" applyFont="1"/>
    <xf numFmtId="0" fontId="14" fillId="0" borderId="0" xfId="0" applyFont="1" applyAlignment="1">
      <alignment vertical="top"/>
    </xf>
    <xf numFmtId="49" fontId="8" fillId="0" borderId="0" xfId="0" applyNumberFormat="1" applyFont="1" applyAlignment="1">
      <alignment horizontal="right" vertical="center"/>
    </xf>
    <xf numFmtId="0" fontId="8" fillId="0" borderId="0" xfId="0" applyFont="1" applyAlignment="1">
      <alignment vertical="center" wrapText="1"/>
    </xf>
    <xf numFmtId="0" fontId="26" fillId="11" borderId="0" xfId="0" applyFont="1" applyFill="1" applyAlignment="1">
      <alignment horizontal="center" vertical="center"/>
    </xf>
    <xf numFmtId="49" fontId="26" fillId="11" borderId="0" xfId="0" applyNumberFormat="1" applyFont="1" applyFill="1" applyAlignment="1">
      <alignment horizontal="center" vertical="center"/>
    </xf>
    <xf numFmtId="0" fontId="9" fillId="0" borderId="0" xfId="0" applyFont="1"/>
    <xf numFmtId="49" fontId="11" fillId="3" borderId="22" xfId="0" applyNumberFormat="1" applyFont="1" applyFill="1" applyBorder="1" applyAlignment="1">
      <alignment vertical="center"/>
    </xf>
    <xf numFmtId="0" fontId="4" fillId="0" borderId="0" xfId="0" applyFont="1"/>
    <xf numFmtId="0" fontId="8" fillId="0" borderId="0" xfId="0" applyFont="1" applyAlignment="1">
      <alignment textRotation="90" wrapText="1"/>
    </xf>
    <xf numFmtId="0" fontId="8" fillId="0" borderId="0" xfId="0" applyFont="1" applyAlignment="1">
      <alignment horizontal="center" vertical="center" wrapText="1"/>
    </xf>
    <xf numFmtId="49" fontId="10" fillId="0" borderId="12" xfId="0" applyNumberFormat="1" applyFont="1" applyBorder="1" applyAlignment="1">
      <alignment horizontal="center" vertical="center" textRotation="90" wrapText="1"/>
    </xf>
    <xf numFmtId="49" fontId="10" fillId="0" borderId="21" xfId="0" applyNumberFormat="1" applyFont="1" applyBorder="1" applyAlignment="1">
      <alignment horizontal="center" vertical="center" textRotation="90" wrapText="1"/>
    </xf>
    <xf numFmtId="0" fontId="18" fillId="0" borderId="12" xfId="4" applyFont="1" applyBorder="1" applyAlignment="1">
      <alignment vertical="top"/>
    </xf>
    <xf numFmtId="49" fontId="10" fillId="0" borderId="21" xfId="0" applyNumberFormat="1" applyFont="1" applyBorder="1" applyAlignment="1">
      <alignment horizontal="left" vertical="top"/>
    </xf>
    <xf numFmtId="0" fontId="3" fillId="0" borderId="0" xfId="0" applyFont="1" applyAlignment="1">
      <alignment horizontal="left" textRotation="90"/>
    </xf>
    <xf numFmtId="0" fontId="9" fillId="0" borderId="0" xfId="0" applyFont="1" applyAlignment="1">
      <alignment vertical="center" textRotation="90"/>
    </xf>
    <xf numFmtId="0" fontId="4" fillId="0" borderId="0" xfId="0" applyFont="1" applyAlignment="1">
      <alignment horizontal="center" vertical="center"/>
    </xf>
    <xf numFmtId="0" fontId="4" fillId="0" borderId="0" xfId="0" applyFont="1" applyAlignment="1">
      <alignment horizontal="left" vertical="top"/>
    </xf>
    <xf numFmtId="49" fontId="10" fillId="0" borderId="12" xfId="0" applyNumberFormat="1" applyFont="1" applyBorder="1" applyAlignment="1">
      <alignment horizontal="center" vertical="center" wrapText="1"/>
    </xf>
    <xf numFmtId="0" fontId="10" fillId="0" borderId="12" xfId="0" applyFont="1" applyBorder="1" applyAlignment="1">
      <alignment horizontal="center" vertical="center" wrapText="1"/>
    </xf>
    <xf numFmtId="0" fontId="32" fillId="0" borderId="0" xfId="0" applyFont="1" applyAlignment="1">
      <alignment vertical="top"/>
    </xf>
    <xf numFmtId="0" fontId="2" fillId="0" borderId="0" xfId="0" applyFont="1"/>
    <xf numFmtId="0" fontId="16" fillId="6" borderId="12" xfId="6" applyFont="1" applyFill="1" applyBorder="1" applyAlignment="1">
      <alignment horizontal="left" wrapText="1"/>
    </xf>
    <xf numFmtId="0" fontId="16" fillId="6" borderId="19" xfId="6" applyFont="1" applyFill="1" applyBorder="1" applyAlignment="1">
      <alignment horizontal="left" wrapText="1"/>
    </xf>
    <xf numFmtId="0" fontId="16" fillId="0" borderId="0" xfId="6" applyFont="1" applyFill="1" applyAlignment="1">
      <alignment horizontal="left" wrapText="1"/>
    </xf>
    <xf numFmtId="0" fontId="11" fillId="11" borderId="0" xfId="0" applyFont="1" applyFill="1" applyAlignment="1">
      <alignment vertical="top"/>
    </xf>
    <xf numFmtId="0" fontId="2" fillId="11" borderId="0" xfId="0" applyFont="1" applyFill="1" applyAlignment="1">
      <alignment vertical="top"/>
    </xf>
    <xf numFmtId="0" fontId="2" fillId="11" borderId="0" xfId="0" applyFont="1" applyFill="1" applyAlignment="1">
      <alignment vertical="top" wrapText="1"/>
    </xf>
    <xf numFmtId="0" fontId="2" fillId="0" borderId="0" xfId="0" applyFont="1" applyAlignment="1">
      <alignment vertical="top"/>
    </xf>
    <xf numFmtId="0" fontId="16" fillId="0" borderId="19" xfId="6" applyFont="1" applyFill="1" applyBorder="1" applyAlignment="1">
      <alignment horizontal="left" textRotation="90" wrapText="1"/>
    </xf>
    <xf numFmtId="0" fontId="1" fillId="0" borderId="0" xfId="0" applyFont="1"/>
    <xf numFmtId="0" fontId="27" fillId="13" borderId="0" xfId="6" applyFont="1" applyFill="1" applyAlignment="1">
      <alignment horizontal="left" wrapText="1"/>
    </xf>
    <xf numFmtId="0" fontId="0" fillId="0" borderId="0" xfId="0" applyProtection="1">
      <protection locked="0"/>
    </xf>
    <xf numFmtId="49" fontId="10" fillId="0" borderId="12" xfId="0" applyNumberFormat="1" applyFont="1" applyBorder="1" applyAlignment="1">
      <alignment vertical="center"/>
    </xf>
    <xf numFmtId="0" fontId="15" fillId="12" borderId="15" xfId="0" applyFont="1" applyFill="1" applyBorder="1" applyAlignment="1">
      <alignment horizontal="left" vertical="center"/>
    </xf>
    <xf numFmtId="0" fontId="16" fillId="6" borderId="12" xfId="6" applyFont="1" applyFill="1" applyBorder="1" applyAlignment="1">
      <alignment horizontal="left" textRotation="90"/>
    </xf>
    <xf numFmtId="0" fontId="9" fillId="0" borderId="18" xfId="0" applyFont="1" applyBorder="1" applyAlignment="1">
      <alignment horizontal="left" vertical="center"/>
    </xf>
    <xf numFmtId="0" fontId="9" fillId="0" borderId="0" xfId="0" applyFont="1" applyAlignment="1">
      <alignment horizontal="left" vertical="center"/>
    </xf>
    <xf numFmtId="0" fontId="11" fillId="0" borderId="0" xfId="0" applyFont="1" applyAlignment="1">
      <alignment horizontal="left" vertical="top"/>
    </xf>
    <xf numFmtId="0" fontId="15" fillId="13" borderId="15" xfId="0" applyFont="1" applyFill="1" applyBorder="1" applyAlignment="1">
      <alignment horizontal="left" vertical="center"/>
    </xf>
    <xf numFmtId="0" fontId="27" fillId="15" borderId="12" xfId="0" applyFont="1" applyFill="1" applyBorder="1" applyAlignment="1">
      <alignment horizontal="left" vertical="center"/>
    </xf>
    <xf numFmtId="0" fontId="30" fillId="4" borderId="15" xfId="0" applyFont="1" applyFill="1" applyBorder="1" applyAlignment="1">
      <alignment horizontal="left" vertical="center"/>
    </xf>
    <xf numFmtId="0" fontId="16" fillId="4" borderId="15" xfId="0" applyFont="1" applyFill="1" applyBorder="1" applyAlignment="1">
      <alignment horizontal="left" vertical="center"/>
    </xf>
    <xf numFmtId="0" fontId="16" fillId="0" borderId="14" xfId="0" applyFont="1" applyBorder="1" applyAlignment="1">
      <alignment horizontal="left" vertical="center" wrapText="1"/>
    </xf>
    <xf numFmtId="0" fontId="27" fillId="5" borderId="0" xfId="0" applyFont="1" applyFill="1" applyAlignment="1">
      <alignment horizontal="left" vertical="center" wrapText="1"/>
    </xf>
    <xf numFmtId="0" fontId="9" fillId="0" borderId="0" xfId="0" applyFont="1" applyAlignment="1">
      <alignment horizontal="left" vertical="center" wrapText="1"/>
    </xf>
    <xf numFmtId="0" fontId="27" fillId="5" borderId="15" xfId="0" applyFont="1" applyFill="1" applyBorder="1" applyAlignment="1">
      <alignment horizontal="left" vertical="center"/>
    </xf>
    <xf numFmtId="0" fontId="27" fillId="5" borderId="14" xfId="0" applyFont="1" applyFill="1" applyBorder="1" applyAlignment="1">
      <alignment horizontal="left" vertical="center" wrapText="1"/>
    </xf>
    <xf numFmtId="0" fontId="27" fillId="16" borderId="15" xfId="0" applyFont="1" applyFill="1" applyBorder="1" applyAlignment="1">
      <alignment horizontal="left" vertical="center"/>
    </xf>
    <xf numFmtId="0" fontId="9" fillId="14" borderId="18" xfId="0" applyFont="1" applyFill="1" applyBorder="1" applyAlignment="1">
      <alignment horizontal="left" vertical="center"/>
    </xf>
    <xf numFmtId="0" fontId="27" fillId="14" borderId="12" xfId="0" applyFont="1" applyFill="1" applyBorder="1" applyAlignment="1">
      <alignment horizontal="center" vertical="center"/>
    </xf>
    <xf numFmtId="0" fontId="1" fillId="14" borderId="18" xfId="0" applyFont="1" applyFill="1" applyBorder="1" applyAlignment="1">
      <alignment horizontal="left" vertical="center"/>
    </xf>
    <xf numFmtId="0" fontId="9" fillId="14" borderId="0" xfId="0" applyFont="1" applyFill="1" applyAlignment="1">
      <alignment vertical="top"/>
    </xf>
    <xf numFmtId="0" fontId="1" fillId="0" borderId="12" xfId="0" applyFont="1" applyBorder="1" applyAlignment="1" applyProtection="1">
      <alignment vertical="top" wrapText="1"/>
      <protection locked="0"/>
    </xf>
    <xf numFmtId="0" fontId="10" fillId="0" borderId="12" xfId="0" applyFont="1" applyBorder="1" applyAlignment="1" applyProtection="1">
      <alignment vertical="top" wrapText="1"/>
      <protection locked="0"/>
    </xf>
    <xf numFmtId="0" fontId="16" fillId="8" borderId="12" xfId="6" applyFont="1" applyFill="1" applyBorder="1" applyAlignment="1">
      <alignment horizontal="left" textRotation="90" wrapText="1"/>
    </xf>
    <xf numFmtId="0" fontId="13" fillId="0" borderId="12" xfId="0" applyFont="1" applyBorder="1" applyAlignment="1" applyProtection="1">
      <alignment horizontal="center" vertical="center" wrapText="1"/>
      <protection locked="0"/>
    </xf>
    <xf numFmtId="0" fontId="9" fillId="9" borderId="0" xfId="0" applyFont="1" applyFill="1" applyAlignment="1" applyProtection="1">
      <alignment horizontal="left" vertical="top" wrapText="1"/>
      <protection locked="0"/>
    </xf>
    <xf numFmtId="0" fontId="0" fillId="0" borderId="0" xfId="0" applyProtection="1">
      <protection locked="0"/>
    </xf>
    <xf numFmtId="0" fontId="9" fillId="0" borderId="0" xfId="0" applyFont="1" applyAlignment="1">
      <alignment vertical="top" wrapText="1"/>
    </xf>
    <xf numFmtId="0" fontId="9" fillId="0" borderId="0" xfId="0" applyFont="1" applyAlignment="1">
      <alignment vertical="top"/>
    </xf>
    <xf numFmtId="0" fontId="9" fillId="0" borderId="0" xfId="0" applyFont="1" applyAlignment="1">
      <alignment horizontal="left" vertical="top" wrapText="1"/>
    </xf>
    <xf numFmtId="14" fontId="9" fillId="9" borderId="0" xfId="0" applyNumberFormat="1" applyFont="1" applyFill="1" applyAlignment="1" applyProtection="1">
      <alignment horizontal="left" vertical="top" wrapText="1"/>
      <protection locked="0"/>
    </xf>
    <xf numFmtId="0" fontId="0" fillId="0" borderId="0" xfId="0"/>
    <xf numFmtId="0" fontId="16" fillId="4" borderId="18" xfId="6" applyFont="1" applyFill="1" applyBorder="1" applyAlignment="1">
      <alignment horizontal="left" wrapText="1"/>
    </xf>
    <xf numFmtId="0" fontId="27" fillId="13" borderId="0" xfId="6" applyFont="1" applyFill="1" applyAlignment="1">
      <alignment horizontal="left" wrapText="1"/>
    </xf>
    <xf numFmtId="0" fontId="15" fillId="5" borderId="23" xfId="0" applyFont="1" applyFill="1" applyBorder="1" applyAlignment="1">
      <alignment horizontal="center" vertical="center" wrapText="1"/>
    </xf>
    <xf numFmtId="0" fontId="0" fillId="0" borderId="23" xfId="0" applyBorder="1"/>
    <xf numFmtId="0" fontId="9" fillId="0" borderId="0" xfId="0" applyFont="1" applyFill="1" applyAlignment="1" applyProtection="1">
      <alignment horizontal="center" vertical="top"/>
      <protection locked="0"/>
    </xf>
    <xf numFmtId="0" fontId="9" fillId="0" borderId="0" xfId="0" applyFont="1" applyFill="1" applyAlignment="1" applyProtection="1">
      <alignment vertical="top"/>
      <protection locked="0"/>
    </xf>
    <xf numFmtId="0" fontId="25" fillId="0" borderId="12" xfId="4" applyFont="1" applyFill="1" applyBorder="1" applyAlignment="1" applyProtection="1">
      <alignment horizontal="left" vertical="top"/>
      <protection locked="0"/>
    </xf>
    <xf numFmtId="0" fontId="10" fillId="0" borderId="12" xfId="0" applyFont="1" applyFill="1" applyBorder="1" applyAlignment="1" applyProtection="1">
      <alignment horizontal="left" vertical="top" wrapText="1"/>
      <protection locked="0"/>
    </xf>
    <xf numFmtId="0" fontId="10" fillId="0" borderId="12" xfId="0" applyFont="1" applyFill="1" applyBorder="1" applyAlignment="1">
      <alignment horizontal="left" vertical="top" wrapText="1"/>
    </xf>
    <xf numFmtId="0" fontId="1" fillId="0" borderId="12" xfId="0" applyFont="1" applyFill="1" applyBorder="1" applyAlignment="1" applyProtection="1">
      <alignment vertical="top" wrapText="1"/>
      <protection locked="0"/>
    </xf>
    <xf numFmtId="0" fontId="9" fillId="0" borderId="12" xfId="0" applyFont="1" applyFill="1" applyBorder="1" applyAlignment="1" applyProtection="1">
      <alignment vertical="top" wrapText="1"/>
      <protection locked="0"/>
    </xf>
    <xf numFmtId="0" fontId="10" fillId="0" borderId="12" xfId="0" applyFont="1" applyFill="1" applyBorder="1" applyAlignment="1" applyProtection="1">
      <alignment horizontal="left" vertical="top"/>
      <protection locked="0"/>
    </xf>
    <xf numFmtId="49" fontId="10" fillId="0" borderId="12" xfId="0" applyNumberFormat="1" applyFont="1" applyFill="1" applyBorder="1" applyAlignment="1" applyProtection="1">
      <alignment vertical="top"/>
      <protection locked="0"/>
    </xf>
    <xf numFmtId="0" fontId="33" fillId="0" borderId="12" xfId="0" applyFont="1" applyFill="1" applyBorder="1" applyAlignment="1" applyProtection="1">
      <alignment horizontal="left" vertical="top"/>
      <protection locked="0"/>
    </xf>
    <xf numFmtId="0" fontId="23" fillId="0" borderId="0" xfId="0" applyFont="1" applyFill="1" applyAlignment="1" applyProtection="1">
      <alignment horizontal="center"/>
      <protection locked="0"/>
    </xf>
    <xf numFmtId="0" fontId="9" fillId="0" borderId="0" xfId="0" applyFont="1" applyFill="1" applyProtection="1">
      <protection locked="0"/>
    </xf>
    <xf numFmtId="0" fontId="9" fillId="0" borderId="0" xfId="0" applyFont="1" applyFill="1" applyAlignment="1" applyProtection="1">
      <alignment horizontal="center"/>
      <protection locked="0"/>
    </xf>
    <xf numFmtId="0" fontId="25" fillId="0" borderId="12" xfId="4" applyFont="1" applyFill="1" applyBorder="1" applyAlignment="1" applyProtection="1">
      <alignment vertical="top"/>
      <protection locked="0"/>
    </xf>
    <xf numFmtId="0" fontId="8" fillId="0" borderId="0" xfId="0" applyFont="1" applyFill="1" applyProtection="1">
      <protection locked="0"/>
    </xf>
    <xf numFmtId="49" fontId="10" fillId="0" borderId="12" xfId="0" applyNumberFormat="1" applyFont="1" applyFill="1" applyBorder="1" applyAlignment="1" applyProtection="1">
      <alignment vertical="center"/>
      <protection locked="0"/>
    </xf>
    <xf numFmtId="0" fontId="0" fillId="0" borderId="0" xfId="0" applyFont="1"/>
    <xf numFmtId="0" fontId="10" fillId="0" borderId="12" xfId="0" applyFont="1" applyFill="1" applyBorder="1" applyAlignment="1">
      <alignment horizontal="left" textRotation="90"/>
    </xf>
    <xf numFmtId="0" fontId="26" fillId="0" borderId="12" xfId="0" applyFont="1" applyFill="1" applyBorder="1" applyAlignment="1" applyProtection="1">
      <alignment vertical="top" wrapText="1"/>
      <protection locked="0"/>
    </xf>
    <xf numFmtId="0" fontId="16" fillId="0" borderId="12" xfId="6" applyFont="1" applyFill="1" applyBorder="1" applyAlignment="1">
      <alignment horizontal="left" textRotation="90" wrapText="1"/>
    </xf>
    <xf numFmtId="0" fontId="1" fillId="0" borderId="0" xfId="0" applyFont="1" applyFill="1" applyProtection="1">
      <protection locked="0"/>
    </xf>
    <xf numFmtId="0" fontId="1" fillId="0" borderId="0" xfId="0" applyFont="1" applyFill="1" applyAlignment="1" applyProtection="1">
      <alignment horizontal="center"/>
      <protection locked="0"/>
    </xf>
  </cellXfs>
  <cellStyles count="8">
    <cellStyle name="Link" xfId="4" builtinId="8"/>
    <cellStyle name="Neutral" xfId="6" builtinId="28"/>
    <cellStyle name="Normal"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Paulina Felz" id="{226C29E8-B254-4832-87A2-1667980F3495}" userId="S::paulina.felz@pom.ch::2ad47cbd-c4ff-46a4-b556-9d3a64f5acb3"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I7" dT="2026-07-27T13:34:30.80" personId="{226C29E8-B254-4832-87A2-1667980F3495}" id="{F60684EB-6F87-4B2E-A6AD-3B77231CEF9A}">
    <text>Kein offizielles Dokument sonder Arbeitsdokument von pom+. 
Dokument von KBOB?</text>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mailto:info@bauen-digital.ch" TargetMode="External"/><Relationship Id="rId1" Type="http://schemas.openxmlformats.org/officeDocument/2006/relationships/hyperlink" Target="https://creativecommons.org/licenses/by-nc-sa/4.0/"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8" Type="http://schemas.openxmlformats.org/officeDocument/2006/relationships/hyperlink" Target="https://identifier.buildingsmart.org/uri/buildingsmart/ifc/4.3/class/Pset_SpatialZoneCommon" TargetMode="External"/><Relationship Id="rId13" Type="http://schemas.openxmlformats.org/officeDocument/2006/relationships/hyperlink" Target="https://identifier.buildingsmart.org/uri/buildingsmart/ifc/4.3/prop/FloorCovering" TargetMode="External"/><Relationship Id="rId18" Type="http://schemas.openxmlformats.org/officeDocument/2006/relationships/hyperlink" Target="https://identifier.buildingsmart.org/uri/buildingsmart/ifc/4.3/class/Pset_InstallationOccurrence" TargetMode="External"/><Relationship Id="rId26" Type="http://schemas.openxmlformats.org/officeDocument/2006/relationships/hyperlink" Target="https://identifier.buildingsmart.org/uri/buildingsmart/ifc/4.3/prop/AssetIdentifier" TargetMode="External"/><Relationship Id="rId3" Type="http://schemas.openxmlformats.org/officeDocument/2006/relationships/hyperlink" Target="https://identifier.buildingsmart.org/uri/buildingsmart/ifc/4.3/class/IfcOccupantOWNER" TargetMode="External"/><Relationship Id="rId21" Type="http://schemas.openxmlformats.org/officeDocument/2006/relationships/hyperlink" Target="https://identifier.buildingsmart.org/uri/buildingsmart/ifc/4.3/prop/WarrantyContent" TargetMode="External"/><Relationship Id="rId7" Type="http://schemas.openxmlformats.org/officeDocument/2006/relationships/hyperlink" Target="https://identifier.buildingsmart.org/uri/buildingsmart/ifc/4.3/prop/IsLandmarked" TargetMode="External"/><Relationship Id="rId12" Type="http://schemas.openxmlformats.org/officeDocument/2006/relationships/hyperlink" Target="https://identifier.buildingsmart.org/uri/buildingsmart/ifc/4.3/prop/ReferenceEnvironmentTemperature" TargetMode="External"/><Relationship Id="rId17" Type="http://schemas.openxmlformats.org/officeDocument/2006/relationships/hyperlink" Target="https://identifier.buildingsmart.org/uri/buildingsmart/ifc/4.3/prop/AcceptanceDate" TargetMode="External"/><Relationship Id="rId25" Type="http://schemas.openxmlformats.org/officeDocument/2006/relationships/hyperlink" Target="https://identifier.buildingsmart.org/uri/buildingsmart/ifc/4.3/prop/ArticleNumber" TargetMode="External"/><Relationship Id="rId2" Type="http://schemas.openxmlformats.org/officeDocument/2006/relationships/hyperlink" Target="https://identifier.buildingsmart.org/uri/buildingsmart/ifc/4.3/prop/ElementType" TargetMode="External"/><Relationship Id="rId16" Type="http://schemas.openxmlformats.org/officeDocument/2006/relationships/hyperlink" Target="https://identifier.buildingsmart.org/uri/buildingsmart/ifc/4.3/prop/PutIntoOperationDate" TargetMode="External"/><Relationship Id="rId20" Type="http://schemas.openxmlformats.org/officeDocument/2006/relationships/hyperlink" Target="https://identifier.buildingsmart.org/uri/buildingsmart/ifc/4.3/prop/DurationMaintenanceLevel" TargetMode="External"/><Relationship Id="rId29" Type="http://schemas.openxmlformats.org/officeDocument/2006/relationships/hyperlink" Target="https://identifier.buildingsmart.org/uri/buildingsmart/ifc/4.3/prop/ReferenceAirRelativeHumidity" TargetMode="External"/><Relationship Id="rId1" Type="http://schemas.openxmlformats.org/officeDocument/2006/relationships/hyperlink" Target="https://identifier.buildingsmart.org/uri/buildingsmart/ifc/4.3/prop/GlazingAreaFraction" TargetMode="External"/><Relationship Id="rId6" Type="http://schemas.openxmlformats.org/officeDocument/2006/relationships/hyperlink" Target="https://identifier.buildingsmart.org/uri/buildingsmart/ifc/4.3/prop/GrossFloorArea" TargetMode="External"/><Relationship Id="rId11" Type="http://schemas.openxmlformats.org/officeDocument/2006/relationships/hyperlink" Target="https://identifier.buildingsmart.org/uri/buildingsmart/ifc/4.3/prop/NetHeight" TargetMode="External"/><Relationship Id="rId24" Type="http://schemas.openxmlformats.org/officeDocument/2006/relationships/hyperlink" Target="https://identifier.buildingsmart.org/uri/buildingsmart/ifc/4.3/prop/SerialNumber" TargetMode="External"/><Relationship Id="rId32" Type="http://schemas.openxmlformats.org/officeDocument/2006/relationships/printerSettings" Target="../printerSettings/printerSettings1.bin"/><Relationship Id="rId5" Type="http://schemas.openxmlformats.org/officeDocument/2006/relationships/hyperlink" Target="https://identifier.buildingsmart.org/uri/buildingsmart/ifc/4.3/prop/AssetInsuranceType" TargetMode="External"/><Relationship Id="rId15" Type="http://schemas.openxmlformats.org/officeDocument/2006/relationships/hyperlink" Target="https://identifier.buildingsmart.org/uri/buildingsmart/ifc/4.3/class/Qto_SpaceBaseQuantities" TargetMode="External"/><Relationship Id="rId23" Type="http://schemas.openxmlformats.org/officeDocument/2006/relationships/hyperlink" Target="https://identifier.buildingsmart.org/uri/buildingsmart/ifc/4.3/prop/SecurityRating" TargetMode="External"/><Relationship Id="rId28" Type="http://schemas.openxmlformats.org/officeDocument/2006/relationships/hyperlink" Target="https://identifier.buildingsmart.org/uri/buildingsmart/ifc/4.3/prop/LongName" TargetMode="External"/><Relationship Id="rId10" Type="http://schemas.openxmlformats.org/officeDocument/2006/relationships/hyperlink" Target="https://identifier.buildingsmart.org/uri/buildingsmart/ifc/4.3/prop/ClearHeight" TargetMode="External"/><Relationship Id="rId19" Type="http://schemas.openxmlformats.org/officeDocument/2006/relationships/hyperlink" Target="https://identifier.buildingsmart.org/uri/buildingsmart/ifc/4.3/class/Pset_InstallationOccurrence" TargetMode="External"/><Relationship Id="rId31" Type="http://schemas.openxmlformats.org/officeDocument/2006/relationships/hyperlink" Target="https://identifier.buildingsmart.org/uri/buildingsmart/ifc/4.3/prop/LandID" TargetMode="External"/><Relationship Id="rId4" Type="http://schemas.openxmlformats.org/officeDocument/2006/relationships/hyperlink" Target="https://identifier.buildingsmart.org/uri/buildingsmart/ifc/4.3/prop/RiskType" TargetMode="External"/><Relationship Id="rId9" Type="http://schemas.openxmlformats.org/officeDocument/2006/relationships/hyperlink" Target="https://identifier.buildingsmart.org/uri/buildingsmart/ifc/4.3/prop/LandID" TargetMode="External"/><Relationship Id="rId14" Type="http://schemas.openxmlformats.org/officeDocument/2006/relationships/hyperlink" Target="https://identifier.buildingsmart.org/uri/buildingsmart/ifc/4.3/prop/MechanicalVentilationRate" TargetMode="External"/><Relationship Id="rId22" Type="http://schemas.openxmlformats.org/officeDocument/2006/relationships/hyperlink" Target="https://identifier.buildingsmart.org/uri/buildingsmart/ifc/4.3/prop/ServiceLifeDuration" TargetMode="External"/><Relationship Id="rId27" Type="http://schemas.openxmlformats.org/officeDocument/2006/relationships/hyperlink" Target="https://identifier.buildingsmart.org/uri/buildingsmart/ifc/4.3/prop/FireRating" TargetMode="External"/><Relationship Id="rId30" Type="http://schemas.openxmlformats.org/officeDocument/2006/relationships/hyperlink" Target="https://identifier.buildingsmart.org/uri/buildingsmart/ifc/4.3/class/Pset_EnvironmentalCondition"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50"/>
  <sheetViews>
    <sheetView showGridLines="0" workbookViewId="0">
      <selection activeCell="D26" sqref="D26"/>
    </sheetView>
  </sheetViews>
  <sheetFormatPr baseColWidth="10" defaultColWidth="11.453125" defaultRowHeight="13" x14ac:dyDescent="0.35"/>
  <cols>
    <col min="1" max="1" width="1.7265625" style="37" customWidth="1"/>
    <col min="2" max="2" width="1.7265625" style="40" customWidth="1"/>
    <col min="3" max="3" width="35.7265625" style="37" customWidth="1"/>
    <col min="4" max="4" width="35.7265625" style="44" customWidth="1"/>
    <col min="5" max="5" width="35.7265625" style="37" customWidth="1"/>
    <col min="6" max="15" width="11.453125" style="37" customWidth="1"/>
    <col min="16" max="16384" width="11.453125" style="37"/>
  </cols>
  <sheetData>
    <row r="1" spans="2:7" ht="17.649999999999999" customHeight="1" x14ac:dyDescent="0.35">
      <c r="B1" s="45" t="s">
        <v>594</v>
      </c>
      <c r="C1" s="45"/>
    </row>
    <row r="3" spans="2:7" x14ac:dyDescent="0.35">
      <c r="B3" s="40" t="s">
        <v>595</v>
      </c>
    </row>
    <row r="4" spans="2:7" ht="15" customHeight="1" x14ac:dyDescent="0.35">
      <c r="C4" s="37" t="s">
        <v>31</v>
      </c>
      <c r="D4" s="234" t="s">
        <v>596</v>
      </c>
      <c r="E4" s="235"/>
    </row>
    <row r="5" spans="2:7" ht="15" customHeight="1" x14ac:dyDescent="0.35">
      <c r="C5" s="37" t="s">
        <v>597</v>
      </c>
      <c r="D5" s="234" t="s">
        <v>598</v>
      </c>
      <c r="E5" s="235"/>
    </row>
    <row r="6" spans="2:7" ht="15" customHeight="1" x14ac:dyDescent="0.35">
      <c r="C6" s="37" t="s">
        <v>599</v>
      </c>
      <c r="D6" s="239">
        <v>46152</v>
      </c>
      <c r="E6" s="235"/>
    </row>
    <row r="7" spans="2:7" ht="15" customHeight="1" x14ac:dyDescent="0.35">
      <c r="C7" s="37" t="s">
        <v>600</v>
      </c>
      <c r="D7" s="234" t="s">
        <v>601</v>
      </c>
      <c r="E7" s="235"/>
    </row>
    <row r="8" spans="2:7" ht="14.25" customHeight="1" x14ac:dyDescent="0.35"/>
    <row r="9" spans="2:7" ht="14.25" customHeight="1" x14ac:dyDescent="0.35">
      <c r="B9" s="40" t="s">
        <v>602</v>
      </c>
    </row>
    <row r="10" spans="2:7" ht="34.5" customHeight="1" x14ac:dyDescent="0.35"/>
    <row r="11" spans="2:7" ht="14.25" customHeight="1" x14ac:dyDescent="0.35"/>
    <row r="12" spans="2:7" ht="14.25" customHeight="1" x14ac:dyDescent="0.35">
      <c r="B12" s="40" t="s">
        <v>603</v>
      </c>
    </row>
    <row r="13" spans="2:7" ht="14.25" customHeight="1" x14ac:dyDescent="0.35">
      <c r="C13" s="46" t="s">
        <v>604</v>
      </c>
      <c r="E13" s="46" t="s">
        <v>605</v>
      </c>
      <c r="G13" s="79"/>
    </row>
    <row r="14" spans="2:7" ht="14.25" customHeight="1" x14ac:dyDescent="0.35">
      <c r="C14" s="46" t="s">
        <v>606</v>
      </c>
      <c r="E14" s="46" t="s">
        <v>607</v>
      </c>
      <c r="G14" s="79"/>
    </row>
    <row r="15" spans="2:7" ht="23.25" customHeight="1" x14ac:dyDescent="0.35">
      <c r="C15" s="46" t="s">
        <v>608</v>
      </c>
      <c r="D15" s="46" t="s">
        <v>609</v>
      </c>
      <c r="E15" s="46" t="s">
        <v>610</v>
      </c>
    </row>
    <row r="16" spans="2:7" ht="14.25" customHeight="1" x14ac:dyDescent="0.35">
      <c r="C16" s="46" t="s">
        <v>611</v>
      </c>
      <c r="D16" s="46" t="s">
        <v>612</v>
      </c>
      <c r="E16" s="46" t="s">
        <v>613</v>
      </c>
    </row>
    <row r="17" spans="2:5" ht="14.25" customHeight="1" x14ac:dyDescent="0.35">
      <c r="C17" s="46" t="s">
        <v>614</v>
      </c>
      <c r="D17" s="46" t="s">
        <v>615</v>
      </c>
      <c r="E17" s="46" t="s">
        <v>616</v>
      </c>
    </row>
    <row r="18" spans="2:5" ht="14.25" customHeight="1" x14ac:dyDescent="0.35">
      <c r="C18" s="46" t="s">
        <v>617</v>
      </c>
      <c r="D18" s="46" t="s">
        <v>618</v>
      </c>
      <c r="E18" s="46" t="s">
        <v>619</v>
      </c>
    </row>
    <row r="19" spans="2:5" ht="14.25" customHeight="1" x14ac:dyDescent="0.35">
      <c r="C19" s="46" t="s">
        <v>620</v>
      </c>
      <c r="D19" s="46" t="s">
        <v>621</v>
      </c>
      <c r="E19" s="46" t="s">
        <v>622</v>
      </c>
    </row>
    <row r="20" spans="2:5" ht="14.25" customHeight="1" x14ac:dyDescent="0.35">
      <c r="C20" s="46" t="s">
        <v>623</v>
      </c>
      <c r="D20" s="46" t="s">
        <v>624</v>
      </c>
      <c r="E20" s="46" t="s">
        <v>625</v>
      </c>
    </row>
    <row r="21" spans="2:5" ht="14.25" customHeight="1" x14ac:dyDescent="0.35">
      <c r="C21" s="46" t="s">
        <v>626</v>
      </c>
      <c r="D21" s="46" t="s">
        <v>627</v>
      </c>
      <c r="E21" s="46" t="s">
        <v>628</v>
      </c>
    </row>
    <row r="22" spans="2:5" ht="14.25" customHeight="1" x14ac:dyDescent="0.35">
      <c r="C22" s="46" t="s">
        <v>629</v>
      </c>
      <c r="D22" s="46" t="s">
        <v>630</v>
      </c>
      <c r="E22" s="46" t="s">
        <v>631</v>
      </c>
    </row>
    <row r="23" spans="2:5" ht="14.25" customHeight="1" x14ac:dyDescent="0.35">
      <c r="C23" s="46" t="s">
        <v>632</v>
      </c>
      <c r="D23" s="46" t="s">
        <v>633</v>
      </c>
      <c r="E23" s="46" t="s">
        <v>634</v>
      </c>
    </row>
    <row r="24" spans="2:5" ht="14.25" customHeight="1" x14ac:dyDescent="0.35">
      <c r="C24" s="46" t="s">
        <v>635</v>
      </c>
      <c r="D24" s="46" t="s">
        <v>636</v>
      </c>
      <c r="E24" s="46"/>
    </row>
    <row r="25" spans="2:5" ht="14.25" customHeight="1" x14ac:dyDescent="0.35">
      <c r="C25" s="46" t="s">
        <v>637</v>
      </c>
      <c r="D25" s="46" t="s">
        <v>638</v>
      </c>
      <c r="E25" s="46"/>
    </row>
    <row r="26" spans="2:5" ht="14.25" customHeight="1" x14ac:dyDescent="0.35">
      <c r="C26" s="46" t="s">
        <v>639</v>
      </c>
      <c r="D26" s="46" t="s">
        <v>640</v>
      </c>
      <c r="E26" s="46"/>
    </row>
    <row r="27" spans="2:5" ht="14.25" customHeight="1" x14ac:dyDescent="0.35"/>
    <row r="28" spans="2:5" x14ac:dyDescent="0.35">
      <c r="B28" s="40" t="s">
        <v>641</v>
      </c>
      <c r="D28" s="238" t="s">
        <v>642</v>
      </c>
      <c r="E28" s="237"/>
    </row>
    <row r="29" spans="2:5" x14ac:dyDescent="0.35">
      <c r="D29" s="238" t="s">
        <v>643</v>
      </c>
      <c r="E29" s="237"/>
    </row>
    <row r="30" spans="2:5" x14ac:dyDescent="0.35">
      <c r="D30" s="238" t="s">
        <v>644</v>
      </c>
      <c r="E30" s="237"/>
    </row>
    <row r="31" spans="2:5" x14ac:dyDescent="0.35">
      <c r="D31" s="238" t="s">
        <v>645</v>
      </c>
      <c r="E31" s="237"/>
    </row>
    <row r="32" spans="2:5" x14ac:dyDescent="0.35">
      <c r="D32" s="238" t="s">
        <v>646</v>
      </c>
      <c r="E32" s="237"/>
    </row>
    <row r="33" spans="2:5" ht="25.5" customHeight="1" x14ac:dyDescent="0.35">
      <c r="D33" s="238" t="s">
        <v>647</v>
      </c>
      <c r="E33" s="237"/>
    </row>
    <row r="34" spans="2:5" ht="38.25" customHeight="1" x14ac:dyDescent="0.35">
      <c r="D34" s="238" t="s">
        <v>648</v>
      </c>
      <c r="E34" s="237"/>
    </row>
    <row r="35" spans="2:5" x14ac:dyDescent="0.35">
      <c r="D35" s="238" t="s">
        <v>649</v>
      </c>
      <c r="E35" s="237"/>
    </row>
    <row r="36" spans="2:5" x14ac:dyDescent="0.35">
      <c r="D36" s="236"/>
      <c r="E36" s="237"/>
    </row>
    <row r="38" spans="2:5" x14ac:dyDescent="0.35">
      <c r="B38" s="40" t="s">
        <v>650</v>
      </c>
    </row>
    <row r="39" spans="2:5" ht="27" customHeight="1" x14ac:dyDescent="0.35">
      <c r="D39" s="236"/>
      <c r="E39" s="237"/>
    </row>
    <row r="40" spans="2:5" x14ac:dyDescent="0.35">
      <c r="D40" s="236"/>
      <c r="E40" s="237"/>
    </row>
    <row r="41" spans="2:5" ht="14.25" customHeight="1" x14ac:dyDescent="0.35">
      <c r="D41" s="240" t="s">
        <v>651</v>
      </c>
      <c r="E41" s="237"/>
    </row>
    <row r="42" spans="2:5" ht="24.75" customHeight="1" x14ac:dyDescent="0.35"/>
    <row r="44" spans="2:5" x14ac:dyDescent="0.35">
      <c r="C44" s="40"/>
    </row>
    <row r="45" spans="2:5" x14ac:dyDescent="0.35">
      <c r="D45" s="236"/>
      <c r="E45" s="237"/>
    </row>
    <row r="48" spans="2:5" x14ac:dyDescent="0.35">
      <c r="D48" s="236"/>
      <c r="E48" s="237"/>
    </row>
    <row r="49" spans="3:5" ht="14.25" customHeight="1" x14ac:dyDescent="0.35">
      <c r="C49" s="33"/>
      <c r="D49" s="240" t="s">
        <v>652</v>
      </c>
      <c r="E49" s="237"/>
    </row>
    <row r="50" spans="3:5" x14ac:dyDescent="0.35">
      <c r="D50" s="43"/>
      <c r="E50" s="33"/>
    </row>
  </sheetData>
  <mergeCells count="19">
    <mergeCell ref="D49:E49"/>
    <mergeCell ref="D32:E32"/>
    <mergeCell ref="D41:E41"/>
    <mergeCell ref="D48:E48"/>
    <mergeCell ref="D7:E7"/>
    <mergeCell ref="D28:E28"/>
    <mergeCell ref="D34:E34"/>
    <mergeCell ref="D40:E40"/>
    <mergeCell ref="D36:E36"/>
    <mergeCell ref="D31:E31"/>
    <mergeCell ref="D45:E45"/>
    <mergeCell ref="D4:E4"/>
    <mergeCell ref="D39:E39"/>
    <mergeCell ref="D30:E30"/>
    <mergeCell ref="D33:E33"/>
    <mergeCell ref="D29:E29"/>
    <mergeCell ref="D5:E5"/>
    <mergeCell ref="D35:E35"/>
    <mergeCell ref="D6:E6"/>
  </mergeCells>
  <hyperlinks>
    <hyperlink ref="D41" r:id="rId1" xr:uid="{00000000-0004-0000-0000-000000000000}"/>
    <hyperlink ref="D49" r:id="rId2" xr:uid="{00000000-0004-0000-0000-000001000000}"/>
  </hyperlinks>
  <pageMargins left="0.70866141732283472" right="0.70866141732283472" top="0.78740157480314965" bottom="0.78740157480314965" header="0.31496062992125978" footer="0.31496062992125978"/>
  <pageSetup paperSize="9" scale="78" orientation="portrait"/>
  <headerFooter>
    <oddHeader>&amp;CBauen digital Schweiz / buildingSMART Switzerland</oddHeader>
    <oddFooter>&amp;L&amp;"Arial"&amp;7 &amp;K000000Handlungsempfehlung Datenkatalog_x000D_# C2 - Intern_x000D_&amp;1#&amp;"Arial"&amp;7 &amp;K000000 C2 - Intern&amp;CStrukturvorlage&amp;R&amp;D /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91"/>
  <sheetViews>
    <sheetView showGridLines="0" topLeftCell="A124" zoomScaleNormal="100" workbookViewId="0">
      <selection activeCell="G147" sqref="G147"/>
    </sheetView>
  </sheetViews>
  <sheetFormatPr baseColWidth="10" defaultColWidth="11.453125" defaultRowHeight="14.5" outlineLevelRow="1" x14ac:dyDescent="0.35"/>
  <cols>
    <col min="1" max="1" width="7.81640625" style="142" customWidth="1"/>
    <col min="2" max="2" width="4.26953125" style="37" customWidth="1"/>
    <col min="3" max="3" width="4.90625" style="33" customWidth="1"/>
    <col min="4" max="4" width="4.26953125" customWidth="1"/>
    <col min="5" max="5" width="4.26953125" style="37" customWidth="1"/>
    <col min="6" max="8" width="4.26953125" style="44" customWidth="1"/>
    <col min="9" max="10" width="4.26953125" style="37" customWidth="1"/>
    <col min="11" max="13" width="4.26953125" style="44" customWidth="1"/>
    <col min="14" max="14" width="4.26953125" style="37" customWidth="1"/>
    <col min="15" max="17" width="4.26953125" style="44" customWidth="1"/>
    <col min="18" max="19" width="4.26953125" style="37" customWidth="1"/>
    <col min="20" max="29" width="11.453125" style="37" customWidth="1"/>
    <col min="30" max="16384" width="11.453125" style="37"/>
  </cols>
  <sheetData>
    <row r="1" spans="1:19" s="139" customFormat="1" ht="20.149999999999999" customHeight="1" x14ac:dyDescent="0.35">
      <c r="A1" s="143" t="s">
        <v>653</v>
      </c>
      <c r="B1" s="140"/>
      <c r="C1" s="143"/>
      <c r="D1" s="140"/>
      <c r="E1" s="140"/>
      <c r="F1" s="140"/>
      <c r="G1" s="140"/>
      <c r="H1" s="140"/>
      <c r="I1" s="140"/>
      <c r="J1" s="140"/>
      <c r="K1" s="140"/>
      <c r="L1" s="140"/>
      <c r="M1" s="140"/>
      <c r="N1" s="140"/>
      <c r="O1" s="140"/>
      <c r="P1" s="140"/>
      <c r="Q1" s="140"/>
      <c r="R1" s="140"/>
      <c r="S1" s="140"/>
    </row>
    <row r="2" spans="1:19" ht="13.15" customHeight="1" x14ac:dyDescent="0.35">
      <c r="D2" s="37"/>
    </row>
    <row r="3" spans="1:19" s="139" customFormat="1" ht="20.149999999999999" customHeight="1" x14ac:dyDescent="0.35">
      <c r="A3" s="141"/>
      <c r="B3" s="144" t="s">
        <v>654</v>
      </c>
      <c r="C3" s="211"/>
      <c r="D3" s="145"/>
      <c r="E3" s="145"/>
      <c r="F3" s="145"/>
      <c r="G3" s="145"/>
      <c r="H3" s="145"/>
      <c r="I3" s="145"/>
      <c r="J3" s="145"/>
      <c r="K3" s="145"/>
      <c r="L3" s="145"/>
      <c r="M3" s="145"/>
      <c r="N3" s="145"/>
      <c r="O3" s="145"/>
      <c r="P3" s="145"/>
      <c r="Q3" s="145"/>
      <c r="R3" s="145"/>
      <c r="S3" s="146"/>
    </row>
    <row r="4" spans="1:19" ht="13.15" customHeight="1" outlineLevel="1" x14ac:dyDescent="0.35">
      <c r="B4" s="135"/>
      <c r="D4" s="37"/>
    </row>
    <row r="5" spans="1:19" ht="13.15" customHeight="1" outlineLevel="1" x14ac:dyDescent="0.35">
      <c r="B5" s="135">
        <v>1</v>
      </c>
      <c r="C5" s="33" t="s">
        <v>655</v>
      </c>
      <c r="D5" s="37"/>
    </row>
    <row r="6" spans="1:19" ht="13.15" customHeight="1" outlineLevel="1" x14ac:dyDescent="0.35">
      <c r="B6" s="135">
        <v>2</v>
      </c>
      <c r="C6" s="33" t="s">
        <v>30</v>
      </c>
      <c r="D6" s="37"/>
      <c r="L6" s="126"/>
      <c r="M6" s="126"/>
      <c r="N6" s="40"/>
      <c r="O6" s="126"/>
    </row>
    <row r="7" spans="1:19" ht="13.15" customHeight="1" outlineLevel="1" x14ac:dyDescent="0.35">
      <c r="B7" s="135">
        <v>3</v>
      </c>
      <c r="C7" s="33" t="s">
        <v>656</v>
      </c>
      <c r="D7" s="37"/>
      <c r="L7" s="126"/>
      <c r="M7" s="126"/>
      <c r="N7" s="40"/>
      <c r="O7" s="126"/>
    </row>
    <row r="8" spans="1:19" ht="13.15" customHeight="1" outlineLevel="1" x14ac:dyDescent="0.35">
      <c r="B8" s="135">
        <v>4</v>
      </c>
      <c r="C8" s="33" t="s">
        <v>657</v>
      </c>
      <c r="D8" s="37"/>
      <c r="L8" s="126"/>
      <c r="M8" s="126"/>
      <c r="N8" s="40"/>
      <c r="O8" s="126"/>
    </row>
    <row r="9" spans="1:19" ht="13.15" customHeight="1" outlineLevel="1" x14ac:dyDescent="0.35">
      <c r="B9" s="135">
        <v>5</v>
      </c>
      <c r="C9" s="33" t="s">
        <v>658</v>
      </c>
      <c r="D9" s="37"/>
      <c r="L9" s="126"/>
      <c r="M9" s="126"/>
      <c r="N9" s="40"/>
      <c r="O9" s="126"/>
    </row>
    <row r="10" spans="1:19" ht="13.15" customHeight="1" outlineLevel="1" x14ac:dyDescent="0.35">
      <c r="B10" s="135">
        <v>6</v>
      </c>
      <c r="C10" s="33" t="s">
        <v>659</v>
      </c>
      <c r="D10" s="37"/>
      <c r="L10" s="126"/>
      <c r="M10" s="126"/>
      <c r="N10" s="40"/>
      <c r="O10" s="126"/>
    </row>
    <row r="11" spans="1:19" ht="13.15" customHeight="1" outlineLevel="1" x14ac:dyDescent="0.35">
      <c r="B11" s="135">
        <v>7</v>
      </c>
      <c r="C11" s="33" t="s">
        <v>660</v>
      </c>
      <c r="D11" s="37"/>
      <c r="L11" s="126"/>
      <c r="M11" s="126"/>
      <c r="N11" s="40"/>
      <c r="O11" s="126"/>
    </row>
    <row r="12" spans="1:19" ht="13.15" customHeight="1" outlineLevel="1" x14ac:dyDescent="0.35"/>
    <row r="13" spans="1:19" ht="18" customHeight="1" x14ac:dyDescent="0.35">
      <c r="B13" s="144" t="s">
        <v>1</v>
      </c>
      <c r="C13" s="211"/>
    </row>
    <row r="15" spans="1:19" ht="12.75" customHeight="1" x14ac:dyDescent="0.35">
      <c r="C15" s="227" t="s">
        <v>667</v>
      </c>
      <c r="D15" s="127" t="s">
        <v>661</v>
      </c>
      <c r="E15" s="127" t="s">
        <v>662</v>
      </c>
      <c r="F15" s="127" t="s">
        <v>663</v>
      </c>
      <c r="G15" s="127" t="s">
        <v>664</v>
      </c>
      <c r="H15" s="37"/>
      <c r="K15" s="37"/>
      <c r="P15" s="37"/>
      <c r="Q15" s="37"/>
    </row>
    <row r="16" spans="1:19" ht="182.25" customHeight="1" outlineLevel="1" x14ac:dyDescent="0.35">
      <c r="B16" s="103" t="s">
        <v>1</v>
      </c>
      <c r="C16" s="212" t="s">
        <v>665</v>
      </c>
      <c r="D16" s="169" t="s">
        <v>666</v>
      </c>
      <c r="E16" s="169" t="s">
        <v>36</v>
      </c>
      <c r="F16" s="169" t="s">
        <v>37</v>
      </c>
      <c r="G16" s="169" t="s">
        <v>43</v>
      </c>
      <c r="K16" s="37"/>
      <c r="L16" s="126"/>
      <c r="M16" s="126"/>
      <c r="N16" s="40"/>
      <c r="O16" s="126"/>
      <c r="P16" s="37"/>
      <c r="Q16" s="37"/>
    </row>
    <row r="17" spans="1:19" s="38" customFormat="1" ht="15" customHeight="1" outlineLevel="1" x14ac:dyDescent="0.35">
      <c r="A17" s="147"/>
      <c r="B17" s="128" t="s">
        <v>667</v>
      </c>
      <c r="C17" s="213" t="s">
        <v>668</v>
      </c>
      <c r="F17" s="48"/>
      <c r="G17" s="48"/>
      <c r="H17" s="48"/>
      <c r="K17" s="48"/>
      <c r="L17" s="44"/>
      <c r="M17" s="44"/>
      <c r="N17" s="37"/>
      <c r="O17" s="44"/>
      <c r="P17" s="48"/>
      <c r="Q17" s="48"/>
    </row>
    <row r="18" spans="1:19" s="38" customFormat="1" ht="15" customHeight="1" outlineLevel="1" x14ac:dyDescent="0.35">
      <c r="A18" s="147"/>
      <c r="B18" s="130"/>
      <c r="C18" s="213" t="s">
        <v>669</v>
      </c>
      <c r="F18" s="48"/>
      <c r="G18" s="48"/>
      <c r="H18" s="48"/>
      <c r="K18" s="48"/>
      <c r="L18" s="44"/>
      <c r="M18" s="44"/>
      <c r="N18" s="37"/>
      <c r="O18" s="44"/>
      <c r="P18" s="48"/>
      <c r="Q18" s="48"/>
    </row>
    <row r="19" spans="1:19" s="38" customFormat="1" ht="15" customHeight="1" outlineLevel="1" x14ac:dyDescent="0.35">
      <c r="A19" s="147"/>
      <c r="B19" s="128" t="s">
        <v>661</v>
      </c>
      <c r="C19" s="213" t="s">
        <v>666</v>
      </c>
      <c r="F19" s="48"/>
      <c r="G19" s="48"/>
      <c r="H19" s="48"/>
      <c r="K19" s="48"/>
      <c r="L19" s="126"/>
      <c r="M19" s="126"/>
      <c r="N19" s="40"/>
      <c r="O19" s="126"/>
      <c r="P19" s="48"/>
      <c r="Q19" s="48"/>
    </row>
    <row r="20" spans="1:19" s="38" customFormat="1" ht="15" customHeight="1" outlineLevel="1" x14ac:dyDescent="0.35">
      <c r="A20" s="147"/>
      <c r="B20" s="130"/>
      <c r="C20" s="213" t="s">
        <v>670</v>
      </c>
      <c r="F20" s="48"/>
      <c r="G20" s="48"/>
      <c r="H20" s="48"/>
      <c r="K20" s="48"/>
      <c r="L20" s="126"/>
      <c r="M20" s="126"/>
      <c r="N20" s="40"/>
      <c r="O20" s="126"/>
      <c r="P20" s="48"/>
      <c r="Q20" s="48"/>
    </row>
    <row r="21" spans="1:19" s="38" customFormat="1" ht="15" customHeight="1" outlineLevel="1" x14ac:dyDescent="0.35">
      <c r="A21" s="147"/>
      <c r="B21" s="128" t="s">
        <v>662</v>
      </c>
      <c r="C21" s="213" t="s">
        <v>36</v>
      </c>
      <c r="F21" s="48"/>
      <c r="G21" s="48"/>
      <c r="H21" s="48"/>
      <c r="K21" s="48"/>
      <c r="L21" s="44"/>
      <c r="M21" s="44"/>
      <c r="N21" s="37"/>
      <c r="O21" s="44"/>
      <c r="P21" s="48"/>
      <c r="Q21" s="48"/>
    </row>
    <row r="22" spans="1:19" s="38" customFormat="1" ht="15" customHeight="1" outlineLevel="1" x14ac:dyDescent="0.35">
      <c r="A22" s="147"/>
      <c r="B22" s="130"/>
      <c r="C22" s="213" t="s">
        <v>671</v>
      </c>
      <c r="F22" s="48"/>
      <c r="G22" s="48"/>
      <c r="H22" s="48"/>
      <c r="K22" s="48"/>
      <c r="L22" s="44"/>
      <c r="M22" s="44"/>
      <c r="N22" s="37"/>
      <c r="O22" s="44"/>
      <c r="P22" s="48"/>
      <c r="Q22" s="48"/>
    </row>
    <row r="23" spans="1:19" s="38" customFormat="1" ht="15" customHeight="1" outlineLevel="1" x14ac:dyDescent="0.35">
      <c r="A23" s="147"/>
      <c r="B23" s="128" t="s">
        <v>663</v>
      </c>
      <c r="C23" s="213" t="s">
        <v>37</v>
      </c>
      <c r="F23" s="48"/>
      <c r="G23" s="48"/>
      <c r="H23" s="48"/>
      <c r="K23" s="48"/>
      <c r="L23" s="126"/>
      <c r="M23" s="126"/>
      <c r="N23" s="40"/>
      <c r="O23" s="126"/>
      <c r="P23" s="48"/>
      <c r="Q23" s="48"/>
    </row>
    <row r="24" spans="1:19" s="38" customFormat="1" ht="15" customHeight="1" outlineLevel="1" x14ac:dyDescent="0.35">
      <c r="A24" s="147"/>
      <c r="B24" s="130"/>
      <c r="C24" s="228" t="s">
        <v>1163</v>
      </c>
      <c r="F24" s="48"/>
      <c r="G24" s="48"/>
      <c r="H24" s="48"/>
      <c r="K24" s="48"/>
      <c r="L24" s="126"/>
      <c r="M24" s="126"/>
      <c r="N24" s="40"/>
      <c r="O24" s="126"/>
      <c r="P24" s="48"/>
      <c r="Q24" s="48"/>
    </row>
    <row r="25" spans="1:19" s="38" customFormat="1" ht="15" customHeight="1" outlineLevel="1" x14ac:dyDescent="0.35">
      <c r="A25" s="147"/>
      <c r="B25" s="128" t="s">
        <v>664</v>
      </c>
      <c r="C25" s="213" t="s">
        <v>43</v>
      </c>
      <c r="F25" s="48"/>
      <c r="G25" s="48"/>
      <c r="H25" s="48"/>
      <c r="K25" s="48"/>
      <c r="L25" s="44"/>
      <c r="M25" s="44"/>
      <c r="N25" s="37"/>
      <c r="O25" s="44"/>
      <c r="P25" s="48"/>
      <c r="Q25" s="48"/>
    </row>
    <row r="26" spans="1:19" s="38" customFormat="1" ht="15" customHeight="1" outlineLevel="1" x14ac:dyDescent="0.35">
      <c r="A26" s="147"/>
      <c r="B26" s="130"/>
      <c r="C26" s="214" t="s">
        <v>672</v>
      </c>
      <c r="F26" s="48"/>
      <c r="G26" s="48"/>
      <c r="H26" s="48"/>
      <c r="K26" s="48"/>
      <c r="L26" s="44"/>
      <c r="M26" s="44"/>
      <c r="N26" s="37"/>
      <c r="O26" s="44"/>
      <c r="P26" s="48"/>
      <c r="Q26" s="48"/>
    </row>
    <row r="27" spans="1:19" s="40" customFormat="1" ht="13.15" customHeight="1" outlineLevel="1" x14ac:dyDescent="0.35">
      <c r="A27" s="142"/>
      <c r="C27" s="215"/>
      <c r="F27" s="126"/>
      <c r="G27" s="126"/>
      <c r="H27" s="126"/>
      <c r="K27" s="126"/>
      <c r="L27" s="126"/>
      <c r="M27" s="126"/>
      <c r="O27" s="126"/>
      <c r="P27" s="126"/>
      <c r="Q27" s="126"/>
    </row>
    <row r="28" spans="1:19" s="139" customFormat="1" ht="20.149999999999999" customHeight="1" x14ac:dyDescent="0.35">
      <c r="A28" s="141">
        <v>2</v>
      </c>
      <c r="B28" s="155" t="s">
        <v>30</v>
      </c>
      <c r="C28" s="216"/>
      <c r="D28" s="156"/>
      <c r="E28" s="156"/>
      <c r="F28" s="156"/>
      <c r="G28" s="156"/>
      <c r="H28" s="156"/>
      <c r="I28" s="156"/>
      <c r="J28" s="156"/>
      <c r="K28" s="156"/>
      <c r="L28" s="156"/>
      <c r="M28" s="156"/>
      <c r="N28" s="156"/>
      <c r="O28" s="156"/>
      <c r="P28" s="156"/>
      <c r="Q28" s="156"/>
      <c r="R28" s="156"/>
      <c r="S28" s="157"/>
    </row>
    <row r="29" spans="1:19" s="40" customFormat="1" ht="13.15" customHeight="1" outlineLevel="1" x14ac:dyDescent="0.35">
      <c r="A29" s="142"/>
      <c r="C29" s="215"/>
      <c r="F29" s="126"/>
      <c r="G29" s="126"/>
      <c r="K29" s="126"/>
      <c r="L29" s="126"/>
      <c r="M29" s="126"/>
      <c r="O29" s="126"/>
      <c r="P29" s="126"/>
      <c r="Q29" s="126"/>
    </row>
    <row r="30" spans="1:19" s="40" customFormat="1" ht="13.15" customHeight="1" outlineLevel="1" x14ac:dyDescent="0.35">
      <c r="A30" s="142"/>
      <c r="B30" s="37" t="s">
        <v>673</v>
      </c>
      <c r="C30" s="215"/>
      <c r="F30" s="126"/>
      <c r="G30" s="126"/>
      <c r="K30" s="126"/>
      <c r="L30" s="126"/>
      <c r="M30" s="126"/>
      <c r="O30" s="126"/>
      <c r="P30" s="126"/>
      <c r="Q30" s="126"/>
    </row>
    <row r="31" spans="1:19" s="40" customFormat="1" ht="13.15" customHeight="1" outlineLevel="1" x14ac:dyDescent="0.35">
      <c r="A31" s="142"/>
      <c r="B31" s="37" t="s">
        <v>674</v>
      </c>
      <c r="C31" s="215"/>
      <c r="F31" s="126"/>
      <c r="G31" s="126"/>
      <c r="K31" s="126"/>
      <c r="L31" s="126"/>
      <c r="M31" s="126"/>
      <c r="O31" s="126"/>
      <c r="P31" s="126"/>
      <c r="Q31" s="126"/>
    </row>
    <row r="32" spans="1:19" s="40" customFormat="1" ht="13.15" customHeight="1" outlineLevel="1" x14ac:dyDescent="0.35">
      <c r="A32" s="142"/>
      <c r="C32" s="215"/>
      <c r="F32" s="126"/>
      <c r="G32" s="126"/>
      <c r="K32" s="126"/>
      <c r="L32" s="126"/>
      <c r="M32" s="126"/>
      <c r="O32" s="126"/>
      <c r="P32" s="126"/>
      <c r="Q32" s="126"/>
    </row>
    <row r="33" spans="1:17" ht="15" customHeight="1" outlineLevel="1" x14ac:dyDescent="0.35">
      <c r="B33" s="127" t="s">
        <v>667</v>
      </c>
      <c r="C33" s="217" t="s">
        <v>661</v>
      </c>
      <c r="D33" s="127" t="s">
        <v>662</v>
      </c>
      <c r="E33" s="127" t="s">
        <v>663</v>
      </c>
      <c r="F33" s="127" t="s">
        <v>664</v>
      </c>
      <c r="G33" s="127" t="s">
        <v>675</v>
      </c>
      <c r="H33" s="127" t="s">
        <v>676</v>
      </c>
      <c r="K33" s="37"/>
      <c r="L33" s="37"/>
      <c r="M33" s="37"/>
      <c r="O33" s="37"/>
      <c r="P33" s="37"/>
      <c r="Q33" s="37"/>
    </row>
    <row r="34" spans="1:17" ht="265.5" customHeight="1" outlineLevel="1" x14ac:dyDescent="0.35">
      <c r="B34" s="98" t="s">
        <v>30</v>
      </c>
      <c r="C34" s="90" t="s">
        <v>31</v>
      </c>
      <c r="D34" s="136" t="s">
        <v>677</v>
      </c>
      <c r="E34" s="136" t="s">
        <v>678</v>
      </c>
      <c r="F34" s="136" t="s">
        <v>679</v>
      </c>
      <c r="G34" s="136" t="s">
        <v>680</v>
      </c>
      <c r="H34" s="136" t="s">
        <v>681</v>
      </c>
      <c r="K34" s="37"/>
      <c r="L34" s="37"/>
      <c r="M34" s="37"/>
      <c r="O34" s="37"/>
      <c r="P34" s="37"/>
      <c r="Q34" s="37"/>
    </row>
    <row r="35" spans="1:17" s="38" customFormat="1" ht="15" customHeight="1" outlineLevel="1" x14ac:dyDescent="0.35">
      <c r="A35" s="142"/>
      <c r="B35" s="127" t="s">
        <v>661</v>
      </c>
      <c r="C35" s="213" t="s">
        <v>682</v>
      </c>
      <c r="F35" s="48"/>
      <c r="G35" s="48"/>
      <c r="H35" s="48"/>
      <c r="K35" s="48"/>
      <c r="L35" s="48"/>
      <c r="M35" s="48"/>
      <c r="O35" s="48"/>
      <c r="P35" s="48"/>
      <c r="Q35" s="48"/>
    </row>
    <row r="36" spans="1:17" s="38" customFormat="1" ht="15" customHeight="1" outlineLevel="1" x14ac:dyDescent="0.35">
      <c r="A36" s="142"/>
      <c r="B36" s="128" t="s">
        <v>662</v>
      </c>
      <c r="C36" s="213" t="s">
        <v>683</v>
      </c>
      <c r="F36" s="48"/>
      <c r="G36" s="48"/>
      <c r="H36" s="48"/>
      <c r="K36" s="48"/>
      <c r="L36" s="48"/>
      <c r="M36" s="48"/>
      <c r="O36" s="48"/>
      <c r="P36" s="48"/>
    </row>
    <row r="37" spans="1:17" x14ac:dyDescent="0.35">
      <c r="F37" s="48"/>
      <c r="G37" s="48"/>
      <c r="H37" s="48"/>
      <c r="K37" s="48"/>
      <c r="L37" s="48"/>
      <c r="M37" s="48"/>
      <c r="O37" s="48"/>
      <c r="P37" s="48"/>
    </row>
    <row r="38" spans="1:17" x14ac:dyDescent="0.35">
      <c r="B38" s="229"/>
      <c r="C38" s="213" t="s">
        <v>684</v>
      </c>
      <c r="F38" s="48"/>
      <c r="G38" s="48"/>
      <c r="H38" s="48"/>
      <c r="K38" s="48"/>
      <c r="L38" s="48"/>
      <c r="M38" s="48"/>
      <c r="O38" s="48"/>
      <c r="P38" s="48"/>
    </row>
    <row r="39" spans="1:17" x14ac:dyDescent="0.35">
      <c r="B39" s="229"/>
      <c r="C39" s="213" t="s">
        <v>685</v>
      </c>
      <c r="F39" s="48"/>
      <c r="G39" s="48"/>
      <c r="H39" s="48"/>
      <c r="K39" s="48"/>
      <c r="L39" s="48"/>
      <c r="M39" s="48"/>
      <c r="O39" s="48"/>
      <c r="P39" s="48"/>
    </row>
    <row r="40" spans="1:17" x14ac:dyDescent="0.35">
      <c r="F40" s="48"/>
      <c r="G40" s="48"/>
      <c r="H40" s="48"/>
      <c r="K40" s="48"/>
      <c r="L40" s="48"/>
      <c r="M40" s="48"/>
      <c r="O40" s="48"/>
      <c r="P40" s="48"/>
    </row>
    <row r="41" spans="1:17" x14ac:dyDescent="0.35">
      <c r="F41" s="48"/>
      <c r="G41" s="48"/>
      <c r="H41" s="48"/>
      <c r="K41" s="48"/>
      <c r="L41" s="48"/>
      <c r="M41" s="48"/>
      <c r="O41" s="48"/>
      <c r="P41" s="48"/>
    </row>
    <row r="42" spans="1:17" x14ac:dyDescent="0.35">
      <c r="B42" s="229"/>
      <c r="C42" s="213" t="s">
        <v>686</v>
      </c>
      <c r="F42" s="48"/>
      <c r="G42" s="48"/>
      <c r="H42" s="48"/>
      <c r="K42" s="48"/>
      <c r="L42" s="48"/>
      <c r="M42" s="48"/>
      <c r="O42" s="48"/>
      <c r="P42" s="48"/>
    </row>
    <row r="43" spans="1:17" x14ac:dyDescent="0.35">
      <c r="F43" s="48"/>
      <c r="G43" s="48"/>
      <c r="H43" s="48"/>
      <c r="K43" s="48"/>
      <c r="L43" s="48"/>
      <c r="M43" s="48"/>
      <c r="O43" s="48"/>
      <c r="P43" s="48"/>
    </row>
    <row r="44" spans="1:17" x14ac:dyDescent="0.35">
      <c r="F44" s="48"/>
      <c r="G44" s="48"/>
      <c r="H44" s="48"/>
      <c r="K44" s="48"/>
      <c r="L44" s="48"/>
      <c r="M44" s="48"/>
      <c r="O44" s="48"/>
      <c r="P44" s="48"/>
    </row>
    <row r="45" spans="1:17" x14ac:dyDescent="0.35">
      <c r="B45" s="229"/>
      <c r="C45" s="213" t="s">
        <v>687</v>
      </c>
      <c r="F45" s="48"/>
      <c r="G45" s="48"/>
      <c r="H45" s="48"/>
      <c r="K45" s="48"/>
      <c r="L45" s="48"/>
      <c r="M45" s="48"/>
      <c r="O45" s="48"/>
      <c r="P45" s="48"/>
    </row>
    <row r="46" spans="1:17" x14ac:dyDescent="0.35">
      <c r="F46" s="48"/>
      <c r="G46" s="48"/>
      <c r="H46" s="48"/>
      <c r="K46" s="48"/>
      <c r="L46" s="48"/>
      <c r="M46" s="48"/>
      <c r="O46" s="48"/>
      <c r="P46" s="48"/>
    </row>
    <row r="47" spans="1:17" x14ac:dyDescent="0.35">
      <c r="F47" s="48"/>
      <c r="G47" s="48"/>
      <c r="H47" s="48"/>
      <c r="K47" s="48"/>
      <c r="L47" s="48"/>
      <c r="M47" s="48"/>
      <c r="O47" s="48"/>
      <c r="P47" s="48"/>
    </row>
    <row r="48" spans="1:17" x14ac:dyDescent="0.35">
      <c r="F48" s="48"/>
      <c r="G48" s="48"/>
      <c r="H48" s="48"/>
      <c r="K48" s="48"/>
      <c r="L48" s="48"/>
      <c r="M48" s="48"/>
      <c r="O48" s="48"/>
      <c r="P48" s="48"/>
    </row>
    <row r="50" spans="1:19" ht="18" customHeight="1" x14ac:dyDescent="0.35">
      <c r="B50" s="148" t="s">
        <v>656</v>
      </c>
      <c r="C50" s="218"/>
    </row>
    <row r="52" spans="1:19" x14ac:dyDescent="0.35">
      <c r="C52" s="217" t="s">
        <v>661</v>
      </c>
      <c r="E52" s="127" t="s">
        <v>663</v>
      </c>
      <c r="F52" s="127" t="s">
        <v>664</v>
      </c>
      <c r="G52" s="127" t="s">
        <v>675</v>
      </c>
      <c r="H52" s="127" t="s">
        <v>676</v>
      </c>
      <c r="I52" s="127" t="s">
        <v>688</v>
      </c>
      <c r="J52" s="127" t="s">
        <v>689</v>
      </c>
      <c r="K52" s="127" t="s">
        <v>690</v>
      </c>
      <c r="L52" s="127" t="s">
        <v>691</v>
      </c>
      <c r="M52" s="127" t="s">
        <v>692</v>
      </c>
      <c r="N52" s="127" t="s">
        <v>693</v>
      </c>
      <c r="O52" s="127" t="s">
        <v>694</v>
      </c>
      <c r="P52" s="127" t="s">
        <v>695</v>
      </c>
      <c r="R52" s="127" t="s">
        <v>696</v>
      </c>
      <c r="S52" s="127" t="s">
        <v>697</v>
      </c>
    </row>
    <row r="53" spans="1:19" ht="130" customHeight="1" outlineLevel="1" x14ac:dyDescent="0.35">
      <c r="B53" s="124" t="s">
        <v>698</v>
      </c>
      <c r="C53" s="90" t="s">
        <v>699</v>
      </c>
      <c r="E53" s="136" t="s">
        <v>700</v>
      </c>
      <c r="F53" s="124" t="s">
        <v>656</v>
      </c>
      <c r="G53" s="136" t="s">
        <v>3</v>
      </c>
      <c r="H53" s="136" t="s">
        <v>701</v>
      </c>
      <c r="I53" s="136" t="s">
        <v>702</v>
      </c>
      <c r="J53" s="136" t="s">
        <v>83</v>
      </c>
      <c r="K53" s="136" t="s">
        <v>82</v>
      </c>
      <c r="L53" s="136" t="s">
        <v>272</v>
      </c>
      <c r="M53" s="136" t="s">
        <v>271</v>
      </c>
      <c r="N53" s="124" t="s">
        <v>21</v>
      </c>
      <c r="O53" s="136" t="s">
        <v>3</v>
      </c>
      <c r="P53" s="136" t="s">
        <v>703</v>
      </c>
      <c r="R53" s="136" t="s">
        <v>704</v>
      </c>
      <c r="S53" s="136" t="s">
        <v>705</v>
      </c>
    </row>
    <row r="54" spans="1:19" ht="13.15" customHeight="1" outlineLevel="1" x14ac:dyDescent="0.35"/>
    <row r="55" spans="1:19" x14ac:dyDescent="0.35">
      <c r="B55" s="149" t="s">
        <v>698</v>
      </c>
      <c r="C55" s="219"/>
    </row>
    <row r="57" spans="1:19" x14ac:dyDescent="0.35">
      <c r="C57" s="217" t="s">
        <v>661</v>
      </c>
      <c r="E57" s="127" t="s">
        <v>663</v>
      </c>
      <c r="F57" s="37"/>
    </row>
    <row r="58" spans="1:19" ht="130" customHeight="1" outlineLevel="1" x14ac:dyDescent="0.35">
      <c r="B58" s="124" t="s">
        <v>698</v>
      </c>
      <c r="C58" s="212" t="s">
        <v>699</v>
      </c>
      <c r="E58" s="136" t="s">
        <v>700</v>
      </c>
      <c r="F58" s="37"/>
      <c r="G58" s="37"/>
      <c r="H58" s="37"/>
      <c r="K58" s="37"/>
      <c r="L58" s="37"/>
      <c r="M58" s="37"/>
      <c r="O58" s="37"/>
      <c r="P58" s="37"/>
    </row>
    <row r="59" spans="1:19" x14ac:dyDescent="0.35">
      <c r="C59" s="213" t="s">
        <v>706</v>
      </c>
      <c r="F59" s="48"/>
      <c r="G59" s="48"/>
      <c r="H59" s="48"/>
      <c r="K59" s="48"/>
      <c r="L59" s="48"/>
      <c r="M59" s="48"/>
      <c r="O59" s="48"/>
      <c r="P59" s="48"/>
      <c r="Q59" s="48"/>
    </row>
    <row r="60" spans="1:19" s="38" customFormat="1" ht="15" customHeight="1" outlineLevel="1" x14ac:dyDescent="0.35">
      <c r="A60" s="147"/>
      <c r="B60" s="127" t="s">
        <v>662</v>
      </c>
      <c r="C60" s="213" t="s">
        <v>707</v>
      </c>
      <c r="F60" s="48"/>
      <c r="G60" s="48"/>
      <c r="H60" s="48"/>
      <c r="K60" s="48"/>
      <c r="L60" s="48"/>
      <c r="M60" s="48"/>
      <c r="O60" s="48"/>
      <c r="P60" s="48"/>
      <c r="Q60" s="48"/>
    </row>
    <row r="61" spans="1:19" s="38" customFormat="1" ht="15" customHeight="1" outlineLevel="1" x14ac:dyDescent="0.35">
      <c r="A61" s="147"/>
      <c r="B61" s="127" t="s">
        <v>663</v>
      </c>
      <c r="C61" s="213" t="s">
        <v>708</v>
      </c>
      <c r="F61" s="48"/>
      <c r="G61" s="48"/>
      <c r="H61" s="48"/>
      <c r="K61" s="48"/>
      <c r="L61" s="48"/>
      <c r="M61" s="48"/>
      <c r="O61" s="48"/>
      <c r="P61" s="48"/>
      <c r="Q61" s="48"/>
    </row>
    <row r="62" spans="1:19" ht="13.15" customHeight="1" outlineLevel="1" x14ac:dyDescent="0.35">
      <c r="D62" s="44"/>
      <c r="E62" s="44"/>
    </row>
    <row r="63" spans="1:19" s="138" customFormat="1" ht="15" customHeight="1" x14ac:dyDescent="0.35">
      <c r="A63" s="147">
        <v>3.2</v>
      </c>
      <c r="B63" s="149" t="s">
        <v>656</v>
      </c>
      <c r="C63" s="219"/>
      <c r="D63" s="150"/>
      <c r="E63" s="150"/>
      <c r="F63" s="150"/>
      <c r="G63" s="150"/>
      <c r="H63" s="150"/>
      <c r="I63" s="150"/>
      <c r="J63" s="150"/>
      <c r="K63" s="150"/>
      <c r="L63" s="150"/>
      <c r="M63" s="150"/>
      <c r="N63" s="150"/>
      <c r="O63" s="150"/>
      <c r="P63" s="150"/>
      <c r="Q63" s="150"/>
      <c r="R63" s="150"/>
      <c r="S63" s="151"/>
    </row>
    <row r="64" spans="1:19" ht="13.15" customHeight="1" outlineLevel="1" x14ac:dyDescent="0.35">
      <c r="D64" s="44"/>
      <c r="E64" s="44"/>
    </row>
    <row r="65" spans="1:19" ht="15" customHeight="1" outlineLevel="1" x14ac:dyDescent="0.35">
      <c r="B65" s="127" t="s">
        <v>664</v>
      </c>
      <c r="C65" s="217" t="s">
        <v>675</v>
      </c>
      <c r="D65" s="127" t="s">
        <v>676</v>
      </c>
      <c r="E65" s="127" t="s">
        <v>688</v>
      </c>
      <c r="F65" s="127" t="s">
        <v>689</v>
      </c>
      <c r="G65" s="127" t="s">
        <v>690</v>
      </c>
      <c r="H65" s="127" t="s">
        <v>691</v>
      </c>
      <c r="I65" s="127" t="s">
        <v>692</v>
      </c>
    </row>
    <row r="66" spans="1:19" ht="111.75" customHeight="1" outlineLevel="1" x14ac:dyDescent="0.35">
      <c r="B66" s="124" t="s">
        <v>656</v>
      </c>
      <c r="C66" s="212" t="s">
        <v>3</v>
      </c>
      <c r="D66" s="136" t="s">
        <v>701</v>
      </c>
      <c r="E66" s="136" t="s">
        <v>702</v>
      </c>
      <c r="F66" s="136" t="s">
        <v>83</v>
      </c>
      <c r="G66" s="136" t="s">
        <v>82</v>
      </c>
      <c r="H66" s="136" t="s">
        <v>272</v>
      </c>
      <c r="I66" s="136" t="s">
        <v>271</v>
      </c>
      <c r="J66" s="131"/>
      <c r="K66" s="37"/>
      <c r="L66" s="37"/>
      <c r="M66" s="37"/>
      <c r="O66" s="37"/>
      <c r="P66" s="37"/>
      <c r="Q66" s="37"/>
    </row>
    <row r="67" spans="1:19" s="38" customFormat="1" ht="15" customHeight="1" outlineLevel="1" x14ac:dyDescent="0.35">
      <c r="A67" s="147"/>
      <c r="B67" s="127" t="s">
        <v>675</v>
      </c>
      <c r="C67" s="213" t="s">
        <v>709</v>
      </c>
      <c r="F67" s="48"/>
      <c r="G67" s="48"/>
      <c r="H67" s="48"/>
      <c r="K67" s="48"/>
      <c r="L67" s="48"/>
      <c r="M67" s="48"/>
      <c r="O67" s="48"/>
      <c r="P67" s="48"/>
      <c r="Q67" s="48"/>
    </row>
    <row r="68" spans="1:19" s="38" customFormat="1" ht="15" customHeight="1" outlineLevel="1" x14ac:dyDescent="0.35">
      <c r="A68" s="147"/>
      <c r="B68" s="127" t="s">
        <v>676</v>
      </c>
      <c r="C68" s="213" t="s">
        <v>710</v>
      </c>
      <c r="F68" s="48"/>
      <c r="G68" s="48"/>
      <c r="H68" s="48"/>
      <c r="K68" s="48"/>
      <c r="L68" s="48"/>
      <c r="M68" s="48"/>
      <c r="O68" s="48"/>
      <c r="P68" s="48"/>
      <c r="Q68" s="48"/>
    </row>
    <row r="69" spans="1:19" s="38" customFormat="1" ht="15" customHeight="1" outlineLevel="1" x14ac:dyDescent="0.35">
      <c r="A69" s="147"/>
      <c r="B69" s="127" t="s">
        <v>688</v>
      </c>
      <c r="C69" s="213" t="s">
        <v>711</v>
      </c>
      <c r="F69" s="48"/>
      <c r="G69" s="48"/>
      <c r="H69" s="48"/>
      <c r="K69" s="48"/>
      <c r="L69" s="48"/>
      <c r="M69" s="48"/>
      <c r="O69" s="48"/>
      <c r="P69" s="48"/>
      <c r="Q69" s="48"/>
    </row>
    <row r="70" spans="1:19" s="38" customFormat="1" ht="15" customHeight="1" outlineLevel="1" x14ac:dyDescent="0.35">
      <c r="A70" s="147"/>
      <c r="B70" s="127" t="s">
        <v>689</v>
      </c>
      <c r="C70" s="213" t="s">
        <v>712</v>
      </c>
      <c r="F70" s="48"/>
      <c r="G70" s="48"/>
      <c r="H70" s="48"/>
      <c r="K70" s="48"/>
      <c r="L70" s="48"/>
      <c r="M70" s="48"/>
      <c r="O70" s="48"/>
      <c r="P70" s="48"/>
      <c r="Q70" s="48"/>
    </row>
    <row r="71" spans="1:19" s="38" customFormat="1" ht="15" customHeight="1" outlineLevel="1" x14ac:dyDescent="0.35">
      <c r="A71" s="147"/>
      <c r="B71" s="127" t="s">
        <v>690</v>
      </c>
      <c r="C71" s="213" t="s">
        <v>713</v>
      </c>
      <c r="F71" s="48"/>
      <c r="G71" s="48"/>
      <c r="H71" s="48"/>
      <c r="K71" s="48"/>
      <c r="L71" s="48"/>
      <c r="M71" s="48"/>
      <c r="O71" s="48"/>
      <c r="P71" s="48"/>
      <c r="Q71" s="48"/>
    </row>
    <row r="72" spans="1:19" s="38" customFormat="1" ht="15" customHeight="1" outlineLevel="1" x14ac:dyDescent="0.35">
      <c r="A72" s="147"/>
      <c r="B72" s="127" t="s">
        <v>691</v>
      </c>
      <c r="C72" s="213" t="s">
        <v>714</v>
      </c>
      <c r="F72" s="48"/>
      <c r="G72" s="48"/>
      <c r="H72" s="48"/>
      <c r="K72" s="48"/>
      <c r="L72" s="48"/>
      <c r="M72" s="48"/>
      <c r="O72" s="48"/>
      <c r="P72" s="48"/>
      <c r="Q72" s="48"/>
    </row>
    <row r="73" spans="1:19" s="38" customFormat="1" ht="15" customHeight="1" outlineLevel="1" x14ac:dyDescent="0.35">
      <c r="A73" s="147"/>
      <c r="B73" s="127" t="s">
        <v>692</v>
      </c>
      <c r="C73" s="213" t="s">
        <v>715</v>
      </c>
      <c r="F73" s="48"/>
      <c r="G73" s="48"/>
      <c r="H73" s="48"/>
      <c r="K73" s="48"/>
      <c r="L73" s="48"/>
      <c r="M73" s="48"/>
      <c r="O73" s="48"/>
      <c r="P73" s="48"/>
      <c r="Q73" s="48"/>
    </row>
    <row r="74" spans="1:19" ht="13.15" customHeight="1" outlineLevel="1" x14ac:dyDescent="0.35">
      <c r="D74" s="37"/>
      <c r="O74" s="37"/>
      <c r="P74" s="37"/>
      <c r="Q74" s="37"/>
    </row>
    <row r="75" spans="1:19" s="138" customFormat="1" ht="15" customHeight="1" x14ac:dyDescent="0.35">
      <c r="A75" s="147">
        <v>3.3</v>
      </c>
      <c r="B75" s="149" t="s">
        <v>21</v>
      </c>
      <c r="C75" s="219"/>
      <c r="D75" s="150"/>
      <c r="E75" s="150"/>
      <c r="F75" s="150"/>
      <c r="G75" s="150"/>
      <c r="H75" s="150"/>
      <c r="I75" s="150"/>
      <c r="J75" s="150"/>
      <c r="K75" s="150"/>
      <c r="L75" s="150"/>
      <c r="M75" s="150"/>
      <c r="N75" s="150"/>
      <c r="O75" s="150"/>
      <c r="P75" s="150"/>
      <c r="Q75" s="150"/>
      <c r="R75" s="150"/>
      <c r="S75" s="151"/>
    </row>
    <row r="76" spans="1:19" ht="13.15" customHeight="1" outlineLevel="1" x14ac:dyDescent="0.35">
      <c r="D76" s="37"/>
      <c r="O76" s="37"/>
      <c r="P76" s="37"/>
      <c r="Q76" s="37"/>
    </row>
    <row r="77" spans="1:19" ht="15" customHeight="1" outlineLevel="1" x14ac:dyDescent="0.35">
      <c r="B77" s="127" t="s">
        <v>693</v>
      </c>
      <c r="C77" s="217" t="s">
        <v>694</v>
      </c>
      <c r="D77" s="127" t="s">
        <v>695</v>
      </c>
      <c r="E77" s="127" t="s">
        <v>716</v>
      </c>
      <c r="F77" s="127" t="s">
        <v>696</v>
      </c>
      <c r="G77" s="127" t="s">
        <v>697</v>
      </c>
      <c r="K77" s="37"/>
      <c r="L77" s="37"/>
      <c r="M77" s="37"/>
      <c r="O77" s="37"/>
      <c r="P77" s="37"/>
      <c r="Q77" s="37"/>
    </row>
    <row r="78" spans="1:19" ht="148.5" customHeight="1" outlineLevel="1" x14ac:dyDescent="0.35">
      <c r="B78" s="124" t="s">
        <v>21</v>
      </c>
      <c r="C78" s="112" t="s">
        <v>3</v>
      </c>
      <c r="D78" s="136" t="s">
        <v>703</v>
      </c>
      <c r="E78" s="136" t="s">
        <v>717</v>
      </c>
      <c r="F78" s="136" t="s">
        <v>704</v>
      </c>
      <c r="G78" s="136" t="s">
        <v>705</v>
      </c>
      <c r="K78" s="37"/>
      <c r="L78" s="37"/>
      <c r="M78" s="37"/>
      <c r="O78" s="37"/>
      <c r="P78" s="37"/>
      <c r="Q78" s="37"/>
    </row>
    <row r="79" spans="1:19" s="38" customFormat="1" ht="15" customHeight="1" outlineLevel="1" x14ac:dyDescent="0.35">
      <c r="A79" s="147"/>
      <c r="B79" s="127" t="s">
        <v>694</v>
      </c>
      <c r="C79" s="213" t="s">
        <v>709</v>
      </c>
      <c r="F79" s="48"/>
      <c r="G79" s="48"/>
      <c r="H79" s="48"/>
      <c r="K79" s="48"/>
      <c r="L79" s="48"/>
      <c r="M79" s="48"/>
      <c r="O79" s="48"/>
      <c r="P79" s="48"/>
      <c r="Q79" s="48"/>
    </row>
    <row r="80" spans="1:19" s="38" customFormat="1" ht="15" customHeight="1" outlineLevel="1" x14ac:dyDescent="0.35">
      <c r="A80" s="147"/>
      <c r="B80" s="128" t="s">
        <v>695</v>
      </c>
      <c r="C80" s="213" t="s">
        <v>718</v>
      </c>
      <c r="F80" s="48"/>
      <c r="G80" s="48"/>
      <c r="H80" s="48"/>
      <c r="K80" s="48"/>
      <c r="L80" s="48"/>
      <c r="M80" s="48"/>
      <c r="O80" s="48"/>
      <c r="P80" s="48"/>
      <c r="Q80" s="48"/>
    </row>
    <row r="81" spans="1:19" s="38" customFormat="1" ht="15" customHeight="1" outlineLevel="1" x14ac:dyDescent="0.35">
      <c r="A81" s="147"/>
      <c r="B81" s="129"/>
      <c r="C81" s="213" t="s">
        <v>719</v>
      </c>
      <c r="F81" s="48"/>
      <c r="G81" s="48"/>
      <c r="H81" s="48"/>
      <c r="K81" s="48"/>
      <c r="L81" s="48"/>
      <c r="M81" s="48"/>
      <c r="O81" s="48"/>
      <c r="P81" s="48"/>
      <c r="Q81" s="48"/>
    </row>
    <row r="82" spans="1:19" s="38" customFormat="1" ht="15" customHeight="1" outlineLevel="1" x14ac:dyDescent="0.35">
      <c r="A82" s="147"/>
      <c r="B82" s="130"/>
      <c r="C82" s="213" t="s">
        <v>720</v>
      </c>
      <c r="F82" s="48"/>
      <c r="G82" s="48"/>
      <c r="H82" s="48"/>
      <c r="K82" s="48"/>
      <c r="L82" s="48"/>
      <c r="M82" s="48"/>
      <c r="O82" s="48"/>
      <c r="P82" s="48"/>
      <c r="Q82" s="48"/>
    </row>
    <row r="83" spans="1:19" s="38" customFormat="1" ht="15" customHeight="1" outlineLevel="1" x14ac:dyDescent="0.35">
      <c r="A83" s="147"/>
      <c r="B83" s="127" t="s">
        <v>716</v>
      </c>
      <c r="C83" s="213" t="s">
        <v>721</v>
      </c>
      <c r="F83" s="48"/>
      <c r="G83" s="48"/>
      <c r="H83" s="48"/>
      <c r="K83" s="48"/>
      <c r="L83" s="48"/>
      <c r="M83" s="48"/>
      <c r="O83" s="48"/>
      <c r="P83" s="48"/>
      <c r="Q83" s="48"/>
    </row>
    <row r="84" spans="1:19" s="38" customFormat="1" ht="15" customHeight="1" outlineLevel="1" x14ac:dyDescent="0.35">
      <c r="A84" s="147"/>
      <c r="B84" s="127" t="s">
        <v>696</v>
      </c>
      <c r="C84" s="213" t="s">
        <v>722</v>
      </c>
      <c r="F84" s="48"/>
      <c r="G84" s="48"/>
      <c r="H84" s="48"/>
      <c r="K84" s="48"/>
      <c r="L84" s="48"/>
      <c r="M84" s="48"/>
      <c r="O84" s="48"/>
      <c r="P84" s="48"/>
      <c r="Q84" s="48"/>
    </row>
    <row r="85" spans="1:19" s="38" customFormat="1" ht="15" customHeight="1" outlineLevel="1" x14ac:dyDescent="0.35">
      <c r="A85" s="147"/>
      <c r="B85" s="127" t="s">
        <v>697</v>
      </c>
      <c r="C85" s="213" t="s">
        <v>723</v>
      </c>
      <c r="F85" s="48"/>
      <c r="G85" s="48"/>
      <c r="H85" s="48"/>
      <c r="K85" s="48"/>
      <c r="L85" s="48"/>
      <c r="M85" s="48"/>
      <c r="O85" s="48"/>
      <c r="P85" s="48"/>
      <c r="Q85" s="48"/>
    </row>
    <row r="86" spans="1:19" ht="13.15" customHeight="1" outlineLevel="1" x14ac:dyDescent="0.35">
      <c r="D86" s="37"/>
    </row>
    <row r="87" spans="1:19" ht="13.15" customHeight="1" outlineLevel="1" x14ac:dyDescent="0.35">
      <c r="D87" s="37"/>
    </row>
    <row r="88" spans="1:19" s="84" customFormat="1" ht="20.149999999999999" customHeight="1" x14ac:dyDescent="0.35">
      <c r="A88" s="158">
        <v>4</v>
      </c>
      <c r="B88" s="152" t="s">
        <v>657</v>
      </c>
      <c r="C88" s="153"/>
      <c r="D88" s="153"/>
      <c r="E88" s="153"/>
      <c r="F88" s="153"/>
      <c r="G88" s="153"/>
      <c r="H88" s="153"/>
      <c r="I88" s="153"/>
      <c r="J88" s="153"/>
      <c r="K88" s="153"/>
      <c r="L88" s="153"/>
      <c r="M88" s="153"/>
      <c r="N88" s="153"/>
      <c r="O88" s="153"/>
      <c r="P88" s="153"/>
      <c r="Q88" s="153"/>
      <c r="R88" s="153"/>
      <c r="S88" s="154"/>
    </row>
    <row r="89" spans="1:19" ht="13.15" customHeight="1" outlineLevel="1" x14ac:dyDescent="0.35">
      <c r="D89" s="37"/>
      <c r="J89" s="33"/>
      <c r="K89" s="43"/>
    </row>
    <row r="90" spans="1:19" ht="15" customHeight="1" outlineLevel="1" x14ac:dyDescent="0.35">
      <c r="B90" s="127" t="s">
        <v>667</v>
      </c>
      <c r="C90" s="217" t="s">
        <v>661</v>
      </c>
      <c r="D90" s="127" t="s">
        <v>662</v>
      </c>
      <c r="E90" s="127" t="s">
        <v>663</v>
      </c>
      <c r="F90" s="127" t="s">
        <v>664</v>
      </c>
      <c r="G90" s="127" t="s">
        <v>675</v>
      </c>
      <c r="H90" s="127" t="s">
        <v>676</v>
      </c>
      <c r="I90" s="127" t="s">
        <v>688</v>
      </c>
      <c r="J90" s="33"/>
      <c r="K90" s="43"/>
    </row>
    <row r="91" spans="1:19" ht="13.15" customHeight="1" outlineLevel="1" x14ac:dyDescent="0.35">
      <c r="C91" s="220" t="s">
        <v>724</v>
      </c>
      <c r="D91" s="119"/>
      <c r="E91" s="119"/>
      <c r="F91" s="120"/>
      <c r="G91" s="118" t="s">
        <v>725</v>
      </c>
      <c r="H91" s="119"/>
      <c r="I91" s="120"/>
      <c r="J91" s="33"/>
      <c r="K91" s="43"/>
    </row>
    <row r="92" spans="1:19" ht="83.25" customHeight="1" outlineLevel="1" x14ac:dyDescent="0.35">
      <c r="B92" s="121" t="s">
        <v>657</v>
      </c>
      <c r="C92" s="90" t="s">
        <v>726</v>
      </c>
      <c r="D92" s="136" t="s">
        <v>727</v>
      </c>
      <c r="E92" s="136" t="s">
        <v>728</v>
      </c>
      <c r="F92" s="136" t="s">
        <v>729</v>
      </c>
      <c r="G92" s="136" t="s">
        <v>76</v>
      </c>
      <c r="H92" s="136" t="s">
        <v>730</v>
      </c>
      <c r="I92" s="136" t="s">
        <v>727</v>
      </c>
      <c r="J92" s="33"/>
      <c r="K92" s="43"/>
    </row>
    <row r="93" spans="1:19" s="38" customFormat="1" ht="15" customHeight="1" outlineLevel="1" x14ac:dyDescent="0.35">
      <c r="A93" s="147"/>
      <c r="B93" s="127" t="s">
        <v>661</v>
      </c>
      <c r="C93" s="213" t="s">
        <v>731</v>
      </c>
      <c r="F93" s="48"/>
      <c r="G93" s="48"/>
      <c r="H93" s="48"/>
      <c r="K93" s="48"/>
      <c r="L93" s="48"/>
      <c r="M93" s="48"/>
      <c r="O93" s="48"/>
      <c r="P93" s="48"/>
      <c r="Q93" s="48"/>
    </row>
    <row r="94" spans="1:19" s="38" customFormat="1" ht="15" customHeight="1" outlineLevel="1" x14ac:dyDescent="0.35">
      <c r="A94" s="147"/>
      <c r="B94" s="127" t="s">
        <v>662</v>
      </c>
      <c r="C94" s="213" t="s">
        <v>732</v>
      </c>
      <c r="F94" s="48"/>
      <c r="G94" s="48"/>
      <c r="H94" s="48"/>
      <c r="K94" s="48"/>
      <c r="L94" s="48"/>
      <c r="M94" s="48"/>
      <c r="O94" s="48"/>
      <c r="P94" s="48"/>
      <c r="Q94" s="48"/>
    </row>
    <row r="95" spans="1:19" s="38" customFormat="1" ht="15" customHeight="1" outlineLevel="1" x14ac:dyDescent="0.35">
      <c r="A95" s="147"/>
      <c r="B95" s="127" t="s">
        <v>663</v>
      </c>
      <c r="C95" s="213" t="s">
        <v>733</v>
      </c>
      <c r="F95" s="48"/>
      <c r="G95" s="48"/>
      <c r="H95" s="48"/>
      <c r="K95" s="48"/>
      <c r="L95" s="48"/>
      <c r="M95" s="48"/>
      <c r="O95" s="48"/>
      <c r="P95" s="48"/>
      <c r="Q95" s="48"/>
    </row>
    <row r="96" spans="1:19" s="38" customFormat="1" ht="15" customHeight="1" outlineLevel="1" x14ac:dyDescent="0.35">
      <c r="A96" s="147"/>
      <c r="B96" s="127" t="s">
        <v>664</v>
      </c>
      <c r="C96" s="213" t="s">
        <v>734</v>
      </c>
      <c r="F96" s="48"/>
      <c r="G96" s="48"/>
      <c r="H96" s="48"/>
      <c r="K96" s="48"/>
      <c r="L96" s="48"/>
      <c r="M96" s="48"/>
      <c r="O96" s="48"/>
      <c r="P96" s="48"/>
      <c r="Q96" s="48"/>
    </row>
    <row r="97" spans="1:19" s="38" customFormat="1" ht="15" customHeight="1" outlineLevel="1" x14ac:dyDescent="0.35">
      <c r="A97" s="147"/>
      <c r="B97" s="127" t="s">
        <v>675</v>
      </c>
      <c r="C97" s="213" t="s">
        <v>735</v>
      </c>
      <c r="F97" s="48"/>
      <c r="G97" s="48"/>
      <c r="H97" s="48"/>
      <c r="K97" s="48"/>
      <c r="L97" s="48"/>
      <c r="M97" s="48"/>
      <c r="O97" s="48"/>
      <c r="P97" s="48"/>
      <c r="Q97" s="48"/>
    </row>
    <row r="98" spans="1:19" s="38" customFormat="1" ht="15" customHeight="1" outlineLevel="1" x14ac:dyDescent="0.35">
      <c r="A98" s="147"/>
      <c r="B98" s="127" t="s">
        <v>676</v>
      </c>
      <c r="C98" s="213" t="s">
        <v>736</v>
      </c>
      <c r="F98" s="48"/>
      <c r="G98" s="48"/>
      <c r="H98" s="48"/>
      <c r="K98" s="48"/>
      <c r="L98" s="48"/>
      <c r="M98" s="48"/>
      <c r="O98" s="48"/>
      <c r="P98" s="48"/>
      <c r="Q98" s="48"/>
    </row>
    <row r="99" spans="1:19" s="38" customFormat="1" ht="15" customHeight="1" outlineLevel="1" x14ac:dyDescent="0.35">
      <c r="A99" s="147"/>
      <c r="B99" s="127" t="s">
        <v>688</v>
      </c>
      <c r="C99" s="213" t="s">
        <v>737</v>
      </c>
      <c r="F99" s="48"/>
      <c r="G99" s="48"/>
      <c r="H99" s="48"/>
      <c r="K99" s="48"/>
      <c r="L99" s="48"/>
      <c r="M99" s="48"/>
      <c r="O99" s="48"/>
      <c r="P99" s="48"/>
      <c r="Q99" s="48"/>
    </row>
    <row r="100" spans="1:19" ht="13.15" customHeight="1" outlineLevel="1" x14ac:dyDescent="0.35">
      <c r="D100" s="37"/>
    </row>
    <row r="101" spans="1:19" s="84" customFormat="1" ht="20.149999999999999" customHeight="1" x14ac:dyDescent="0.35">
      <c r="A101" s="158">
        <v>5</v>
      </c>
      <c r="B101" s="152" t="s">
        <v>658</v>
      </c>
      <c r="C101" s="153"/>
      <c r="D101" s="153"/>
      <c r="E101" s="153"/>
      <c r="F101" s="153"/>
      <c r="G101" s="153"/>
      <c r="H101" s="153"/>
      <c r="I101" s="153"/>
      <c r="J101" s="153"/>
      <c r="K101" s="153"/>
      <c r="L101" s="153"/>
      <c r="M101" s="153"/>
      <c r="N101" s="153"/>
      <c r="O101" s="153"/>
      <c r="P101" s="153"/>
      <c r="Q101" s="153"/>
      <c r="R101" s="153"/>
      <c r="S101" s="154"/>
    </row>
    <row r="102" spans="1:19" ht="13.15" customHeight="1" outlineLevel="1" x14ac:dyDescent="0.35">
      <c r="D102" s="37"/>
    </row>
    <row r="103" spans="1:19" s="38" customFormat="1" ht="20.149999999999999" customHeight="1" outlineLevel="1" x14ac:dyDescent="0.35">
      <c r="A103" s="147"/>
      <c r="B103" s="97"/>
      <c r="C103" s="221" t="s">
        <v>658</v>
      </c>
      <c r="D103" s="94"/>
      <c r="E103" s="94"/>
      <c r="F103" s="95"/>
      <c r="G103" s="95"/>
      <c r="H103" s="95"/>
      <c r="I103" s="96"/>
      <c r="J103" s="96"/>
      <c r="K103" s="96"/>
      <c r="L103" s="97"/>
      <c r="M103" s="94" t="s">
        <v>738</v>
      </c>
      <c r="N103" s="94"/>
      <c r="O103" s="94"/>
      <c r="P103" s="94"/>
      <c r="Q103" s="97"/>
      <c r="R103" s="122" t="s">
        <v>739</v>
      </c>
    </row>
    <row r="104" spans="1:19" s="135" customFormat="1" ht="15" customHeight="1" outlineLevel="1" x14ac:dyDescent="0.35">
      <c r="A104" s="142"/>
      <c r="B104" s="127" t="s">
        <v>667</v>
      </c>
      <c r="C104" s="217" t="s">
        <v>661</v>
      </c>
      <c r="D104" s="127" t="s">
        <v>662</v>
      </c>
      <c r="E104" s="127" t="s">
        <v>663</v>
      </c>
      <c r="F104" s="127" t="s">
        <v>664</v>
      </c>
      <c r="G104" s="127" t="s">
        <v>675</v>
      </c>
      <c r="H104" s="127" t="s">
        <v>676</v>
      </c>
      <c r="I104" s="127" t="s">
        <v>688</v>
      </c>
      <c r="J104" s="127" t="s">
        <v>689</v>
      </c>
      <c r="K104" s="127" t="s">
        <v>690</v>
      </c>
      <c r="L104" s="127" t="s">
        <v>691</v>
      </c>
      <c r="M104" s="127" t="s">
        <v>692</v>
      </c>
      <c r="N104" s="127" t="s">
        <v>693</v>
      </c>
      <c r="O104" s="127" t="s">
        <v>694</v>
      </c>
      <c r="P104" s="127" t="s">
        <v>695</v>
      </c>
      <c r="Q104" s="127" t="s">
        <v>716</v>
      </c>
      <c r="R104" s="127" t="s">
        <v>696</v>
      </c>
    </row>
    <row r="105" spans="1:19" s="137" customFormat="1" ht="185.25" customHeight="1" outlineLevel="1" x14ac:dyDescent="0.35">
      <c r="A105" s="147"/>
      <c r="B105" s="121" t="s">
        <v>658</v>
      </c>
      <c r="C105" s="90" t="s">
        <v>3</v>
      </c>
      <c r="D105" s="136" t="s">
        <v>740</v>
      </c>
      <c r="E105" s="136" t="s">
        <v>741</v>
      </c>
      <c r="F105" s="136" t="s">
        <v>742</v>
      </c>
      <c r="G105" s="136" t="s">
        <v>272</v>
      </c>
      <c r="H105" s="136" t="s">
        <v>14</v>
      </c>
      <c r="I105" s="136" t="s">
        <v>743</v>
      </c>
      <c r="J105" s="136" t="s">
        <v>744</v>
      </c>
      <c r="K105" s="136" t="s">
        <v>745</v>
      </c>
      <c r="L105" s="121" t="s">
        <v>21</v>
      </c>
      <c r="M105" s="136" t="s">
        <v>3</v>
      </c>
      <c r="N105" s="136" t="s">
        <v>746</v>
      </c>
      <c r="O105" s="136" t="s">
        <v>747</v>
      </c>
      <c r="P105" s="136" t="s">
        <v>748</v>
      </c>
      <c r="Q105" s="121" t="s">
        <v>749</v>
      </c>
      <c r="R105" s="136" t="s">
        <v>750</v>
      </c>
    </row>
    <row r="106" spans="1:19" s="38" customFormat="1" ht="15" customHeight="1" outlineLevel="1" x14ac:dyDescent="0.35">
      <c r="A106" s="48"/>
      <c r="B106" s="48"/>
      <c r="C106" s="222"/>
      <c r="D106" s="48"/>
      <c r="E106" s="48"/>
      <c r="F106" s="48"/>
      <c r="G106" s="48"/>
      <c r="H106" s="48"/>
      <c r="K106" s="48"/>
      <c r="L106" s="48"/>
      <c r="M106" s="48"/>
      <c r="O106" s="48"/>
      <c r="P106" s="48"/>
      <c r="Q106" s="48"/>
    </row>
    <row r="107" spans="1:19" s="138" customFormat="1" ht="15" customHeight="1" x14ac:dyDescent="0.35">
      <c r="A107" s="147">
        <v>5.0999999999999996</v>
      </c>
      <c r="B107" s="161" t="s">
        <v>658</v>
      </c>
      <c r="C107" s="223"/>
      <c r="D107" s="162"/>
      <c r="E107" s="162"/>
      <c r="F107" s="162"/>
      <c r="G107" s="162"/>
      <c r="H107" s="162"/>
      <c r="I107" s="162"/>
      <c r="J107" s="162"/>
      <c r="K107" s="162"/>
      <c r="L107" s="162"/>
      <c r="M107" s="162"/>
      <c r="N107" s="162"/>
      <c r="O107" s="162"/>
      <c r="P107" s="162"/>
      <c r="Q107" s="162"/>
      <c r="R107" s="162"/>
      <c r="S107" s="163"/>
    </row>
    <row r="108" spans="1:19" s="38" customFormat="1" ht="15" customHeight="1" outlineLevel="1" x14ac:dyDescent="0.35">
      <c r="A108" s="48"/>
      <c r="B108" s="48"/>
      <c r="C108" s="222"/>
      <c r="D108" s="48"/>
      <c r="E108" s="48"/>
      <c r="F108" s="48"/>
      <c r="G108" s="48"/>
      <c r="H108" s="48"/>
      <c r="K108" s="48"/>
      <c r="L108" s="48"/>
      <c r="M108" s="48"/>
      <c r="O108" s="48"/>
      <c r="P108" s="48"/>
      <c r="Q108" s="48"/>
    </row>
    <row r="109" spans="1:19" s="135" customFormat="1" ht="15" customHeight="1" outlineLevel="1" x14ac:dyDescent="0.35">
      <c r="A109" s="142"/>
      <c r="B109" s="127" t="s">
        <v>667</v>
      </c>
      <c r="C109" s="217" t="s">
        <v>661</v>
      </c>
      <c r="D109" s="127" t="s">
        <v>662</v>
      </c>
      <c r="E109" s="127" t="s">
        <v>663</v>
      </c>
      <c r="F109" s="127" t="s">
        <v>664</v>
      </c>
      <c r="G109" s="127" t="s">
        <v>675</v>
      </c>
      <c r="H109" s="127" t="s">
        <v>676</v>
      </c>
      <c r="I109" s="127" t="s">
        <v>688</v>
      </c>
      <c r="J109" s="127" t="s">
        <v>689</v>
      </c>
      <c r="K109" s="127" t="s">
        <v>690</v>
      </c>
      <c r="L109" s="48"/>
      <c r="M109" s="48"/>
      <c r="N109" s="38"/>
      <c r="O109" s="48"/>
      <c r="P109" s="48"/>
      <c r="Q109" s="48"/>
      <c r="R109" s="38"/>
      <c r="S109" s="38"/>
    </row>
    <row r="110" spans="1:19" s="137" customFormat="1" ht="112.5" customHeight="1" outlineLevel="1" x14ac:dyDescent="0.35">
      <c r="A110" s="147"/>
      <c r="B110" s="121" t="s">
        <v>741</v>
      </c>
      <c r="C110" s="90" t="s">
        <v>3</v>
      </c>
      <c r="D110" s="136" t="s">
        <v>740</v>
      </c>
      <c r="E110" s="136" t="s">
        <v>741</v>
      </c>
      <c r="F110" s="136" t="s">
        <v>742</v>
      </c>
      <c r="G110" s="136" t="s">
        <v>272</v>
      </c>
      <c r="H110" s="136" t="s">
        <v>14</v>
      </c>
      <c r="I110" s="136" t="s">
        <v>743</v>
      </c>
      <c r="J110" s="136" t="s">
        <v>744</v>
      </c>
      <c r="K110" s="136" t="s">
        <v>745</v>
      </c>
      <c r="L110" s="48"/>
      <c r="M110" s="48"/>
      <c r="N110" s="38"/>
      <c r="O110" s="48"/>
      <c r="P110" s="48"/>
      <c r="Q110" s="48"/>
      <c r="R110" s="38"/>
      <c r="S110" s="38"/>
    </row>
    <row r="111" spans="1:19" s="38" customFormat="1" ht="15" customHeight="1" outlineLevel="1" x14ac:dyDescent="0.35">
      <c r="A111" s="147"/>
      <c r="B111" s="130" t="s">
        <v>661</v>
      </c>
      <c r="C111" s="213" t="s">
        <v>709</v>
      </c>
      <c r="F111" s="48"/>
      <c r="G111" s="48"/>
      <c r="H111" s="48"/>
      <c r="K111" s="48"/>
      <c r="L111" s="48"/>
      <c r="M111" s="48"/>
      <c r="O111" s="48"/>
      <c r="P111" s="48"/>
      <c r="Q111" s="48"/>
    </row>
    <row r="112" spans="1:19" s="38" customFormat="1" ht="15" customHeight="1" outlineLevel="1" x14ac:dyDescent="0.35">
      <c r="A112" s="147"/>
      <c r="B112" s="127" t="s">
        <v>662</v>
      </c>
      <c r="C112" s="213" t="s">
        <v>710</v>
      </c>
      <c r="F112" s="48"/>
      <c r="G112" s="48"/>
      <c r="H112" s="48"/>
      <c r="K112" s="48"/>
      <c r="L112" s="48"/>
      <c r="M112" s="48"/>
      <c r="O112" s="48"/>
      <c r="P112" s="48"/>
      <c r="Q112" s="48"/>
    </row>
    <row r="113" spans="1:19" s="38" customFormat="1" ht="15" customHeight="1" outlineLevel="1" x14ac:dyDescent="0.35">
      <c r="A113" s="147"/>
      <c r="B113" s="127" t="s">
        <v>663</v>
      </c>
      <c r="C113" s="213" t="s">
        <v>751</v>
      </c>
      <c r="F113" s="48"/>
      <c r="G113" s="48"/>
      <c r="H113" s="48"/>
      <c r="K113" s="48"/>
      <c r="L113" s="48"/>
      <c r="M113" s="48"/>
      <c r="O113" s="48"/>
      <c r="P113" s="48"/>
      <c r="Q113" s="48"/>
    </row>
    <row r="114" spans="1:19" s="38" customFormat="1" ht="15" customHeight="1" outlineLevel="1" x14ac:dyDescent="0.35">
      <c r="A114" s="147"/>
      <c r="B114" s="127" t="s">
        <v>664</v>
      </c>
      <c r="C114" s="213" t="s">
        <v>752</v>
      </c>
      <c r="F114" s="48"/>
      <c r="G114" s="48"/>
      <c r="H114" s="48"/>
      <c r="K114" s="48"/>
      <c r="L114" s="48"/>
      <c r="M114" s="48"/>
      <c r="O114" s="48"/>
      <c r="P114" s="48"/>
      <c r="Q114" s="48"/>
    </row>
    <row r="115" spans="1:19" s="38" customFormat="1" ht="15" customHeight="1" outlineLevel="1" x14ac:dyDescent="0.35">
      <c r="A115" s="147"/>
      <c r="B115" s="127" t="s">
        <v>675</v>
      </c>
      <c r="C115" s="213" t="s">
        <v>753</v>
      </c>
      <c r="F115" s="48"/>
      <c r="G115" s="48"/>
      <c r="H115" s="48"/>
      <c r="K115" s="48"/>
      <c r="L115" s="48"/>
      <c r="M115" s="48"/>
      <c r="O115" s="48"/>
      <c r="P115" s="48"/>
      <c r="Q115" s="48"/>
    </row>
    <row r="116" spans="1:19" s="38" customFormat="1" ht="15" customHeight="1" outlineLevel="1" x14ac:dyDescent="0.35">
      <c r="A116" s="147"/>
      <c r="B116" s="127" t="s">
        <v>676</v>
      </c>
      <c r="C116" s="213" t="s">
        <v>754</v>
      </c>
      <c r="F116" s="48"/>
      <c r="G116" s="48"/>
      <c r="H116" s="48"/>
      <c r="K116" s="48"/>
      <c r="L116" s="48"/>
      <c r="M116" s="48"/>
      <c r="O116" s="48"/>
      <c r="P116" s="48"/>
      <c r="Q116" s="48"/>
    </row>
    <row r="117" spans="1:19" s="38" customFormat="1" ht="15" customHeight="1" outlineLevel="1" x14ac:dyDescent="0.35">
      <c r="A117" s="147"/>
      <c r="B117" s="127" t="s">
        <v>688</v>
      </c>
      <c r="C117" s="213" t="s">
        <v>755</v>
      </c>
      <c r="F117" s="48"/>
      <c r="G117" s="48"/>
      <c r="H117" s="48"/>
      <c r="K117" s="48"/>
      <c r="L117" s="48"/>
      <c r="M117" s="48"/>
      <c r="O117" s="48"/>
      <c r="P117" s="48"/>
      <c r="Q117" s="48"/>
    </row>
    <row r="118" spans="1:19" s="38" customFormat="1" ht="15" customHeight="1" outlineLevel="1" x14ac:dyDescent="0.35">
      <c r="A118" s="147"/>
      <c r="B118" s="127" t="s">
        <v>689</v>
      </c>
      <c r="C118" s="213" t="s">
        <v>756</v>
      </c>
      <c r="F118" s="48"/>
      <c r="G118" s="48"/>
      <c r="H118" s="48"/>
      <c r="K118" s="48"/>
      <c r="L118" s="48"/>
      <c r="M118" s="48"/>
      <c r="O118" s="48"/>
      <c r="P118" s="48"/>
      <c r="Q118" s="48"/>
    </row>
    <row r="119" spans="1:19" s="38" customFormat="1" ht="15" customHeight="1" outlineLevel="1" x14ac:dyDescent="0.35">
      <c r="A119" s="147"/>
      <c r="B119" s="127" t="s">
        <v>690</v>
      </c>
      <c r="C119" s="213" t="s">
        <v>757</v>
      </c>
      <c r="F119" s="48"/>
      <c r="G119" s="48"/>
      <c r="H119" s="48"/>
      <c r="K119" s="48"/>
      <c r="L119" s="48"/>
      <c r="M119" s="48"/>
      <c r="O119" s="48"/>
      <c r="P119" s="48"/>
      <c r="Q119" s="48"/>
    </row>
    <row r="120" spans="1:19" s="38" customFormat="1" ht="15" customHeight="1" outlineLevel="1" x14ac:dyDescent="0.35">
      <c r="A120" s="48"/>
      <c r="B120" s="48"/>
      <c r="C120" s="222"/>
      <c r="D120" s="48"/>
      <c r="E120" s="48"/>
      <c r="F120" s="48"/>
      <c r="G120" s="48"/>
      <c r="H120" s="48"/>
      <c r="K120" s="48"/>
      <c r="L120" s="48"/>
      <c r="M120" s="48"/>
      <c r="O120" s="48"/>
      <c r="P120" s="48"/>
      <c r="Q120" s="48"/>
    </row>
    <row r="121" spans="1:19" s="138" customFormat="1" ht="15" customHeight="1" x14ac:dyDescent="0.35">
      <c r="A121" s="147">
        <v>5.2</v>
      </c>
      <c r="B121" s="161" t="s">
        <v>21</v>
      </c>
      <c r="C121" s="223"/>
      <c r="D121" s="162"/>
      <c r="E121" s="162"/>
      <c r="F121" s="162"/>
      <c r="G121" s="162"/>
      <c r="H121" s="162"/>
      <c r="I121" s="162"/>
      <c r="J121" s="162"/>
      <c r="K121" s="162"/>
      <c r="L121" s="162"/>
      <c r="M121" s="162"/>
      <c r="N121" s="162"/>
      <c r="O121" s="162"/>
      <c r="P121" s="162"/>
      <c r="Q121" s="162"/>
      <c r="R121" s="162"/>
      <c r="S121" s="163"/>
    </row>
    <row r="122" spans="1:19" s="38" customFormat="1" ht="15" customHeight="1" outlineLevel="1" x14ac:dyDescent="0.35">
      <c r="A122" s="48"/>
      <c r="B122" s="48"/>
      <c r="C122" s="222"/>
      <c r="D122" s="48"/>
      <c r="E122" s="48"/>
      <c r="F122" s="48"/>
      <c r="G122" s="48"/>
      <c r="H122" s="48"/>
      <c r="K122" s="48"/>
      <c r="L122" s="48"/>
      <c r="M122" s="48"/>
      <c r="O122" s="48"/>
      <c r="P122" s="48"/>
      <c r="Q122" s="48"/>
    </row>
    <row r="123" spans="1:19" ht="15" customHeight="1" outlineLevel="1" x14ac:dyDescent="0.35">
      <c r="B123" s="127" t="s">
        <v>691</v>
      </c>
      <c r="C123" s="217" t="s">
        <v>692</v>
      </c>
      <c r="D123" s="127" t="s">
        <v>693</v>
      </c>
      <c r="E123" s="127" t="s">
        <v>694</v>
      </c>
      <c r="F123" s="127" t="s">
        <v>695</v>
      </c>
      <c r="G123" s="37"/>
      <c r="H123" s="37"/>
      <c r="K123" s="37"/>
      <c r="L123" s="37"/>
      <c r="M123" s="37"/>
      <c r="O123" s="37"/>
      <c r="P123" s="37"/>
      <c r="Q123" s="37"/>
    </row>
    <row r="124" spans="1:19" s="89" customFormat="1" ht="162.75" customHeight="1" outlineLevel="1" x14ac:dyDescent="0.35">
      <c r="A124" s="147"/>
      <c r="B124" s="121" t="s">
        <v>21</v>
      </c>
      <c r="C124" s="90" t="s">
        <v>3</v>
      </c>
      <c r="D124" s="90" t="s">
        <v>746</v>
      </c>
      <c r="E124" s="90" t="s">
        <v>747</v>
      </c>
      <c r="F124" s="90" t="s">
        <v>748</v>
      </c>
    </row>
    <row r="125" spans="1:19" s="38" customFormat="1" ht="15" customHeight="1" outlineLevel="1" x14ac:dyDescent="0.35">
      <c r="A125" s="147"/>
      <c r="B125" s="128" t="s">
        <v>692</v>
      </c>
      <c r="C125" s="213" t="s">
        <v>709</v>
      </c>
      <c r="F125" s="48"/>
      <c r="G125" s="48"/>
      <c r="H125" s="48"/>
      <c r="K125" s="48"/>
      <c r="L125" s="48"/>
      <c r="M125" s="48"/>
      <c r="O125" s="48"/>
      <c r="P125" s="48"/>
      <c r="Q125" s="48"/>
    </row>
    <row r="126" spans="1:19" s="38" customFormat="1" ht="15" customHeight="1" outlineLevel="1" x14ac:dyDescent="0.35">
      <c r="A126" s="147"/>
      <c r="B126" s="130"/>
      <c r="C126" s="213" t="s">
        <v>758</v>
      </c>
      <c r="F126" s="48"/>
      <c r="G126" s="48"/>
      <c r="H126" s="48"/>
      <c r="K126" s="48"/>
      <c r="L126" s="48"/>
      <c r="M126" s="48"/>
      <c r="O126" s="48"/>
      <c r="P126" s="48"/>
      <c r="Q126" s="48"/>
    </row>
    <row r="127" spans="1:19" s="38" customFormat="1" ht="15" customHeight="1" outlineLevel="1" x14ac:dyDescent="0.35">
      <c r="A127" s="147"/>
      <c r="B127" s="127" t="s">
        <v>693</v>
      </c>
      <c r="C127" s="213" t="s">
        <v>759</v>
      </c>
      <c r="F127" s="48"/>
      <c r="G127" s="48"/>
      <c r="H127" s="48"/>
      <c r="K127" s="48"/>
      <c r="L127" s="48"/>
      <c r="M127" s="48"/>
      <c r="O127" s="48"/>
      <c r="P127" s="48"/>
      <c r="Q127" s="48"/>
    </row>
    <row r="128" spans="1:19" s="38" customFormat="1" ht="15" customHeight="1" outlineLevel="1" x14ac:dyDescent="0.35">
      <c r="A128" s="147"/>
      <c r="B128" s="127" t="s">
        <v>694</v>
      </c>
      <c r="C128" s="213" t="s">
        <v>760</v>
      </c>
      <c r="F128" s="48"/>
      <c r="G128" s="48"/>
      <c r="H128" s="48"/>
      <c r="K128" s="48"/>
      <c r="L128" s="48"/>
      <c r="M128" s="48"/>
      <c r="O128" s="48"/>
      <c r="P128" s="48"/>
      <c r="Q128" s="48"/>
    </row>
    <row r="129" spans="1:19" s="38" customFormat="1" ht="15" customHeight="1" outlineLevel="1" x14ac:dyDescent="0.35">
      <c r="A129" s="147"/>
      <c r="B129" s="127" t="s">
        <v>695</v>
      </c>
      <c r="C129" s="213" t="s">
        <v>761</v>
      </c>
      <c r="F129" s="48"/>
      <c r="G129" s="48"/>
      <c r="H129" s="48"/>
      <c r="K129" s="48"/>
      <c r="L129" s="48"/>
      <c r="M129" s="48"/>
      <c r="O129" s="48"/>
      <c r="P129" s="48"/>
      <c r="Q129" s="48"/>
    </row>
    <row r="130" spans="1:19" s="38" customFormat="1" ht="15" customHeight="1" outlineLevel="1" x14ac:dyDescent="0.35">
      <c r="A130" s="147"/>
      <c r="C130" s="214"/>
      <c r="F130" s="48"/>
      <c r="G130" s="48"/>
      <c r="H130" s="48"/>
      <c r="K130" s="48"/>
      <c r="L130" s="48"/>
      <c r="M130" s="48"/>
      <c r="O130" s="48"/>
      <c r="P130" s="48"/>
    </row>
    <row r="131" spans="1:19" s="138" customFormat="1" ht="15" customHeight="1" x14ac:dyDescent="0.35">
      <c r="A131" s="147">
        <v>5.3</v>
      </c>
      <c r="B131" s="161" t="s">
        <v>749</v>
      </c>
      <c r="C131" s="223"/>
      <c r="D131" s="162"/>
      <c r="E131" s="162"/>
      <c r="F131" s="162"/>
      <c r="G131" s="162"/>
      <c r="H131" s="162"/>
      <c r="I131" s="162"/>
      <c r="J131" s="162"/>
      <c r="K131" s="162"/>
      <c r="L131" s="162"/>
      <c r="M131" s="162"/>
      <c r="N131" s="162"/>
      <c r="O131" s="162"/>
      <c r="P131" s="162"/>
      <c r="Q131" s="162"/>
      <c r="R131" s="162"/>
      <c r="S131" s="163"/>
    </row>
    <row r="132" spans="1:19" s="38" customFormat="1" ht="15" customHeight="1" outlineLevel="1" x14ac:dyDescent="0.35">
      <c r="A132" s="48"/>
      <c r="B132" s="48"/>
      <c r="C132" s="222"/>
      <c r="D132" s="48"/>
      <c r="E132" s="48"/>
      <c r="F132" s="48"/>
      <c r="G132" s="48"/>
      <c r="H132" s="48"/>
      <c r="K132" s="48"/>
      <c r="L132" s="48"/>
      <c r="M132" s="48"/>
      <c r="O132" s="48"/>
      <c r="P132" s="48"/>
      <c r="Q132" s="48"/>
    </row>
    <row r="133" spans="1:19" ht="15" customHeight="1" outlineLevel="1" x14ac:dyDescent="0.35">
      <c r="B133" s="127" t="s">
        <v>716</v>
      </c>
      <c r="C133" s="217" t="s">
        <v>696</v>
      </c>
      <c r="D133" s="37"/>
      <c r="F133" s="37"/>
      <c r="G133" s="37"/>
      <c r="H133" s="37"/>
      <c r="K133" s="37"/>
      <c r="L133" s="37"/>
      <c r="M133" s="37"/>
      <c r="O133" s="37"/>
      <c r="P133" s="37"/>
      <c r="Q133" s="37"/>
    </row>
    <row r="134" spans="1:19" s="89" customFormat="1" ht="198.75" customHeight="1" outlineLevel="1" x14ac:dyDescent="0.35">
      <c r="A134" s="147"/>
      <c r="B134" s="121" t="s">
        <v>749</v>
      </c>
      <c r="C134" s="90" t="s">
        <v>750</v>
      </c>
    </row>
    <row r="135" spans="1:19" s="38" customFormat="1" ht="15" customHeight="1" outlineLevel="1" x14ac:dyDescent="0.35">
      <c r="A135" s="147"/>
      <c r="B135" s="127" t="s">
        <v>696</v>
      </c>
      <c r="C135" s="213" t="s">
        <v>762</v>
      </c>
      <c r="F135" s="48"/>
      <c r="G135" s="48"/>
      <c r="H135" s="48"/>
      <c r="K135" s="48"/>
      <c r="L135" s="48"/>
      <c r="M135" s="48"/>
      <c r="O135" s="48"/>
      <c r="P135" s="48"/>
      <c r="Q135" s="48"/>
    </row>
    <row r="136" spans="1:19" s="38" customFormat="1" ht="15" customHeight="1" outlineLevel="1" x14ac:dyDescent="0.35">
      <c r="A136" s="147"/>
      <c r="C136" s="214"/>
      <c r="F136" s="48"/>
      <c r="G136" s="48"/>
      <c r="H136" s="48"/>
      <c r="K136" s="48"/>
      <c r="L136" s="48"/>
      <c r="M136" s="48"/>
      <c r="O136" s="48"/>
      <c r="P136" s="48"/>
      <c r="Q136" s="48"/>
    </row>
    <row r="137" spans="1:19" s="84" customFormat="1" ht="20.149999999999999" customHeight="1" x14ac:dyDescent="0.35">
      <c r="A137" s="158">
        <v>6</v>
      </c>
      <c r="B137" s="132" t="s">
        <v>763</v>
      </c>
      <c r="C137" s="132"/>
      <c r="D137" s="132"/>
      <c r="E137" s="132"/>
      <c r="F137" s="132"/>
      <c r="G137" s="132"/>
      <c r="H137" s="132"/>
      <c r="I137" s="132"/>
      <c r="J137" s="132"/>
      <c r="K137" s="132"/>
      <c r="L137" s="132"/>
      <c r="M137" s="132"/>
      <c r="N137" s="132"/>
      <c r="O137" s="132"/>
      <c r="P137" s="132"/>
      <c r="Q137" s="132"/>
      <c r="R137" s="132"/>
      <c r="S137" s="132"/>
    </row>
    <row r="138" spans="1:19" s="38" customFormat="1" ht="15" customHeight="1" outlineLevel="1" x14ac:dyDescent="0.35">
      <c r="A138" s="147"/>
      <c r="C138" s="214"/>
      <c r="F138" s="48"/>
      <c r="G138" s="48"/>
      <c r="H138" s="48"/>
    </row>
    <row r="139" spans="1:19" s="50" customFormat="1" ht="13.9" customHeight="1" outlineLevel="1" x14ac:dyDescent="0.35">
      <c r="A139" s="159"/>
      <c r="C139" s="224" t="s">
        <v>763</v>
      </c>
      <c r="D139" s="117"/>
      <c r="E139" s="117"/>
      <c r="F139" s="117"/>
      <c r="G139" s="117"/>
      <c r="H139" s="117"/>
      <c r="I139" s="117"/>
    </row>
    <row r="140" spans="1:19" ht="15" customHeight="1" outlineLevel="1" x14ac:dyDescent="0.35">
      <c r="B140" s="127" t="s">
        <v>667</v>
      </c>
      <c r="C140" s="217" t="s">
        <v>661</v>
      </c>
      <c r="D140" s="127" t="s">
        <v>662</v>
      </c>
      <c r="E140" s="127" t="s">
        <v>663</v>
      </c>
      <c r="F140" s="127" t="s">
        <v>664</v>
      </c>
      <c r="G140" s="127" t="s">
        <v>675</v>
      </c>
      <c r="H140" s="127" t="s">
        <v>676</v>
      </c>
      <c r="I140" s="127" t="s">
        <v>688</v>
      </c>
      <c r="K140" s="37"/>
      <c r="L140" s="37"/>
      <c r="M140" s="37"/>
      <c r="O140" s="37"/>
      <c r="P140" s="37"/>
      <c r="Q140" s="37"/>
    </row>
    <row r="141" spans="1:19" s="89" customFormat="1" ht="120" customHeight="1" outlineLevel="1" x14ac:dyDescent="0.35">
      <c r="A141" s="137"/>
      <c r="B141" s="121" t="s">
        <v>763</v>
      </c>
      <c r="C141" s="90" t="s">
        <v>3</v>
      </c>
      <c r="D141" s="136" t="s">
        <v>764</v>
      </c>
      <c r="E141" s="136" t="s">
        <v>83</v>
      </c>
      <c r="F141" s="136" t="s">
        <v>765</v>
      </c>
      <c r="G141" s="136" t="s">
        <v>766</v>
      </c>
      <c r="H141" s="136" t="s">
        <v>767</v>
      </c>
      <c r="I141" s="136" t="s">
        <v>768</v>
      </c>
    </row>
    <row r="142" spans="1:19" s="38" customFormat="1" ht="15" customHeight="1" outlineLevel="1" x14ac:dyDescent="0.35">
      <c r="A142" s="137"/>
      <c r="B142" s="127" t="s">
        <v>661</v>
      </c>
      <c r="C142" s="213" t="s">
        <v>709</v>
      </c>
      <c r="F142" s="48"/>
      <c r="K142" s="48"/>
      <c r="L142" s="48"/>
      <c r="M142" s="48"/>
      <c r="O142" s="48"/>
      <c r="P142" s="48"/>
      <c r="Q142" s="48"/>
    </row>
    <row r="143" spans="1:19" s="38" customFormat="1" ht="15" customHeight="1" outlineLevel="1" x14ac:dyDescent="0.35">
      <c r="A143" s="137"/>
      <c r="B143" s="127" t="s">
        <v>662</v>
      </c>
      <c r="C143" s="213" t="s">
        <v>745</v>
      </c>
      <c r="F143" s="48"/>
      <c r="G143" s="44"/>
      <c r="H143" s="44"/>
      <c r="K143" s="48"/>
      <c r="L143" s="48"/>
      <c r="M143" s="48"/>
      <c r="O143" s="48"/>
      <c r="P143" s="48"/>
      <c r="Q143" s="48"/>
    </row>
    <row r="144" spans="1:19" s="38" customFormat="1" ht="15" customHeight="1" outlineLevel="1" x14ac:dyDescent="0.35">
      <c r="A144" s="137"/>
      <c r="B144" s="127" t="s">
        <v>663</v>
      </c>
      <c r="C144" s="213" t="s">
        <v>769</v>
      </c>
      <c r="F144" s="48"/>
      <c r="G144" s="44"/>
      <c r="H144" s="44"/>
      <c r="K144" s="48"/>
      <c r="L144" s="48"/>
      <c r="M144" s="48"/>
      <c r="O144" s="48"/>
      <c r="P144" s="48"/>
      <c r="Q144" s="48"/>
    </row>
    <row r="145" spans="1:19" s="38" customFormat="1" ht="15" customHeight="1" outlineLevel="1" x14ac:dyDescent="0.35">
      <c r="A145" s="137"/>
      <c r="B145" s="127" t="s">
        <v>664</v>
      </c>
      <c r="C145" s="213" t="s">
        <v>770</v>
      </c>
      <c r="F145" s="48"/>
      <c r="G145" s="44"/>
      <c r="H145" s="44"/>
      <c r="K145" s="48"/>
      <c r="L145" s="48"/>
      <c r="M145" s="48"/>
      <c r="O145" s="48"/>
      <c r="P145" s="48"/>
      <c r="Q145" s="48"/>
    </row>
    <row r="146" spans="1:19" s="38" customFormat="1" ht="15" customHeight="1" outlineLevel="1" x14ac:dyDescent="0.35">
      <c r="A146" s="137"/>
      <c r="B146" s="127" t="s">
        <v>675</v>
      </c>
      <c r="C146" s="213" t="s">
        <v>771</v>
      </c>
      <c r="F146" s="48"/>
      <c r="G146" s="44"/>
      <c r="H146" s="44"/>
      <c r="K146" s="48"/>
      <c r="L146" s="48"/>
      <c r="M146" s="48"/>
      <c r="O146" s="48"/>
      <c r="P146" s="48"/>
      <c r="Q146" s="48"/>
    </row>
    <row r="147" spans="1:19" s="38" customFormat="1" ht="15" customHeight="1" outlineLevel="1" x14ac:dyDescent="0.35">
      <c r="A147" s="137"/>
      <c r="B147" s="127" t="s">
        <v>676</v>
      </c>
      <c r="C147" s="213" t="s">
        <v>772</v>
      </c>
      <c r="F147" s="48"/>
      <c r="G147" s="44"/>
      <c r="H147" s="44"/>
      <c r="K147" s="48"/>
      <c r="L147" s="48"/>
      <c r="M147" s="48"/>
      <c r="O147" s="48"/>
      <c r="P147" s="48"/>
      <c r="Q147" s="48"/>
    </row>
    <row r="148" spans="1:19" s="38" customFormat="1" ht="15" customHeight="1" outlineLevel="1" x14ac:dyDescent="0.35">
      <c r="A148" s="137"/>
      <c r="B148" s="127" t="s">
        <v>688</v>
      </c>
      <c r="C148" s="213" t="s">
        <v>773</v>
      </c>
      <c r="F148" s="48"/>
      <c r="G148" s="44"/>
      <c r="H148" s="44"/>
      <c r="K148" s="48"/>
      <c r="L148" s="48"/>
      <c r="M148" s="48"/>
      <c r="O148" s="48"/>
      <c r="P148" s="48"/>
      <c r="Q148" s="48"/>
    </row>
    <row r="149" spans="1:19" s="38" customFormat="1" ht="15" customHeight="1" outlineLevel="1" x14ac:dyDescent="0.35">
      <c r="A149" s="137"/>
      <c r="C149" s="214"/>
      <c r="F149" s="48"/>
      <c r="G149" s="44"/>
      <c r="H149" s="44"/>
      <c r="K149" s="48"/>
      <c r="L149" s="48"/>
      <c r="M149" s="48"/>
      <c r="O149" s="48"/>
      <c r="P149" s="48"/>
      <c r="Q149" s="48"/>
    </row>
    <row r="150" spans="1:19" s="84" customFormat="1" ht="20.149999999999999" customHeight="1" x14ac:dyDescent="0.35">
      <c r="A150" s="158">
        <v>7</v>
      </c>
      <c r="B150" s="167" t="s">
        <v>660</v>
      </c>
      <c r="C150" s="167"/>
      <c r="D150" s="167"/>
      <c r="E150" s="167"/>
      <c r="F150" s="167"/>
      <c r="G150" s="167"/>
      <c r="H150" s="167"/>
      <c r="I150" s="167"/>
      <c r="J150" s="167"/>
      <c r="K150" s="167"/>
      <c r="L150" s="167"/>
      <c r="M150" s="167"/>
      <c r="N150" s="167"/>
      <c r="O150" s="167"/>
      <c r="P150" s="167"/>
      <c r="Q150" s="167"/>
      <c r="R150" s="167"/>
      <c r="S150" s="167"/>
    </row>
    <row r="151" spans="1:19" s="38" customFormat="1" ht="15" customHeight="1" outlineLevel="1" x14ac:dyDescent="0.35">
      <c r="A151" s="147"/>
      <c r="C151" s="214"/>
      <c r="F151" s="48"/>
      <c r="G151" s="48"/>
      <c r="H151" s="48"/>
      <c r="K151" s="48"/>
      <c r="L151" s="48"/>
      <c r="M151" s="48"/>
      <c r="O151" s="48"/>
      <c r="P151" s="48"/>
    </row>
    <row r="152" spans="1:19" ht="15" customHeight="1" outlineLevel="1" x14ac:dyDescent="0.35">
      <c r="B152" s="127" t="s">
        <v>667</v>
      </c>
      <c r="C152" s="217" t="s">
        <v>661</v>
      </c>
      <c r="D152" s="127" t="s">
        <v>662</v>
      </c>
      <c r="E152" s="127" t="s">
        <v>663</v>
      </c>
      <c r="F152" s="127" t="s">
        <v>664</v>
      </c>
      <c r="G152" s="127" t="s">
        <v>675</v>
      </c>
      <c r="H152" s="127" t="s">
        <v>676</v>
      </c>
      <c r="I152" s="127" t="s">
        <v>688</v>
      </c>
      <c r="J152" s="127" t="s">
        <v>689</v>
      </c>
      <c r="K152" s="127" t="s">
        <v>690</v>
      </c>
      <c r="L152" s="127" t="s">
        <v>691</v>
      </c>
      <c r="M152" s="37"/>
      <c r="O152" s="37"/>
      <c r="P152" s="37"/>
      <c r="Q152" s="37"/>
    </row>
    <row r="153" spans="1:19" s="30" customFormat="1" ht="15" customHeight="1" outlineLevel="1" x14ac:dyDescent="0.3">
      <c r="A153" s="160"/>
      <c r="B153" s="36"/>
      <c r="C153" s="220" t="s">
        <v>724</v>
      </c>
      <c r="D153" s="119"/>
      <c r="E153" s="119"/>
      <c r="F153" s="119"/>
      <c r="G153" s="120"/>
      <c r="H153" s="118" t="s">
        <v>774</v>
      </c>
      <c r="I153" s="120"/>
      <c r="J153" s="38"/>
    </row>
    <row r="154" spans="1:19" s="133" customFormat="1" ht="105.75" customHeight="1" outlineLevel="1" x14ac:dyDescent="0.35">
      <c r="A154" s="160"/>
      <c r="B154" s="168" t="s">
        <v>660</v>
      </c>
      <c r="C154" s="90" t="s">
        <v>730</v>
      </c>
      <c r="D154" s="136" t="s">
        <v>727</v>
      </c>
      <c r="E154" s="136" t="s">
        <v>775</v>
      </c>
      <c r="F154" s="136" t="s">
        <v>194</v>
      </c>
      <c r="G154" s="136" t="s">
        <v>76</v>
      </c>
      <c r="H154" s="136" t="s">
        <v>730</v>
      </c>
      <c r="I154" s="136" t="s">
        <v>727</v>
      </c>
      <c r="J154" s="134" t="s">
        <v>776</v>
      </c>
      <c r="K154" s="136" t="s">
        <v>730</v>
      </c>
      <c r="L154" s="136" t="s">
        <v>777</v>
      </c>
    </row>
    <row r="155" spans="1:19" s="38" customFormat="1" ht="15" customHeight="1" outlineLevel="1" x14ac:dyDescent="0.35">
      <c r="A155" s="147"/>
      <c r="C155" s="214"/>
      <c r="F155" s="48"/>
      <c r="G155" s="48"/>
      <c r="H155" s="48"/>
      <c r="K155" s="48"/>
      <c r="L155" s="48"/>
      <c r="M155" s="48"/>
      <c r="O155" s="48"/>
      <c r="P155" s="48"/>
    </row>
    <row r="156" spans="1:19" s="138" customFormat="1" ht="15" customHeight="1" x14ac:dyDescent="0.35">
      <c r="A156" s="147" t="s">
        <v>778</v>
      </c>
      <c r="B156" s="164" t="s">
        <v>660</v>
      </c>
      <c r="C156" s="225"/>
      <c r="D156" s="165"/>
      <c r="E156" s="165"/>
      <c r="F156" s="165"/>
      <c r="G156" s="165"/>
      <c r="H156" s="165"/>
      <c r="I156" s="165"/>
      <c r="J156" s="165"/>
      <c r="K156" s="165"/>
      <c r="L156" s="165"/>
      <c r="M156" s="165"/>
      <c r="N156" s="165"/>
      <c r="O156" s="165"/>
      <c r="P156" s="165"/>
      <c r="Q156" s="165"/>
      <c r="R156" s="165"/>
      <c r="S156" s="166"/>
    </row>
    <row r="157" spans="1:19" s="38" customFormat="1" ht="15" customHeight="1" outlineLevel="1" x14ac:dyDescent="0.35">
      <c r="A157" s="48"/>
      <c r="B157" s="48"/>
      <c r="C157" s="222"/>
      <c r="D157" s="48"/>
      <c r="E157" s="48"/>
      <c r="F157" s="48"/>
      <c r="G157" s="48"/>
      <c r="H157" s="48"/>
      <c r="K157" s="48"/>
      <c r="L157" s="48"/>
      <c r="M157" s="48"/>
      <c r="O157" s="48"/>
      <c r="P157" s="48"/>
      <c r="Q157" s="48"/>
    </row>
    <row r="158" spans="1:19" ht="15" customHeight="1" outlineLevel="1" x14ac:dyDescent="0.35">
      <c r="B158" s="127" t="s">
        <v>667</v>
      </c>
      <c r="C158" s="217" t="s">
        <v>661</v>
      </c>
      <c r="D158" s="127" t="s">
        <v>662</v>
      </c>
      <c r="E158" s="127" t="s">
        <v>663</v>
      </c>
      <c r="F158" s="127" t="s">
        <v>664</v>
      </c>
      <c r="G158" s="127" t="s">
        <v>675</v>
      </c>
      <c r="H158" s="127" t="s">
        <v>676</v>
      </c>
      <c r="I158" s="127" t="s">
        <v>688</v>
      </c>
      <c r="J158" s="38"/>
      <c r="K158" s="48"/>
      <c r="L158" s="48"/>
      <c r="M158" s="37"/>
      <c r="N158" s="133"/>
      <c r="O158" s="133"/>
      <c r="P158" s="133"/>
      <c r="Q158" s="133"/>
      <c r="R158" s="133"/>
      <c r="S158" s="133"/>
    </row>
    <row r="159" spans="1:19" s="30" customFormat="1" ht="15" customHeight="1" outlineLevel="1" x14ac:dyDescent="0.3">
      <c r="A159" s="160"/>
      <c r="B159" s="36"/>
      <c r="C159" s="220" t="s">
        <v>724</v>
      </c>
      <c r="D159" s="119"/>
      <c r="E159" s="119"/>
      <c r="F159" s="119"/>
      <c r="G159" s="120"/>
      <c r="H159" s="118" t="s">
        <v>774</v>
      </c>
      <c r="I159" s="120"/>
      <c r="J159" s="38"/>
    </row>
    <row r="160" spans="1:19" s="133" customFormat="1" ht="105.75" customHeight="1" outlineLevel="1" x14ac:dyDescent="0.35">
      <c r="A160" s="160"/>
      <c r="B160" s="168" t="s">
        <v>660</v>
      </c>
      <c r="C160" s="90" t="s">
        <v>730</v>
      </c>
      <c r="D160" s="136" t="s">
        <v>727</v>
      </c>
      <c r="E160" s="136" t="s">
        <v>775</v>
      </c>
      <c r="F160" s="136" t="s">
        <v>194</v>
      </c>
      <c r="G160" s="136" t="s">
        <v>76</v>
      </c>
      <c r="H160" s="136" t="s">
        <v>730</v>
      </c>
      <c r="I160" s="136" t="s">
        <v>727</v>
      </c>
      <c r="J160" s="38"/>
      <c r="K160" s="48"/>
      <c r="L160" s="48"/>
    </row>
    <row r="161" spans="1:19" s="38" customFormat="1" ht="15" customHeight="1" outlineLevel="1" x14ac:dyDescent="0.35">
      <c r="A161" s="147"/>
      <c r="B161" s="130" t="s">
        <v>661</v>
      </c>
      <c r="C161" s="213" t="s">
        <v>779</v>
      </c>
      <c r="F161" s="48"/>
      <c r="G161" s="48"/>
      <c r="H161" s="48"/>
      <c r="K161" s="48"/>
      <c r="L161" s="48"/>
      <c r="M161" s="48"/>
      <c r="N161" s="133"/>
      <c r="O161" s="133"/>
      <c r="P161" s="133"/>
      <c r="Q161" s="133"/>
      <c r="R161" s="133"/>
      <c r="S161" s="133"/>
    </row>
    <row r="162" spans="1:19" s="38" customFormat="1" ht="14.25" customHeight="1" outlineLevel="1" x14ac:dyDescent="0.35">
      <c r="A162" s="147"/>
      <c r="B162" s="127" t="s">
        <v>662</v>
      </c>
      <c r="C162" s="213" t="s">
        <v>780</v>
      </c>
      <c r="F162" s="48"/>
      <c r="G162" s="48"/>
      <c r="H162" s="48"/>
      <c r="K162" s="48"/>
      <c r="L162" s="48"/>
      <c r="M162" s="48"/>
      <c r="N162" s="133"/>
      <c r="O162" s="133"/>
      <c r="P162" s="133"/>
      <c r="Q162" s="133"/>
      <c r="R162" s="133"/>
      <c r="S162" s="133"/>
    </row>
    <row r="163" spans="1:19" s="38" customFormat="1" ht="15" customHeight="1" outlineLevel="1" x14ac:dyDescent="0.35">
      <c r="A163" s="147"/>
      <c r="B163" s="127" t="s">
        <v>663</v>
      </c>
      <c r="C163" s="213" t="s">
        <v>781</v>
      </c>
      <c r="F163" s="48"/>
      <c r="G163" s="48"/>
      <c r="H163" s="48"/>
      <c r="K163" s="48"/>
      <c r="L163" s="48"/>
      <c r="M163" s="48"/>
      <c r="N163" s="133"/>
      <c r="O163" s="133"/>
      <c r="P163" s="133"/>
      <c r="Q163" s="133"/>
      <c r="R163" s="133"/>
      <c r="S163" s="133"/>
    </row>
    <row r="164" spans="1:19" s="38" customFormat="1" ht="15" customHeight="1" outlineLevel="1" x14ac:dyDescent="0.35">
      <c r="A164" s="147"/>
      <c r="B164" s="127" t="s">
        <v>664</v>
      </c>
      <c r="C164" s="213" t="s">
        <v>782</v>
      </c>
      <c r="F164" s="48"/>
      <c r="G164" s="48"/>
      <c r="H164" s="48"/>
      <c r="K164" s="48"/>
      <c r="L164" s="48"/>
      <c r="M164" s="48"/>
      <c r="N164" s="133"/>
      <c r="O164" s="133"/>
      <c r="P164" s="133"/>
      <c r="Q164" s="133"/>
      <c r="R164" s="133"/>
      <c r="S164" s="133"/>
    </row>
    <row r="165" spans="1:19" s="38" customFormat="1" ht="15" customHeight="1" outlineLevel="1" x14ac:dyDescent="0.35">
      <c r="A165" s="147"/>
      <c r="B165" s="127" t="s">
        <v>675</v>
      </c>
      <c r="C165" s="213" t="s">
        <v>783</v>
      </c>
      <c r="F165" s="48"/>
      <c r="G165" s="48"/>
      <c r="H165" s="48"/>
      <c r="K165" s="48"/>
      <c r="L165" s="48"/>
      <c r="M165" s="48"/>
      <c r="N165" s="133"/>
      <c r="O165" s="133"/>
      <c r="P165" s="133"/>
      <c r="Q165" s="133"/>
      <c r="R165" s="133"/>
      <c r="S165" s="133"/>
    </row>
    <row r="166" spans="1:19" s="38" customFormat="1" ht="15" customHeight="1" outlineLevel="1" x14ac:dyDescent="0.35">
      <c r="A166" s="147"/>
      <c r="B166" s="127" t="s">
        <v>676</v>
      </c>
      <c r="C166" s="213" t="s">
        <v>784</v>
      </c>
      <c r="F166" s="48"/>
      <c r="G166" s="48"/>
      <c r="H166" s="48"/>
      <c r="K166" s="48"/>
      <c r="L166" s="48"/>
      <c r="M166" s="48"/>
      <c r="N166" s="133"/>
      <c r="O166" s="133"/>
      <c r="P166" s="133"/>
      <c r="Q166" s="133"/>
      <c r="R166" s="133"/>
      <c r="S166" s="133"/>
    </row>
    <row r="167" spans="1:19" s="38" customFormat="1" ht="15" customHeight="1" outlineLevel="1" x14ac:dyDescent="0.35">
      <c r="A167" s="147"/>
      <c r="B167" s="127" t="s">
        <v>688</v>
      </c>
      <c r="C167" s="213" t="s">
        <v>785</v>
      </c>
      <c r="F167" s="48"/>
      <c r="G167" s="48"/>
      <c r="H167" s="48"/>
      <c r="K167" s="48"/>
      <c r="L167" s="48"/>
      <c r="M167" s="48"/>
      <c r="N167" s="133"/>
      <c r="O167" s="133"/>
      <c r="P167" s="133"/>
      <c r="Q167" s="133"/>
      <c r="R167" s="133"/>
      <c r="S167" s="133"/>
    </row>
    <row r="168" spans="1:19" ht="13.15" customHeight="1" outlineLevel="1" x14ac:dyDescent="0.35">
      <c r="D168" s="37"/>
      <c r="K168" s="48"/>
      <c r="L168" s="48"/>
      <c r="M168" s="48"/>
      <c r="N168" s="133"/>
      <c r="O168" s="133"/>
      <c r="P168" s="133"/>
      <c r="Q168" s="133"/>
      <c r="R168" s="133"/>
      <c r="S168" s="133"/>
    </row>
    <row r="169" spans="1:19" s="138" customFormat="1" ht="15" customHeight="1" x14ac:dyDescent="0.35">
      <c r="A169" s="147">
        <v>7.2</v>
      </c>
      <c r="B169" s="164" t="s">
        <v>786</v>
      </c>
      <c r="C169" s="225"/>
      <c r="D169" s="165"/>
      <c r="E169" s="165"/>
      <c r="F169" s="165"/>
      <c r="G169" s="165"/>
      <c r="H169" s="165"/>
      <c r="I169" s="165"/>
      <c r="J169" s="165"/>
      <c r="K169" s="165"/>
      <c r="L169" s="165"/>
      <c r="M169" s="165"/>
      <c r="N169" s="165"/>
      <c r="O169" s="165"/>
      <c r="P169" s="165"/>
      <c r="Q169" s="165"/>
      <c r="R169" s="165"/>
      <c r="S169" s="166"/>
    </row>
    <row r="170" spans="1:19" ht="13.15" customHeight="1" outlineLevel="1" x14ac:dyDescent="0.35">
      <c r="D170" s="37"/>
      <c r="K170" s="48"/>
      <c r="L170" s="48"/>
      <c r="M170" s="48"/>
      <c r="N170" s="133"/>
      <c r="O170" s="133"/>
      <c r="P170" s="133"/>
      <c r="Q170" s="133"/>
      <c r="R170" s="133"/>
      <c r="S170" s="133"/>
    </row>
    <row r="171" spans="1:19" ht="15" customHeight="1" outlineLevel="1" x14ac:dyDescent="0.35">
      <c r="B171" s="127" t="s">
        <v>689</v>
      </c>
      <c r="C171" s="217" t="s">
        <v>690</v>
      </c>
      <c r="D171" s="127" t="s">
        <v>691</v>
      </c>
      <c r="F171" s="37"/>
      <c r="G171" s="37"/>
      <c r="H171" s="37"/>
      <c r="K171" s="37"/>
      <c r="L171" s="37"/>
      <c r="M171" s="37"/>
      <c r="O171" s="37"/>
      <c r="P171" s="37"/>
      <c r="Q171" s="37"/>
    </row>
    <row r="172" spans="1:19" s="133" customFormat="1" ht="105.75" customHeight="1" outlineLevel="1" x14ac:dyDescent="0.35">
      <c r="A172" s="160"/>
      <c r="B172" s="168" t="s">
        <v>776</v>
      </c>
      <c r="C172" s="90" t="s">
        <v>730</v>
      </c>
      <c r="D172" s="136" t="s">
        <v>777</v>
      </c>
    </row>
    <row r="173" spans="1:19" s="38" customFormat="1" ht="14.25" customHeight="1" outlineLevel="1" x14ac:dyDescent="0.35">
      <c r="A173" s="147"/>
      <c r="B173" s="130" t="s">
        <v>661</v>
      </c>
      <c r="C173" s="226" t="s">
        <v>787</v>
      </c>
      <c r="F173" s="48"/>
      <c r="G173" s="48"/>
      <c r="H173" s="48"/>
      <c r="K173" s="48"/>
      <c r="L173" s="48"/>
      <c r="M173" s="48"/>
      <c r="N173" s="133"/>
      <c r="O173" s="133"/>
      <c r="P173" s="133"/>
      <c r="Q173" s="133"/>
      <c r="R173" s="133"/>
      <c r="S173" s="133"/>
    </row>
    <row r="174" spans="1:19" s="38" customFormat="1" ht="14.25" customHeight="1" outlineLevel="1" x14ac:dyDescent="0.35">
      <c r="A174" s="147"/>
      <c r="B174" s="127" t="s">
        <v>662</v>
      </c>
      <c r="C174" s="226" t="s">
        <v>787</v>
      </c>
      <c r="F174" s="48"/>
      <c r="G174" s="48"/>
      <c r="H174" s="48"/>
      <c r="K174" s="48"/>
      <c r="L174" s="48"/>
      <c r="M174" s="48"/>
      <c r="N174" s="133"/>
      <c r="O174" s="133"/>
      <c r="P174" s="133"/>
      <c r="Q174" s="133"/>
      <c r="R174" s="133"/>
      <c r="S174" s="133"/>
    </row>
    <row r="175" spans="1:19" ht="13.15" customHeight="1" outlineLevel="1" x14ac:dyDescent="0.35">
      <c r="D175" s="37"/>
      <c r="K175" s="48"/>
      <c r="L175" s="48"/>
      <c r="M175" s="48"/>
      <c r="N175" s="133"/>
      <c r="O175" s="133"/>
      <c r="P175" s="133"/>
      <c r="Q175" s="133"/>
      <c r="R175" s="133"/>
      <c r="S175" s="133"/>
    </row>
    <row r="176" spans="1:19" ht="13.15" customHeight="1" x14ac:dyDescent="0.35">
      <c r="D176" s="37"/>
      <c r="K176" s="48"/>
      <c r="L176" s="48"/>
      <c r="M176" s="48"/>
      <c r="N176" s="133"/>
      <c r="O176" s="133"/>
      <c r="P176" s="133"/>
      <c r="Q176" s="133"/>
      <c r="R176" s="133"/>
      <c r="S176" s="133"/>
    </row>
    <row r="177" spans="4:19" ht="13.15" customHeight="1" x14ac:dyDescent="0.35">
      <c r="D177" s="37"/>
      <c r="K177" s="48"/>
      <c r="L177" s="48"/>
      <c r="M177" s="48"/>
      <c r="N177" s="133"/>
      <c r="O177" s="133"/>
      <c r="P177" s="133"/>
      <c r="Q177" s="133"/>
      <c r="R177" s="133"/>
      <c r="S177" s="133"/>
    </row>
    <row r="178" spans="4:19" ht="13.15" customHeight="1" x14ac:dyDescent="0.35">
      <c r="D178" s="37"/>
      <c r="K178" s="48"/>
      <c r="L178" s="48"/>
      <c r="M178" s="48"/>
      <c r="N178" s="133"/>
      <c r="O178" s="133"/>
      <c r="P178" s="133"/>
      <c r="Q178" s="133"/>
      <c r="R178" s="133"/>
      <c r="S178" s="133"/>
    </row>
    <row r="179" spans="4:19" ht="13.15" customHeight="1" x14ac:dyDescent="0.35">
      <c r="D179" s="37"/>
      <c r="K179" s="48"/>
      <c r="L179" s="48"/>
      <c r="M179" s="48"/>
      <c r="N179" s="133"/>
      <c r="O179" s="133"/>
      <c r="P179" s="133"/>
      <c r="Q179" s="133"/>
      <c r="R179" s="133"/>
      <c r="S179" s="133"/>
    </row>
    <row r="180" spans="4:19" ht="13.15" customHeight="1" x14ac:dyDescent="0.35">
      <c r="D180" s="37"/>
      <c r="K180" s="48"/>
      <c r="L180" s="48"/>
      <c r="M180" s="48"/>
      <c r="N180" s="133"/>
      <c r="O180" s="133"/>
      <c r="P180" s="133"/>
      <c r="Q180" s="133"/>
      <c r="R180" s="133"/>
      <c r="S180" s="133"/>
    </row>
    <row r="181" spans="4:19" ht="13.15" customHeight="1" x14ac:dyDescent="0.35">
      <c r="D181" s="37"/>
      <c r="K181" s="48"/>
      <c r="L181" s="48"/>
      <c r="M181" s="48"/>
      <c r="N181" s="133"/>
      <c r="O181" s="133"/>
      <c r="P181" s="133"/>
      <c r="Q181" s="133"/>
      <c r="R181" s="133"/>
      <c r="S181" s="133"/>
    </row>
    <row r="182" spans="4:19" ht="13.15" customHeight="1" x14ac:dyDescent="0.35">
      <c r="D182" s="37"/>
      <c r="K182" s="48"/>
      <c r="L182" s="48"/>
      <c r="M182" s="48"/>
      <c r="N182" s="133"/>
      <c r="O182" s="133"/>
      <c r="P182" s="133"/>
      <c r="Q182" s="133"/>
      <c r="R182" s="133"/>
      <c r="S182" s="133"/>
    </row>
    <row r="183" spans="4:19" ht="13.15" customHeight="1" x14ac:dyDescent="0.35">
      <c r="D183" s="37"/>
      <c r="K183" s="48"/>
      <c r="L183" s="48"/>
      <c r="M183" s="48"/>
      <c r="N183" s="133"/>
      <c r="O183" s="133"/>
      <c r="P183" s="133"/>
      <c r="Q183" s="133"/>
      <c r="R183" s="133"/>
      <c r="S183" s="133"/>
    </row>
    <row r="184" spans="4:19" ht="13.15" customHeight="1" x14ac:dyDescent="0.35">
      <c r="D184" s="37"/>
      <c r="K184" s="48"/>
      <c r="L184" s="48"/>
      <c r="M184" s="48"/>
      <c r="N184" s="133"/>
      <c r="O184" s="133"/>
      <c r="P184" s="133"/>
      <c r="Q184" s="133"/>
      <c r="R184" s="133"/>
      <c r="S184" s="133"/>
    </row>
    <row r="185" spans="4:19" ht="13.15" customHeight="1" x14ac:dyDescent="0.35">
      <c r="D185" s="37"/>
      <c r="K185" s="48"/>
      <c r="L185" s="48"/>
      <c r="M185" s="48"/>
      <c r="N185" s="133"/>
      <c r="O185" s="133"/>
      <c r="P185" s="133"/>
      <c r="Q185" s="133"/>
      <c r="R185" s="133"/>
      <c r="S185" s="133"/>
    </row>
    <row r="186" spans="4:19" ht="13.15" customHeight="1" x14ac:dyDescent="0.35">
      <c r="D186" s="37"/>
      <c r="K186" s="48"/>
      <c r="L186" s="48"/>
      <c r="M186" s="48"/>
      <c r="N186" s="133"/>
      <c r="O186" s="133"/>
      <c r="P186" s="133"/>
      <c r="Q186" s="133"/>
      <c r="R186" s="133"/>
      <c r="S186" s="133"/>
    </row>
    <row r="187" spans="4:19" ht="13.15" customHeight="1" x14ac:dyDescent="0.35">
      <c r="D187" s="37"/>
      <c r="K187" s="48"/>
      <c r="L187" s="48"/>
      <c r="M187" s="48"/>
      <c r="N187" s="133"/>
      <c r="O187" s="133"/>
      <c r="P187" s="133"/>
      <c r="Q187" s="133"/>
      <c r="R187" s="133"/>
      <c r="S187" s="133"/>
    </row>
    <row r="188" spans="4:19" ht="13.15" customHeight="1" x14ac:dyDescent="0.35">
      <c r="D188" s="37"/>
      <c r="K188" s="48"/>
      <c r="L188" s="48"/>
      <c r="M188" s="48"/>
      <c r="N188" s="133"/>
      <c r="O188" s="133"/>
      <c r="P188" s="133"/>
      <c r="Q188" s="133"/>
      <c r="R188" s="133"/>
      <c r="S188" s="133"/>
    </row>
    <row r="189" spans="4:19" ht="13.15" customHeight="1" x14ac:dyDescent="0.35">
      <c r="D189" s="37"/>
      <c r="K189" s="48"/>
      <c r="L189" s="48"/>
      <c r="M189" s="48"/>
      <c r="N189" s="133"/>
      <c r="O189" s="133"/>
      <c r="P189" s="133"/>
      <c r="Q189" s="133"/>
      <c r="R189" s="133"/>
      <c r="S189" s="133"/>
    </row>
    <row r="190" spans="4:19" x14ac:dyDescent="0.35">
      <c r="K190" s="48"/>
      <c r="L190" s="48"/>
      <c r="M190" s="48"/>
      <c r="N190" s="133"/>
      <c r="O190" s="133"/>
      <c r="P190" s="133"/>
      <c r="Q190" s="133"/>
      <c r="R190" s="133"/>
      <c r="S190" s="133"/>
    </row>
    <row r="191" spans="4:19" x14ac:dyDescent="0.35">
      <c r="K191" s="48"/>
      <c r="L191" s="48"/>
      <c r="M191" s="48"/>
    </row>
  </sheetData>
  <dataValidations disablePrompts="1" count="1">
    <dataValidation allowBlank="1" showInputMessage="1" showErrorMessage="1" promptTitle="Beschreibung" prompt="Kurzbeschreibung oder Definition zur fachlichen Erläuterung eines Objekts" sqref="H66 L53" xr:uid="{00000000-0002-0000-0100-000000000000}"/>
  </dataValidations>
  <pageMargins left="0.7" right="0.7" top="0.78740157499999996" bottom="0.78740157499999996" header="0.3" footer="0.3"/>
  <headerFooter>
    <oddFooter>&amp;L&amp;"Arial"&amp;7 &amp;K000000_x000D_# C2 - Intern_x000D_&amp;1#&amp;"Arial"&amp;7 &amp;K000000 C2 - Intern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workbookViewId="0">
      <pane ySplit="2" topLeftCell="A3" activePane="bottomLeft" state="frozen"/>
      <selection pane="bottomLeft" activeCell="B49" sqref="B49"/>
    </sheetView>
  </sheetViews>
  <sheetFormatPr baseColWidth="10" defaultColWidth="9.1796875" defaultRowHeight="14.5" x14ac:dyDescent="0.35"/>
  <cols>
    <col min="1" max="1" width="61.54296875" bestFit="1" customWidth="1"/>
    <col min="2" max="2" width="96.26953125" bestFit="1" customWidth="1"/>
    <col min="3" max="3" width="20.81640625" bestFit="1" customWidth="1"/>
    <col min="4" max="4" width="116.453125" bestFit="1" customWidth="1"/>
  </cols>
  <sheetData>
    <row r="1" spans="1:4" ht="15.75" customHeight="1" x14ac:dyDescent="0.35">
      <c r="A1" s="197" t="s">
        <v>788</v>
      </c>
      <c r="B1" s="198"/>
      <c r="C1" s="198"/>
      <c r="D1" s="198"/>
    </row>
    <row r="2" spans="1:4" x14ac:dyDescent="0.35">
      <c r="A2" s="199" t="s">
        <v>789</v>
      </c>
      <c r="B2" s="199" t="s">
        <v>790</v>
      </c>
      <c r="C2" s="200" t="s">
        <v>791</v>
      </c>
      <c r="D2" s="200" t="s">
        <v>792</v>
      </c>
    </row>
    <row r="3" spans="1:4" x14ac:dyDescent="0.35">
      <c r="A3" s="241" t="s">
        <v>793</v>
      </c>
      <c r="B3" s="240"/>
      <c r="C3" s="240"/>
      <c r="D3" s="240"/>
    </row>
    <row r="4" spans="1:4" ht="39.5" x14ac:dyDescent="0.35">
      <c r="A4" s="201" t="s">
        <v>794</v>
      </c>
      <c r="B4" s="182" t="s">
        <v>63</v>
      </c>
      <c r="C4" s="201" t="s">
        <v>795</v>
      </c>
      <c r="D4" s="198" t="s">
        <v>796</v>
      </c>
    </row>
    <row r="5" spans="1:4" x14ac:dyDescent="0.35">
      <c r="A5" s="201" t="s">
        <v>797</v>
      </c>
      <c r="B5" s="198"/>
      <c r="C5" s="201" t="s">
        <v>798</v>
      </c>
      <c r="D5" s="198" t="s">
        <v>799</v>
      </c>
    </row>
    <row r="6" spans="1:4" x14ac:dyDescent="0.35">
      <c r="A6" s="201" t="s">
        <v>800</v>
      </c>
      <c r="B6" s="182" t="s">
        <v>801</v>
      </c>
      <c r="C6" s="201" t="s">
        <v>802</v>
      </c>
      <c r="D6" s="198" t="s">
        <v>803</v>
      </c>
    </row>
    <row r="7" spans="1:4" x14ac:dyDescent="0.35">
      <c r="A7" s="201" t="s">
        <v>804</v>
      </c>
      <c r="B7" s="182" t="s">
        <v>805</v>
      </c>
      <c r="C7" s="201" t="s">
        <v>806</v>
      </c>
      <c r="D7" s="198" t="s">
        <v>807</v>
      </c>
    </row>
    <row r="8" spans="1:4" x14ac:dyDescent="0.35">
      <c r="A8" s="201" t="s">
        <v>808</v>
      </c>
      <c r="B8" s="182" t="s">
        <v>809</v>
      </c>
      <c r="C8" s="201" t="s">
        <v>806</v>
      </c>
      <c r="D8" s="198" t="s">
        <v>810</v>
      </c>
    </row>
    <row r="9" spans="1:4" x14ac:dyDescent="0.35">
      <c r="A9" t="s">
        <v>811</v>
      </c>
    </row>
    <row r="10" spans="1:4" x14ac:dyDescent="0.35">
      <c r="A10" s="201" t="s">
        <v>812</v>
      </c>
      <c r="B10" s="182" t="s">
        <v>813</v>
      </c>
      <c r="C10" s="201" t="s">
        <v>802</v>
      </c>
      <c r="D10" s="198" t="s">
        <v>814</v>
      </c>
    </row>
    <row r="11" spans="1:4" x14ac:dyDescent="0.35">
      <c r="A11" s="201" t="s">
        <v>815</v>
      </c>
      <c r="B11" s="198"/>
      <c r="C11" s="201" t="s">
        <v>798</v>
      </c>
      <c r="D11" s="198" t="s">
        <v>816</v>
      </c>
    </row>
    <row r="12" spans="1:4" x14ac:dyDescent="0.35">
      <c r="A12" s="240"/>
      <c r="B12" s="240"/>
      <c r="C12" s="240"/>
      <c r="D12" s="240"/>
    </row>
    <row r="13" spans="1:4" x14ac:dyDescent="0.35">
      <c r="A13" s="208" t="s">
        <v>817</v>
      </c>
    </row>
    <row r="14" spans="1:4" x14ac:dyDescent="0.35">
      <c r="A14" s="201" t="s">
        <v>818</v>
      </c>
      <c r="B14" s="207" t="s">
        <v>61</v>
      </c>
      <c r="C14" s="201" t="s">
        <v>802</v>
      </c>
      <c r="D14" s="198" t="s">
        <v>819</v>
      </c>
    </row>
    <row r="15" spans="1:4" x14ac:dyDescent="0.35">
      <c r="C15" s="198"/>
      <c r="D15" s="198"/>
    </row>
    <row r="16" spans="1:4" x14ac:dyDescent="0.35">
      <c r="A16" s="202" t="s">
        <v>820</v>
      </c>
      <c r="B16" s="203"/>
      <c r="C16" s="203"/>
      <c r="D16" s="204"/>
    </row>
    <row r="17" spans="1:4" x14ac:dyDescent="0.35">
      <c r="A17" s="205" t="s">
        <v>821</v>
      </c>
      <c r="B17" s="205" t="s">
        <v>822</v>
      </c>
      <c r="C17" s="198"/>
      <c r="D17" s="198"/>
    </row>
    <row r="18" spans="1:4" x14ac:dyDescent="0.35">
      <c r="A18" s="205" t="s">
        <v>823</v>
      </c>
      <c r="B18" s="205" t="s">
        <v>824</v>
      </c>
      <c r="C18" s="198"/>
      <c r="D18" s="198"/>
    </row>
  </sheetData>
  <mergeCells count="2">
    <mergeCell ref="A12:D12"/>
    <mergeCell ref="A3:D3"/>
  </mergeCells>
  <dataValidations count="1">
    <dataValidation type="list" allowBlank="1" errorTitle="Invalid LifecycleStatus" error="Please choose a value from the LifecycleStatus list." promptTitle="LifecycleStatus" prompt="Choose an allowed LifecycleStatus value." sqref="B13" xr:uid="{00000000-0002-0000-0200-000000000000}">
      <formula1>LifecycleStatus</formula1>
    </dataValidation>
  </dataValidations>
  <pageMargins left="0.75" right="0.75" top="1" bottom="1" header="0.5" footer="0.5"/>
  <headerFooter>
    <oddFooter>&amp;L&amp;"Arial"&amp;7 &amp;K000000_x000D_# C2 - Intern_x000D_&amp;1#&amp;"Arial"&amp;7 &amp;K000000 C2 - Intern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9"/>
  <sheetViews>
    <sheetView workbookViewId="0">
      <pane ySplit="2" topLeftCell="A3" activePane="bottomLeft" state="frozen"/>
      <selection pane="bottomLeft" activeCell="A49" sqref="A49"/>
    </sheetView>
  </sheetViews>
  <sheetFormatPr baseColWidth="10" defaultColWidth="9.1796875" defaultRowHeight="14.5" x14ac:dyDescent="0.35"/>
  <cols>
    <col min="1" max="1" width="70.26953125" bestFit="1" customWidth="1"/>
    <col min="2" max="2" width="146.7265625" bestFit="1" customWidth="1"/>
    <col min="3" max="3" width="22.81640625" bestFit="1" customWidth="1"/>
    <col min="4" max="4" width="57.26953125" bestFit="1" customWidth="1"/>
  </cols>
  <sheetData>
    <row r="1" spans="1:4" ht="15.75" customHeight="1" x14ac:dyDescent="0.35">
      <c r="A1" s="197" t="s">
        <v>825</v>
      </c>
      <c r="B1" s="198"/>
      <c r="C1" s="198"/>
      <c r="D1" s="198"/>
    </row>
    <row r="2" spans="1:4" x14ac:dyDescent="0.35">
      <c r="A2" s="199" t="s">
        <v>789</v>
      </c>
      <c r="B2" s="199" t="s">
        <v>790</v>
      </c>
      <c r="C2" s="200" t="s">
        <v>791</v>
      </c>
      <c r="D2" s="200" t="s">
        <v>792</v>
      </c>
    </row>
    <row r="3" spans="1:4" x14ac:dyDescent="0.35">
      <c r="A3" s="242" t="s">
        <v>826</v>
      </c>
      <c r="B3" s="240"/>
      <c r="C3" s="240"/>
      <c r="D3" s="240"/>
    </row>
    <row r="4" spans="1:4" x14ac:dyDescent="0.35">
      <c r="A4" s="201" t="s">
        <v>827</v>
      </c>
      <c r="B4" s="198"/>
      <c r="C4" s="198" t="s">
        <v>828</v>
      </c>
      <c r="D4" s="198" t="s">
        <v>829</v>
      </c>
    </row>
    <row r="5" spans="1:4" x14ac:dyDescent="0.35">
      <c r="A5" s="201" t="s">
        <v>830</v>
      </c>
      <c r="B5" s="198"/>
      <c r="C5" s="198" t="s">
        <v>828</v>
      </c>
      <c r="D5" s="198" t="s">
        <v>831</v>
      </c>
    </row>
    <row r="6" spans="1:4" x14ac:dyDescent="0.35">
      <c r="A6" s="201" t="s">
        <v>832</v>
      </c>
      <c r="B6" s="198"/>
      <c r="C6" s="198" t="s">
        <v>828</v>
      </c>
      <c r="D6" s="198" t="s">
        <v>833</v>
      </c>
    </row>
    <row r="7" spans="1:4" x14ac:dyDescent="0.35">
      <c r="A7" s="201" t="s">
        <v>16</v>
      </c>
      <c r="B7" s="198"/>
      <c r="C7" s="198" t="s">
        <v>806</v>
      </c>
      <c r="D7" s="198" t="s">
        <v>834</v>
      </c>
    </row>
    <row r="8" spans="1:4" x14ac:dyDescent="0.35">
      <c r="A8" s="201" t="s">
        <v>14</v>
      </c>
      <c r="B8" s="198"/>
      <c r="C8" s="198" t="s">
        <v>806</v>
      </c>
      <c r="D8" s="198" t="s">
        <v>835</v>
      </c>
    </row>
    <row r="9" spans="1:4" x14ac:dyDescent="0.35">
      <c r="A9" s="201" t="s">
        <v>836</v>
      </c>
      <c r="B9" s="198"/>
      <c r="C9" s="198" t="s">
        <v>828</v>
      </c>
      <c r="D9" s="198" t="s">
        <v>837</v>
      </c>
    </row>
    <row r="10" spans="1:4" x14ac:dyDescent="0.35">
      <c r="A10" s="201" t="s">
        <v>838</v>
      </c>
      <c r="B10" s="198"/>
      <c r="C10" s="198" t="s">
        <v>806</v>
      </c>
      <c r="D10" s="198" t="s">
        <v>839</v>
      </c>
    </row>
    <row r="11" spans="1:4" x14ac:dyDescent="0.35">
      <c r="A11" s="201" t="s">
        <v>840</v>
      </c>
      <c r="B11" s="198"/>
      <c r="C11" s="198" t="s">
        <v>806</v>
      </c>
      <c r="D11" s="198" t="s">
        <v>841</v>
      </c>
    </row>
    <row r="12" spans="1:4" x14ac:dyDescent="0.35">
      <c r="A12" s="201" t="s">
        <v>842</v>
      </c>
      <c r="B12" s="198"/>
      <c r="C12" s="198" t="s">
        <v>806</v>
      </c>
    </row>
    <row r="13" spans="1:4" x14ac:dyDescent="0.35">
      <c r="A13" s="201" t="s">
        <v>843</v>
      </c>
      <c r="B13" s="198"/>
      <c r="C13" s="198" t="s">
        <v>806</v>
      </c>
    </row>
    <row r="14" spans="1:4" x14ac:dyDescent="0.35">
      <c r="A14" s="201" t="s">
        <v>844</v>
      </c>
      <c r="B14" s="198"/>
      <c r="C14" s="198" t="s">
        <v>806</v>
      </c>
    </row>
    <row r="15" spans="1:4" x14ac:dyDescent="0.35">
      <c r="A15" s="198"/>
      <c r="B15" s="198"/>
      <c r="C15" s="198"/>
    </row>
    <row r="16" spans="1:4" x14ac:dyDescent="0.35">
      <c r="A16" s="241" t="s">
        <v>845</v>
      </c>
      <c r="B16" s="240"/>
      <c r="C16" s="240"/>
      <c r="D16" s="240"/>
    </row>
    <row r="17" spans="1:4" x14ac:dyDescent="0.35">
      <c r="A17" s="201" t="s">
        <v>846</v>
      </c>
      <c r="B17" s="198"/>
      <c r="C17" s="198" t="s">
        <v>806</v>
      </c>
      <c r="D17" s="198" t="s">
        <v>847</v>
      </c>
    </row>
    <row r="18" spans="1:4" x14ac:dyDescent="0.35">
      <c r="A18" s="201" t="s">
        <v>848</v>
      </c>
      <c r="B18" s="198"/>
      <c r="C18" s="198" t="s">
        <v>806</v>
      </c>
      <c r="D18" s="198" t="s">
        <v>849</v>
      </c>
    </row>
    <row r="19" spans="1:4" x14ac:dyDescent="0.35">
      <c r="A19" s="201" t="s">
        <v>850</v>
      </c>
      <c r="B19" s="198"/>
      <c r="C19" s="198" t="s">
        <v>806</v>
      </c>
      <c r="D19" s="198" t="s">
        <v>851</v>
      </c>
    </row>
    <row r="20" spans="1:4" x14ac:dyDescent="0.35">
      <c r="A20" s="201" t="s">
        <v>852</v>
      </c>
      <c r="B20" s="198"/>
      <c r="C20" s="198" t="s">
        <v>806</v>
      </c>
      <c r="D20" s="198" t="s">
        <v>853</v>
      </c>
    </row>
    <row r="21" spans="1:4" x14ac:dyDescent="0.35">
      <c r="A21" s="201" t="s">
        <v>854</v>
      </c>
      <c r="B21" s="198"/>
      <c r="C21" s="198" t="s">
        <v>806</v>
      </c>
      <c r="D21" s="198" t="s">
        <v>855</v>
      </c>
    </row>
    <row r="22" spans="1:4" x14ac:dyDescent="0.35">
      <c r="A22" s="201" t="s">
        <v>856</v>
      </c>
      <c r="B22" s="198"/>
      <c r="C22" s="198" t="s">
        <v>806</v>
      </c>
      <c r="D22" s="198" t="s">
        <v>857</v>
      </c>
    </row>
    <row r="23" spans="1:4" x14ac:dyDescent="0.35">
      <c r="A23" s="201" t="s">
        <v>858</v>
      </c>
      <c r="B23" s="198"/>
      <c r="C23" s="198" t="s">
        <v>806</v>
      </c>
      <c r="D23" s="198" t="s">
        <v>859</v>
      </c>
    </row>
    <row r="24" spans="1:4" x14ac:dyDescent="0.35">
      <c r="A24" s="201" t="s">
        <v>860</v>
      </c>
      <c r="B24" s="198"/>
      <c r="C24" s="198" t="s">
        <v>806</v>
      </c>
      <c r="D24" s="198" t="s">
        <v>861</v>
      </c>
    </row>
    <row r="25" spans="1:4" x14ac:dyDescent="0.35">
      <c r="A25" s="201" t="s">
        <v>862</v>
      </c>
      <c r="B25" s="198"/>
      <c r="C25" s="198" t="s">
        <v>806</v>
      </c>
      <c r="D25" s="198" t="s">
        <v>863</v>
      </c>
    </row>
    <row r="26" spans="1:4" x14ac:dyDescent="0.35">
      <c r="A26" s="201" t="s">
        <v>864</v>
      </c>
      <c r="B26" s="198"/>
      <c r="C26" s="198" t="s">
        <v>806</v>
      </c>
      <c r="D26" s="198" t="s">
        <v>865</v>
      </c>
    </row>
    <row r="27" spans="1:4" x14ac:dyDescent="0.35">
      <c r="A27" s="198"/>
      <c r="B27" s="198"/>
      <c r="C27" s="198"/>
      <c r="D27" s="198"/>
    </row>
    <row r="28" spans="1:4" x14ac:dyDescent="0.35">
      <c r="A28" s="241" t="s">
        <v>866</v>
      </c>
      <c r="B28" s="240"/>
      <c r="C28" s="240"/>
      <c r="D28" s="240"/>
    </row>
    <row r="29" spans="1:4" x14ac:dyDescent="0.35">
      <c r="A29" s="201" t="s">
        <v>867</v>
      </c>
      <c r="B29" s="198"/>
      <c r="C29" s="198" t="s">
        <v>806</v>
      </c>
      <c r="D29" s="198" t="s">
        <v>868</v>
      </c>
    </row>
    <row r="30" spans="1:4" x14ac:dyDescent="0.35">
      <c r="A30" s="201" t="s">
        <v>869</v>
      </c>
      <c r="B30" s="198"/>
      <c r="C30" s="198" t="s">
        <v>806</v>
      </c>
      <c r="D30" s="198" t="s">
        <v>870</v>
      </c>
    </row>
    <row r="31" spans="1:4" x14ac:dyDescent="0.35">
      <c r="A31" s="198"/>
      <c r="B31" s="198"/>
      <c r="C31" s="198"/>
      <c r="D31" s="198"/>
    </row>
    <row r="32" spans="1:4" x14ac:dyDescent="0.35">
      <c r="A32" s="241" t="s">
        <v>871</v>
      </c>
      <c r="B32" s="240"/>
      <c r="C32" s="240"/>
      <c r="D32" s="240"/>
    </row>
    <row r="33" spans="1:4" x14ac:dyDescent="0.35">
      <c r="A33" s="201" t="s">
        <v>872</v>
      </c>
      <c r="B33" s="198"/>
      <c r="C33" s="198" t="s">
        <v>806</v>
      </c>
      <c r="D33" s="198" t="s">
        <v>873</v>
      </c>
    </row>
    <row r="34" spans="1:4" x14ac:dyDescent="0.35">
      <c r="A34" s="201" t="s">
        <v>874</v>
      </c>
      <c r="B34" s="198"/>
      <c r="C34" s="198" t="s">
        <v>806</v>
      </c>
      <c r="D34" s="198" t="s">
        <v>875</v>
      </c>
    </row>
    <row r="35" spans="1:4" x14ac:dyDescent="0.35">
      <c r="A35" s="201" t="s">
        <v>876</v>
      </c>
      <c r="B35" s="198"/>
      <c r="C35" s="198" t="s">
        <v>806</v>
      </c>
      <c r="D35" s="198" t="s">
        <v>877</v>
      </c>
    </row>
    <row r="36" spans="1:4" x14ac:dyDescent="0.35">
      <c r="A36" s="201" t="s">
        <v>878</v>
      </c>
      <c r="B36" s="198"/>
      <c r="C36" s="198" t="s">
        <v>806</v>
      </c>
      <c r="D36" s="198" t="s">
        <v>879</v>
      </c>
    </row>
    <row r="37" spans="1:4" x14ac:dyDescent="0.35">
      <c r="A37" s="198"/>
      <c r="B37" s="198"/>
      <c r="C37" s="198"/>
      <c r="D37" s="198"/>
    </row>
    <row r="38" spans="1:4" x14ac:dyDescent="0.35">
      <c r="A38" s="241" t="s">
        <v>880</v>
      </c>
      <c r="B38" s="240"/>
      <c r="C38" s="240"/>
      <c r="D38" s="240"/>
    </row>
    <row r="39" spans="1:4" x14ac:dyDescent="0.35">
      <c r="A39" s="201" t="s">
        <v>881</v>
      </c>
      <c r="B39" s="198"/>
      <c r="C39" s="198" t="s">
        <v>806</v>
      </c>
      <c r="D39" s="198" t="s">
        <v>882</v>
      </c>
    </row>
    <row r="40" spans="1:4" x14ac:dyDescent="0.35">
      <c r="A40" s="201" t="s">
        <v>883</v>
      </c>
      <c r="B40" s="198"/>
      <c r="C40" s="198" t="s">
        <v>806</v>
      </c>
    </row>
    <row r="41" spans="1:4" x14ac:dyDescent="0.35">
      <c r="A41" s="201" t="s">
        <v>884</v>
      </c>
      <c r="B41" s="198"/>
      <c r="C41" s="198" t="s">
        <v>806</v>
      </c>
    </row>
    <row r="42" spans="1:4" x14ac:dyDescent="0.35">
      <c r="A42" s="201" t="s">
        <v>885</v>
      </c>
      <c r="B42" s="198"/>
      <c r="C42" s="198" t="s">
        <v>806</v>
      </c>
    </row>
    <row r="43" spans="1:4" x14ac:dyDescent="0.35">
      <c r="A43" s="201" t="s">
        <v>886</v>
      </c>
      <c r="B43" s="198"/>
      <c r="C43" s="198" t="s">
        <v>806</v>
      </c>
    </row>
    <row r="44" spans="1:4" x14ac:dyDescent="0.35">
      <c r="A44" s="201" t="s">
        <v>887</v>
      </c>
      <c r="B44" s="198"/>
      <c r="C44" s="198" t="s">
        <v>806</v>
      </c>
    </row>
    <row r="45" spans="1:4" x14ac:dyDescent="0.35">
      <c r="A45" s="198"/>
      <c r="B45" s="198"/>
      <c r="C45" s="198"/>
    </row>
    <row r="46" spans="1:4" x14ac:dyDescent="0.35">
      <c r="A46" s="198"/>
      <c r="B46" s="198"/>
      <c r="C46" s="198"/>
    </row>
    <row r="47" spans="1:4" x14ac:dyDescent="0.35">
      <c r="B47" s="198"/>
      <c r="C47" s="198"/>
    </row>
    <row r="48" spans="1:4" x14ac:dyDescent="0.35">
      <c r="B48" s="198"/>
      <c r="C48" s="198"/>
    </row>
    <row r="49" spans="2:4" x14ac:dyDescent="0.35">
      <c r="B49" s="198"/>
      <c r="C49" s="198"/>
      <c r="D49" s="198"/>
    </row>
  </sheetData>
  <mergeCells count="5">
    <mergeCell ref="A3:D3"/>
    <mergeCell ref="A38:D38"/>
    <mergeCell ref="A16:D16"/>
    <mergeCell ref="A28:D28"/>
    <mergeCell ref="A32:D32"/>
  </mergeCells>
  <pageMargins left="0.75" right="0.75" top="1" bottom="1" header="0.5" footer="0.5"/>
  <headerFooter>
    <oddFooter>&amp;L&amp;"Arial"&amp;7 &amp;K000000_x000D_# C2 - Intern_x000D_&amp;1#&amp;"Arial"&amp;7 &amp;K000000 C2 - Intern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
    <pageSetUpPr fitToPage="1"/>
  </sheetPr>
  <dimension ref="A1:AI25"/>
  <sheetViews>
    <sheetView showGridLines="0" topLeftCell="H1" zoomScale="109" zoomScaleNormal="100" workbookViewId="0">
      <pane ySplit="3" topLeftCell="A4" activePane="bottomLeft" state="frozen"/>
      <selection pane="bottomLeft" activeCell="P21" sqref="P21"/>
    </sheetView>
  </sheetViews>
  <sheetFormatPr baseColWidth="10" defaultColWidth="11.54296875" defaultRowHeight="14.5" outlineLevelCol="1" x14ac:dyDescent="0.35"/>
  <cols>
    <col min="1" max="1" width="3.7265625" style="123" customWidth="1"/>
    <col min="2" max="2" width="25.7265625" style="50" customWidth="1" outlineLevel="1"/>
    <col min="3" max="3" width="3.7265625" style="123" customWidth="1"/>
    <col min="4" max="6" width="20.7265625" style="64" customWidth="1" outlineLevel="1"/>
    <col min="7" max="7" width="3.7265625" style="123" customWidth="1"/>
    <col min="8" max="8" width="38.81640625" style="64" bestFit="1" customWidth="1" outlineLevel="1"/>
    <col min="9" max="10" width="20.7265625" style="64" customWidth="1" outlineLevel="1"/>
    <col min="11" max="11" width="30.1796875" customWidth="1"/>
    <col min="12" max="12" width="19.36328125" bestFit="1" customWidth="1"/>
    <col min="13" max="13" width="19.90625" style="64" bestFit="1" customWidth="1" outlineLevel="1"/>
    <col min="14" max="14" width="24.36328125" bestFit="1" customWidth="1"/>
    <col min="15" max="15" width="13.54296875" style="123" customWidth="1"/>
    <col min="16" max="16" width="32.1796875" style="65" customWidth="1" outlineLevel="1"/>
    <col min="17" max="18" width="20.7265625" style="65" customWidth="1" outlineLevel="1"/>
    <col min="19" max="19" width="13" customWidth="1"/>
    <col min="20" max="20" width="20.7265625" style="65" customWidth="1" outlineLevel="1"/>
    <col min="21" max="21" width="18.1796875" style="123" customWidth="1"/>
    <col min="22" max="22" width="15.81640625" style="50" customWidth="1" outlineLevel="1"/>
    <col min="23" max="23" width="25.7265625" style="50" customWidth="1" outlineLevel="1"/>
    <col min="24" max="24" width="15.81640625" style="50" customWidth="1" outlineLevel="1"/>
    <col min="25" max="25" width="10" style="123" customWidth="1"/>
    <col min="26" max="26" width="15.81640625" style="50" customWidth="1" outlineLevel="1"/>
    <col min="27" max="31" width="11.54296875" style="50" customWidth="1"/>
    <col min="32" max="32" width="20.54296875" style="50" bestFit="1" customWidth="1"/>
    <col min="33" max="36" width="11.54296875" style="50" customWidth="1"/>
    <col min="37" max="16384" width="11.54296875" style="50"/>
  </cols>
  <sheetData>
    <row r="1" spans="1:35" s="60" customFormat="1" ht="120" customHeight="1" x14ac:dyDescent="0.35">
      <c r="A1" s="103" t="s">
        <v>0</v>
      </c>
      <c r="B1" s="90" t="s">
        <v>1</v>
      </c>
      <c r="C1" s="124" t="s">
        <v>888</v>
      </c>
      <c r="D1" s="90" t="s">
        <v>889</v>
      </c>
      <c r="E1" s="90" t="s">
        <v>890</v>
      </c>
      <c r="F1" s="90" t="s">
        <v>891</v>
      </c>
      <c r="G1" s="170" t="s">
        <v>892</v>
      </c>
      <c r="H1" s="90" t="s">
        <v>3</v>
      </c>
      <c r="I1" s="90" t="s">
        <v>893</v>
      </c>
      <c r="J1" s="90" t="s">
        <v>894</v>
      </c>
      <c r="K1" s="90" t="s">
        <v>895</v>
      </c>
      <c r="L1" s="90" t="s">
        <v>896</v>
      </c>
      <c r="M1" s="90" t="s">
        <v>897</v>
      </c>
      <c r="N1" s="90" t="s">
        <v>898</v>
      </c>
      <c r="O1" s="90" t="s">
        <v>10</v>
      </c>
      <c r="P1" s="90" t="s">
        <v>11</v>
      </c>
      <c r="Q1" s="90" t="s">
        <v>12</v>
      </c>
      <c r="R1" s="90" t="s">
        <v>13</v>
      </c>
      <c r="S1" s="90" t="s">
        <v>14</v>
      </c>
      <c r="T1" s="90" t="s">
        <v>15</v>
      </c>
      <c r="U1" s="90" t="s">
        <v>16</v>
      </c>
      <c r="V1" s="90" t="s">
        <v>17</v>
      </c>
      <c r="W1" s="171" t="s">
        <v>21</v>
      </c>
      <c r="X1" s="90" t="s">
        <v>22</v>
      </c>
      <c r="Y1" s="90" t="s">
        <v>703</v>
      </c>
      <c r="Z1" s="90" t="s">
        <v>717</v>
      </c>
      <c r="AA1" s="90" t="s">
        <v>704</v>
      </c>
      <c r="AB1" s="90" t="s">
        <v>705</v>
      </c>
      <c r="AC1" t="s">
        <v>899</v>
      </c>
      <c r="AD1" s="172" t="s">
        <v>30</v>
      </c>
      <c r="AE1" s="90" t="s">
        <v>31</v>
      </c>
      <c r="AF1" s="90" t="s">
        <v>32</v>
      </c>
      <c r="AG1" s="90" t="s">
        <v>33</v>
      </c>
      <c r="AH1" s="173" t="s">
        <v>900</v>
      </c>
      <c r="AI1" s="90" t="s">
        <v>901</v>
      </c>
    </row>
    <row r="2" spans="1:35" s="63" customFormat="1" ht="20.149999999999999" customHeight="1" x14ac:dyDescent="0.35">
      <c r="A2" s="99"/>
      <c r="B2" s="111" t="s">
        <v>34</v>
      </c>
      <c r="C2" s="99"/>
      <c r="D2" s="113"/>
      <c r="E2" s="67"/>
      <c r="F2" s="67"/>
      <c r="G2" s="99"/>
      <c r="H2" s="66"/>
      <c r="I2" s="67"/>
      <c r="J2" s="67"/>
      <c r="K2" s="66"/>
      <c r="L2" s="66"/>
      <c r="M2" s="66"/>
      <c r="N2" s="66"/>
      <c r="O2" s="66"/>
      <c r="P2" s="66"/>
      <c r="Q2" s="66"/>
      <c r="R2" s="66"/>
      <c r="S2" s="66"/>
      <c r="T2" s="66"/>
      <c r="U2" s="66"/>
      <c r="V2" s="66"/>
      <c r="W2" s="99"/>
      <c r="X2" s="66"/>
      <c r="Y2" s="66"/>
      <c r="Z2" s="66"/>
      <c r="AA2" s="66"/>
      <c r="AB2" s="66"/>
      <c r="AD2" s="99"/>
      <c r="AE2" s="108"/>
      <c r="AF2" s="67"/>
      <c r="AG2" s="66"/>
      <c r="AH2" s="99"/>
      <c r="AI2" s="108"/>
    </row>
    <row r="3" spans="1:35" s="89" customFormat="1" ht="11.25" customHeight="1" x14ac:dyDescent="0.35">
      <c r="A3" s="99"/>
      <c r="B3" s="111" t="s">
        <v>36</v>
      </c>
      <c r="C3" s="99"/>
      <c r="D3" s="113"/>
      <c r="E3" s="67"/>
      <c r="F3" s="67"/>
      <c r="G3" s="99"/>
      <c r="H3" s="66"/>
      <c r="I3" s="67"/>
      <c r="J3" s="67"/>
      <c r="K3" s="66"/>
      <c r="L3" s="66"/>
      <c r="M3" s="66"/>
      <c r="N3" s="66"/>
      <c r="O3" s="66"/>
      <c r="P3" s="66"/>
      <c r="Q3" s="66"/>
      <c r="R3" s="66"/>
      <c r="S3" s="66"/>
      <c r="T3" s="66"/>
      <c r="U3" s="66"/>
      <c r="V3" s="66"/>
      <c r="W3" s="99"/>
      <c r="X3" s="66"/>
      <c r="Y3" s="66"/>
      <c r="Z3" s="66"/>
      <c r="AA3" s="66"/>
      <c r="AB3" s="66"/>
      <c r="AD3" s="99"/>
      <c r="AE3" s="108"/>
      <c r="AF3" s="67"/>
      <c r="AG3" s="66"/>
      <c r="AH3" s="99"/>
      <c r="AI3" s="108"/>
    </row>
    <row r="4" spans="1:35" s="30" customFormat="1" ht="15" customHeight="1" x14ac:dyDescent="0.35">
      <c r="A4" s="99"/>
      <c r="B4" s="111" t="s">
        <v>37</v>
      </c>
      <c r="C4" s="99"/>
      <c r="D4" s="113" t="s">
        <v>38</v>
      </c>
      <c r="E4" s="67" t="s">
        <v>38</v>
      </c>
      <c r="F4" s="67" t="s">
        <v>38</v>
      </c>
      <c r="G4" s="99"/>
      <c r="H4" s="66" t="s">
        <v>38</v>
      </c>
      <c r="I4" s="67" t="s">
        <v>38</v>
      </c>
      <c r="J4" s="67" t="s">
        <v>38</v>
      </c>
      <c r="K4" s="66" t="s">
        <v>38</v>
      </c>
      <c r="L4" s="66" t="s">
        <v>39</v>
      </c>
      <c r="M4" s="66" t="s">
        <v>40</v>
      </c>
      <c r="N4" s="66" t="s">
        <v>41</v>
      </c>
      <c r="O4" s="66" t="s">
        <v>42</v>
      </c>
      <c r="P4" s="66" t="s">
        <v>39</v>
      </c>
      <c r="Q4" s="66" t="s">
        <v>40</v>
      </c>
      <c r="R4" s="66" t="s">
        <v>41</v>
      </c>
      <c r="S4" s="66" t="s">
        <v>42</v>
      </c>
      <c r="T4" s="66" t="s">
        <v>39</v>
      </c>
      <c r="U4" s="66" t="s">
        <v>40</v>
      </c>
      <c r="V4" s="66" t="s">
        <v>41</v>
      </c>
      <c r="W4" s="99"/>
      <c r="X4" s="66" t="s">
        <v>38</v>
      </c>
      <c r="Y4" s="66" t="s">
        <v>38</v>
      </c>
      <c r="Z4" s="66" t="s">
        <v>38</v>
      </c>
      <c r="AA4" s="66" t="s">
        <v>38</v>
      </c>
      <c r="AB4" s="66" t="s">
        <v>38</v>
      </c>
      <c r="AC4" t="s">
        <v>38</v>
      </c>
      <c r="AD4" s="99"/>
      <c r="AE4" s="109" t="s">
        <v>38</v>
      </c>
      <c r="AF4" s="66" t="s">
        <v>38</v>
      </c>
      <c r="AG4" s="66" t="s">
        <v>38</v>
      </c>
      <c r="AH4" s="99"/>
      <c r="AI4" s="109" t="s">
        <v>38</v>
      </c>
    </row>
    <row r="5" spans="1:35" s="30" customFormat="1" ht="15" customHeight="1" x14ac:dyDescent="0.35">
      <c r="A5" s="99"/>
      <c r="B5" s="111" t="s">
        <v>43</v>
      </c>
      <c r="C5" s="99"/>
      <c r="D5" s="113"/>
      <c r="E5" s="67"/>
      <c r="F5" s="67"/>
      <c r="G5" s="99"/>
      <c r="H5" s="66" t="s">
        <v>44</v>
      </c>
      <c r="I5" s="67" t="s">
        <v>45</v>
      </c>
      <c r="J5" s="67"/>
      <c r="K5" s="66"/>
      <c r="L5" s="66" t="s">
        <v>45</v>
      </c>
      <c r="M5" s="66" t="s">
        <v>45</v>
      </c>
      <c r="N5" s="66" t="s">
        <v>45</v>
      </c>
      <c r="O5" s="66"/>
      <c r="P5" s="66"/>
      <c r="Q5" s="66"/>
      <c r="R5" s="66"/>
      <c r="S5" s="66"/>
      <c r="T5" s="66"/>
      <c r="U5" s="66"/>
      <c r="V5" s="66"/>
      <c r="W5" s="99"/>
      <c r="X5" s="66" t="s">
        <v>44</v>
      </c>
      <c r="Y5" s="66" t="s">
        <v>44</v>
      </c>
      <c r="Z5" s="66" t="s">
        <v>44</v>
      </c>
      <c r="AA5" s="66" t="s">
        <v>44</v>
      </c>
      <c r="AB5" s="66" t="s">
        <v>44</v>
      </c>
      <c r="AC5" t="s">
        <v>44</v>
      </c>
      <c r="AD5" s="99"/>
      <c r="AE5" s="109" t="s">
        <v>44</v>
      </c>
      <c r="AF5" s="66" t="s">
        <v>44</v>
      </c>
      <c r="AG5" s="66" t="s">
        <v>44</v>
      </c>
      <c r="AH5" s="99"/>
      <c r="AI5" s="109" t="s">
        <v>44</v>
      </c>
    </row>
    <row r="6" spans="1:35" s="30" customFormat="1" ht="15" customHeight="1" x14ac:dyDescent="0.35">
      <c r="A6" s="99"/>
      <c r="B6" s="111" t="s">
        <v>46</v>
      </c>
      <c r="C6" s="99"/>
      <c r="D6" s="113"/>
      <c r="E6" s="67"/>
      <c r="F6" s="67"/>
      <c r="G6" s="99"/>
      <c r="H6" s="66"/>
      <c r="I6" s="67"/>
      <c r="J6" s="67"/>
      <c r="K6" s="66" t="s">
        <v>902</v>
      </c>
      <c r="L6" s="66" t="s">
        <v>903</v>
      </c>
      <c r="M6" s="66" t="s">
        <v>904</v>
      </c>
      <c r="N6" s="66" t="s">
        <v>905</v>
      </c>
      <c r="O6" s="66"/>
      <c r="P6" s="66"/>
      <c r="Q6" s="66"/>
      <c r="R6" s="66"/>
      <c r="S6" s="66"/>
      <c r="T6" s="66"/>
      <c r="U6" s="66"/>
      <c r="V6" s="66"/>
      <c r="W6" s="99"/>
      <c r="X6" s="66"/>
      <c r="Y6" s="66"/>
      <c r="Z6" s="66"/>
      <c r="AA6" s="66"/>
      <c r="AB6" s="66"/>
      <c r="AD6" s="99"/>
      <c r="AE6" s="108" t="s">
        <v>53</v>
      </c>
      <c r="AF6" s="67"/>
      <c r="AG6" s="110"/>
      <c r="AH6" s="99"/>
      <c r="AI6" s="108"/>
    </row>
    <row r="7" spans="1:35" s="179" customFormat="1" ht="87.5" x14ac:dyDescent="0.35">
      <c r="A7" s="125"/>
      <c r="B7" s="56"/>
      <c r="C7" s="125"/>
      <c r="D7" s="59"/>
      <c r="E7" s="57"/>
      <c r="F7" s="58"/>
      <c r="G7" s="125"/>
      <c r="H7" s="105" t="s">
        <v>906</v>
      </c>
      <c r="I7" s="52"/>
      <c r="J7" s="52" t="s">
        <v>907</v>
      </c>
      <c r="K7" s="58" t="s">
        <v>908</v>
      </c>
      <c r="L7" s="210" t="str">
        <f>IFERROR(INDEX(Rules!$B:$B,MATCH(K8,Rules!$A:$A,0)),"")</f>
        <v>Räumliche Struktur</v>
      </c>
      <c r="M7" s="210" t="str">
        <f>IFERROR(INDEX(Rules!$C:$C,MATCH(K8,Rules!$A:$A,0)),"")</f>
        <v>Structure spatiale</v>
      </c>
      <c r="N7" s="210" t="str">
        <f>IFERROR(INDEX(Rules!$D:$D,MATCH(K8,Rules!$A:$A,0)),"")</f>
        <v>Struttura spaziale</v>
      </c>
      <c r="O7" s="58" t="s">
        <v>909</v>
      </c>
      <c r="P7" s="58" t="s">
        <v>910</v>
      </c>
      <c r="Q7" s="58"/>
      <c r="R7" s="58"/>
      <c r="S7" s="59" t="s">
        <v>911</v>
      </c>
      <c r="T7" s="59" t="s">
        <v>912</v>
      </c>
      <c r="U7" s="59"/>
      <c r="V7" s="59"/>
      <c r="W7" s="125"/>
      <c r="X7" s="106" t="s">
        <v>913</v>
      </c>
      <c r="Y7" s="58" t="s">
        <v>914</v>
      </c>
      <c r="Z7" s="58" t="s">
        <v>914</v>
      </c>
      <c r="AA7" s="58"/>
      <c r="AB7" s="58"/>
      <c r="AD7" s="125"/>
      <c r="AE7" s="54" t="s">
        <v>61</v>
      </c>
      <c r="AF7" s="54" t="s">
        <v>62</v>
      </c>
      <c r="AG7" s="54" t="s">
        <v>63</v>
      </c>
      <c r="AH7" s="125"/>
      <c r="AI7" s="54" t="s">
        <v>915</v>
      </c>
    </row>
    <row r="8" spans="1:35" s="60" customFormat="1" ht="12.75" customHeight="1" x14ac:dyDescent="0.35">
      <c r="A8" s="125"/>
      <c r="B8" s="56"/>
      <c r="C8" s="125"/>
      <c r="D8" s="59"/>
      <c r="E8" s="57"/>
      <c r="F8" s="58"/>
      <c r="G8" s="125"/>
      <c r="H8" s="105" t="s">
        <v>916</v>
      </c>
      <c r="I8" s="52"/>
      <c r="J8" s="52" t="s">
        <v>917</v>
      </c>
      <c r="K8" s="58" t="s">
        <v>908</v>
      </c>
      <c r="L8" s="210" t="str">
        <f>IFERROR(INDEX(Rules!$B:$B,MATCH(K9,Rules!$A:$A,0)),"")</f>
        <v>Räumliche Struktur</v>
      </c>
      <c r="M8" s="210" t="str">
        <f>IFERROR(INDEX(Rules!$C:$C,MATCH(K9,Rules!$A:$A,0)),"")</f>
        <v>Structure spatiale</v>
      </c>
      <c r="N8" s="210" t="str">
        <f>IFERROR(INDEX(Rules!$D:$D,MATCH(K9,Rules!$A:$A,0)),"")</f>
        <v>Struttura spaziale</v>
      </c>
      <c r="O8" s="58" t="s">
        <v>918</v>
      </c>
      <c r="P8" s="58" t="s">
        <v>919</v>
      </c>
      <c r="Q8" s="58"/>
      <c r="R8" s="58"/>
      <c r="S8" s="59" t="s">
        <v>920</v>
      </c>
      <c r="T8" s="59" t="s">
        <v>921</v>
      </c>
      <c r="U8" s="59"/>
      <c r="V8" s="59"/>
      <c r="W8" s="125"/>
      <c r="X8" s="106" t="s">
        <v>922</v>
      </c>
      <c r="Y8" s="58" t="s">
        <v>923</v>
      </c>
      <c r="Z8" s="58" t="s">
        <v>923</v>
      </c>
      <c r="AA8" s="58"/>
      <c r="AB8" s="58"/>
      <c r="AD8" s="125"/>
      <c r="AE8" s="54" t="s">
        <v>61</v>
      </c>
      <c r="AF8" s="54" t="s">
        <v>62</v>
      </c>
      <c r="AG8" s="54" t="s">
        <v>63</v>
      </c>
      <c r="AH8" s="125"/>
      <c r="AI8" s="54" t="s">
        <v>915</v>
      </c>
    </row>
    <row r="9" spans="1:35" s="60" customFormat="1" ht="12.75" customHeight="1" x14ac:dyDescent="0.35">
      <c r="A9" s="125"/>
      <c r="B9" s="56"/>
      <c r="C9" s="125"/>
      <c r="D9" s="59"/>
      <c r="E9" s="57"/>
      <c r="F9" s="58"/>
      <c r="G9" s="125"/>
      <c r="H9" s="105" t="s">
        <v>924</v>
      </c>
      <c r="I9" s="52"/>
      <c r="J9" s="52" t="s">
        <v>925</v>
      </c>
      <c r="K9" s="58" t="s">
        <v>908</v>
      </c>
      <c r="L9" s="210" t="str">
        <f>IFERROR(INDEX(Rules!$B:$B,MATCH(K10,Rules!$A:$A,0)),"")</f>
        <v>Räumliche Struktur</v>
      </c>
      <c r="M9" s="210" t="str">
        <f>IFERROR(INDEX(Rules!$C:$C,MATCH(K10,Rules!$A:$A,0)),"")</f>
        <v>Structure spatiale</v>
      </c>
      <c r="N9" s="210" t="str">
        <f>IFERROR(INDEX(Rules!$D:$D,MATCH(K10,Rules!$A:$A,0)),"")</f>
        <v>Struttura spaziale</v>
      </c>
      <c r="O9" s="260" t="s">
        <v>1218</v>
      </c>
      <c r="P9" s="58" t="s">
        <v>926</v>
      </c>
      <c r="Q9" s="58"/>
      <c r="R9" s="58"/>
      <c r="S9" s="59" t="s">
        <v>927</v>
      </c>
      <c r="T9" s="59" t="s">
        <v>928</v>
      </c>
      <c r="U9" s="59"/>
      <c r="V9" s="59"/>
      <c r="W9" s="125"/>
      <c r="X9" s="106" t="s">
        <v>929</v>
      </c>
      <c r="Y9" s="58" t="s">
        <v>930</v>
      </c>
      <c r="Z9" s="58" t="s">
        <v>930</v>
      </c>
      <c r="AA9" s="58"/>
      <c r="AB9" s="58"/>
      <c r="AD9" s="125"/>
      <c r="AE9" s="54" t="s">
        <v>61</v>
      </c>
      <c r="AF9" s="54" t="s">
        <v>62</v>
      </c>
      <c r="AG9" s="54" t="s">
        <v>63</v>
      </c>
      <c r="AH9" s="125"/>
      <c r="AI9" s="54" t="s">
        <v>915</v>
      </c>
    </row>
    <row r="10" spans="1:35" s="60" customFormat="1" ht="12.75" customHeight="1" x14ac:dyDescent="0.35">
      <c r="A10" s="125"/>
      <c r="B10" s="56"/>
      <c r="C10" s="125"/>
      <c r="D10" s="59"/>
      <c r="E10" s="57"/>
      <c r="F10" s="58"/>
      <c r="G10" s="125"/>
      <c r="H10" s="105" t="s">
        <v>931</v>
      </c>
      <c r="I10" s="52"/>
      <c r="J10" s="52" t="s">
        <v>932</v>
      </c>
      <c r="K10" s="58" t="s">
        <v>908</v>
      </c>
      <c r="L10" s="210" t="s">
        <v>1054</v>
      </c>
      <c r="M10" s="210" t="s">
        <v>1055</v>
      </c>
      <c r="N10" s="210" t="s">
        <v>1056</v>
      </c>
      <c r="O10" s="61" t="s">
        <v>933</v>
      </c>
      <c r="P10" s="61" t="s">
        <v>934</v>
      </c>
      <c r="Q10" s="61"/>
      <c r="R10" s="61"/>
      <c r="S10" s="59" t="s">
        <v>935</v>
      </c>
      <c r="T10" s="59" t="s">
        <v>936</v>
      </c>
      <c r="U10" s="59"/>
      <c r="V10" s="59"/>
      <c r="W10" s="125"/>
      <c r="X10" s="106" t="s">
        <v>937</v>
      </c>
      <c r="Y10" s="58" t="s">
        <v>938</v>
      </c>
      <c r="Z10" s="58" t="s">
        <v>938</v>
      </c>
      <c r="AA10" s="58"/>
      <c r="AB10" s="58"/>
      <c r="AD10" s="125"/>
      <c r="AE10" s="54" t="s">
        <v>61</v>
      </c>
      <c r="AF10" s="54" t="s">
        <v>62</v>
      </c>
      <c r="AG10" s="54" t="s">
        <v>63</v>
      </c>
      <c r="AH10" s="125"/>
      <c r="AI10" s="54" t="s">
        <v>915</v>
      </c>
    </row>
    <row r="11" spans="1:35" s="60" customFormat="1" ht="12.75" customHeight="1" x14ac:dyDescent="0.35">
      <c r="A11" s="125"/>
      <c r="B11" s="56"/>
      <c r="C11" s="125"/>
      <c r="D11" s="59"/>
      <c r="E11" s="57"/>
      <c r="F11" s="58"/>
      <c r="G11" s="125"/>
      <c r="H11" s="105" t="s">
        <v>939</v>
      </c>
      <c r="I11" s="52"/>
      <c r="J11" s="52" t="s">
        <v>940</v>
      </c>
      <c r="K11" s="58" t="s">
        <v>941</v>
      </c>
      <c r="L11" s="210" t="s">
        <v>1043</v>
      </c>
      <c r="M11" s="210" t="s">
        <v>1044</v>
      </c>
      <c r="N11" s="210" t="s">
        <v>1045</v>
      </c>
      <c r="O11" s="58" t="s">
        <v>942</v>
      </c>
      <c r="P11" s="58" t="s">
        <v>943</v>
      </c>
      <c r="Q11" s="58"/>
      <c r="R11" s="58"/>
      <c r="S11" s="59" t="s">
        <v>944</v>
      </c>
      <c r="T11" s="59" t="s">
        <v>945</v>
      </c>
      <c r="U11" s="59"/>
      <c r="V11" s="59"/>
      <c r="W11" s="125"/>
      <c r="X11" s="106" t="s">
        <v>946</v>
      </c>
      <c r="Y11" s="58" t="s">
        <v>947</v>
      </c>
      <c r="Z11" s="58" t="s">
        <v>947</v>
      </c>
      <c r="AA11" s="58"/>
      <c r="AB11" s="58"/>
      <c r="AD11" s="125"/>
      <c r="AE11" s="54" t="s">
        <v>61</v>
      </c>
      <c r="AF11" s="54" t="s">
        <v>62</v>
      </c>
      <c r="AG11" s="54" t="s">
        <v>63</v>
      </c>
      <c r="AH11" s="125"/>
      <c r="AI11" s="54" t="s">
        <v>915</v>
      </c>
    </row>
    <row r="12" spans="1:35" s="60" customFormat="1" ht="12.75" customHeight="1" x14ac:dyDescent="0.35">
      <c r="A12" s="125"/>
      <c r="B12" s="56"/>
      <c r="C12" s="125"/>
      <c r="D12" s="59"/>
      <c r="E12" s="57"/>
      <c r="F12" s="58"/>
      <c r="G12" s="125"/>
      <c r="H12" s="105"/>
      <c r="I12" s="52"/>
      <c r="J12" s="52"/>
      <c r="K12" s="58"/>
      <c r="L12" s="210" t="str">
        <f>IFERROR(INDEX(Rules!$B:$B,MATCH(K13,Rules!$A:$A,0)),"")</f>
        <v/>
      </c>
      <c r="M12" s="210" t="str">
        <f>IFERROR(INDEX(Rules!$C:$C,MATCH(K13,Rules!$A:$A,0)),"")</f>
        <v/>
      </c>
      <c r="N12" s="210" t="str">
        <f>IFERROR(INDEX(Rules!$D:$D,MATCH(K13,Rules!$A:$A,0)),"")</f>
        <v/>
      </c>
      <c r="O12" s="61"/>
      <c r="P12" s="61"/>
      <c r="Q12" s="61"/>
      <c r="R12" s="61"/>
      <c r="S12" s="59"/>
      <c r="T12" s="59"/>
      <c r="U12" s="59"/>
      <c r="V12" s="59"/>
      <c r="W12" s="125"/>
      <c r="X12" s="106"/>
      <c r="Y12" s="58"/>
      <c r="Z12" s="58"/>
      <c r="AA12" s="58"/>
      <c r="AB12" s="58"/>
      <c r="AD12" s="125"/>
      <c r="AE12" s="54"/>
      <c r="AF12" s="54"/>
      <c r="AG12" s="54"/>
      <c r="AH12" s="125"/>
      <c r="AI12" s="54"/>
    </row>
    <row r="13" spans="1:35" s="60" customFormat="1" ht="12.75" customHeight="1" x14ac:dyDescent="0.35">
      <c r="A13" s="125"/>
      <c r="B13" s="56"/>
      <c r="C13" s="125"/>
      <c r="D13" s="59"/>
      <c r="E13" s="57"/>
      <c r="F13" s="58"/>
      <c r="G13" s="125"/>
      <c r="H13" s="105"/>
      <c r="I13" s="52"/>
      <c r="J13" s="52"/>
      <c r="K13" s="58"/>
      <c r="L13" s="210" t="str">
        <f>IFERROR(INDEX(Rules!$B:$B,MATCH(K14,Rules!$A:$A,0)),"")</f>
        <v/>
      </c>
      <c r="M13" s="210" t="str">
        <f>IFERROR(INDEX(Rules!$C:$C,MATCH(K14,Rules!$A:$A,0)),"")</f>
        <v/>
      </c>
      <c r="N13" s="210" t="str">
        <f>IFERROR(INDEX(Rules!$D:$D,MATCH(K14,Rules!$A:$A,0)),"")</f>
        <v/>
      </c>
      <c r="O13" s="58"/>
      <c r="P13" s="58"/>
      <c r="Q13" s="58"/>
      <c r="R13" s="58"/>
      <c r="S13" s="59"/>
      <c r="T13" s="59"/>
      <c r="U13" s="59"/>
      <c r="V13" s="59"/>
      <c r="W13" s="125"/>
      <c r="X13" s="106"/>
      <c r="Y13" s="58"/>
      <c r="Z13" s="58"/>
      <c r="AA13" s="58"/>
      <c r="AB13" s="58"/>
      <c r="AD13" s="125"/>
      <c r="AE13" s="54"/>
      <c r="AF13" s="54"/>
      <c r="AG13" s="54"/>
      <c r="AH13" s="125"/>
      <c r="AI13" s="54"/>
    </row>
    <row r="14" spans="1:35" s="60" customFormat="1" ht="12.75" customHeight="1" x14ac:dyDescent="0.35">
      <c r="A14" s="125"/>
      <c r="B14" s="56"/>
      <c r="C14" s="125"/>
      <c r="D14" s="59"/>
      <c r="E14" s="57"/>
      <c r="F14" s="58"/>
      <c r="G14" s="125"/>
      <c r="H14" s="105"/>
      <c r="I14" s="52"/>
      <c r="J14" s="52"/>
      <c r="K14" s="58"/>
      <c r="L14" s="210" t="str">
        <f>IFERROR(INDEX(Rules!$B:$B,MATCH(K15,Rules!$A:$A,0)),"")</f>
        <v/>
      </c>
      <c r="M14" s="210" t="str">
        <f>IFERROR(INDEX(Rules!$C:$C,MATCH(K15,Rules!$A:$A,0)),"")</f>
        <v/>
      </c>
      <c r="N14" s="210" t="str">
        <f>IFERROR(INDEX(Rules!$D:$D,MATCH(K15,Rules!$A:$A,0)),"")</f>
        <v/>
      </c>
      <c r="O14" s="58"/>
      <c r="P14" s="58"/>
      <c r="Q14" s="58"/>
      <c r="R14" s="58"/>
      <c r="S14" s="59"/>
      <c r="T14" s="59"/>
      <c r="U14" s="59"/>
      <c r="V14" s="59"/>
      <c r="W14" s="125"/>
      <c r="X14" s="106"/>
      <c r="Y14" s="58"/>
      <c r="Z14" s="58"/>
      <c r="AA14" s="58"/>
      <c r="AB14" s="58"/>
      <c r="AD14" s="125"/>
      <c r="AE14" s="54"/>
      <c r="AF14" s="54"/>
      <c r="AG14" s="54"/>
      <c r="AH14" s="125"/>
      <c r="AI14" s="54"/>
    </row>
    <row r="15" spans="1:35" s="60" customFormat="1" ht="12.75" customHeight="1" x14ac:dyDescent="0.35">
      <c r="A15" s="125"/>
      <c r="B15" s="56"/>
      <c r="C15" s="125"/>
      <c r="D15" s="59"/>
      <c r="E15" s="57"/>
      <c r="F15" s="58"/>
      <c r="G15" s="125"/>
      <c r="H15" s="105"/>
      <c r="I15" s="52"/>
      <c r="J15" s="52"/>
      <c r="K15" s="58"/>
      <c r="L15" s="210" t="str">
        <f>IFERROR(INDEX(Rules!$B:$B,MATCH(K16,Rules!$A:$A,0)),"")</f>
        <v/>
      </c>
      <c r="M15" s="210" t="str">
        <f>IFERROR(INDEX(Rules!$C:$C,MATCH(K16,Rules!$A:$A,0)),"")</f>
        <v/>
      </c>
      <c r="N15" s="210" t="str">
        <f>IFERROR(INDEX(Rules!$D:$D,MATCH(K16,Rules!$A:$A,0)),"")</f>
        <v/>
      </c>
      <c r="O15" s="58"/>
      <c r="P15" s="58"/>
      <c r="Q15" s="58"/>
      <c r="R15" s="58"/>
      <c r="S15" s="59"/>
      <c r="T15" s="59"/>
      <c r="U15" s="59"/>
      <c r="V15" s="59"/>
      <c r="W15" s="125"/>
      <c r="X15" s="106"/>
      <c r="Y15" s="58"/>
      <c r="Z15" s="58"/>
      <c r="AA15" s="58"/>
      <c r="AB15" s="58"/>
      <c r="AD15" s="125"/>
      <c r="AE15" s="54"/>
      <c r="AF15" s="54"/>
      <c r="AG15" s="54"/>
      <c r="AH15" s="125"/>
      <c r="AI15" s="54"/>
    </row>
    <row r="16" spans="1:35" s="60" customFormat="1" ht="12.75" customHeight="1" x14ac:dyDescent="0.35">
      <c r="A16" s="125"/>
      <c r="B16" s="56"/>
      <c r="C16" s="125"/>
      <c r="D16" s="59"/>
      <c r="E16" s="57"/>
      <c r="F16" s="58"/>
      <c r="G16" s="125"/>
      <c r="H16" s="105"/>
      <c r="I16" s="52"/>
      <c r="J16" s="52"/>
      <c r="K16" s="58"/>
      <c r="L16" s="210" t="str">
        <f>IFERROR(INDEX(Rules!$B:$B,MATCH(K17,Rules!$A:$A,0)),"")</f>
        <v/>
      </c>
      <c r="M16" s="210" t="str">
        <f>IFERROR(INDEX(Rules!$C:$C,MATCH(K17,Rules!$A:$A,0)),"")</f>
        <v/>
      </c>
      <c r="N16" s="210" t="str">
        <f>IFERROR(INDEX(Rules!$D:$D,MATCH(K17,Rules!$A:$A,0)),"")</f>
        <v/>
      </c>
      <c r="O16" s="61"/>
      <c r="P16" s="61"/>
      <c r="Q16" s="61"/>
      <c r="R16" s="61"/>
      <c r="S16" s="59"/>
      <c r="T16" s="59"/>
      <c r="U16" s="59"/>
      <c r="V16" s="59"/>
      <c r="W16" s="125"/>
      <c r="X16" s="106"/>
      <c r="Y16" s="58"/>
      <c r="Z16" s="58"/>
      <c r="AA16" s="58"/>
      <c r="AB16" s="58"/>
      <c r="AD16" s="125"/>
      <c r="AE16" s="54"/>
      <c r="AF16" s="54"/>
      <c r="AG16" s="54"/>
      <c r="AH16" s="125"/>
      <c r="AI16" s="54"/>
    </row>
    <row r="17" spans="1:35" s="60" customFormat="1" ht="12.75" customHeight="1" x14ac:dyDescent="0.35">
      <c r="A17" s="125"/>
      <c r="B17" s="56"/>
      <c r="C17" s="125"/>
      <c r="D17" s="59"/>
      <c r="E17" s="57"/>
      <c r="F17" s="58"/>
      <c r="G17" s="125"/>
      <c r="H17" s="105"/>
      <c r="I17" s="52"/>
      <c r="J17" s="52"/>
      <c r="K17" s="58"/>
      <c r="L17" s="210" t="str">
        <f>IFERROR(INDEX(Rules!$B:$B,MATCH(K18,Rules!$A:$A,0)),"")</f>
        <v/>
      </c>
      <c r="M17" s="210" t="str">
        <f>IFERROR(INDEX(Rules!$C:$C,MATCH(K18,Rules!$A:$A,0)),"")</f>
        <v/>
      </c>
      <c r="N17" s="210" t="str">
        <f>IFERROR(INDEX(Rules!$D:$D,MATCH(K18,Rules!$A:$A,0)),"")</f>
        <v/>
      </c>
      <c r="O17" s="58"/>
      <c r="P17" s="58"/>
      <c r="Q17" s="58"/>
      <c r="R17" s="58"/>
      <c r="S17" s="59"/>
      <c r="T17" s="59"/>
      <c r="U17" s="59"/>
      <c r="V17" s="59"/>
      <c r="W17" s="125"/>
      <c r="X17" s="106"/>
      <c r="Y17" s="58"/>
      <c r="Z17" s="58"/>
      <c r="AA17" s="58"/>
      <c r="AB17" s="58"/>
      <c r="AD17" s="125"/>
      <c r="AE17" s="54"/>
      <c r="AF17" s="54"/>
      <c r="AG17" s="54"/>
      <c r="AH17" s="125"/>
      <c r="AI17" s="54"/>
    </row>
    <row r="18" spans="1:35" s="60" customFormat="1" ht="12.75" customHeight="1" x14ac:dyDescent="0.35">
      <c r="A18" s="125"/>
      <c r="B18" s="56"/>
      <c r="C18" s="125"/>
      <c r="D18" s="59"/>
      <c r="E18" s="57"/>
      <c r="F18" s="58"/>
      <c r="G18" s="125"/>
      <c r="H18" s="105"/>
      <c r="I18" s="52"/>
      <c r="J18" s="52"/>
      <c r="K18" s="58"/>
      <c r="L18" s="210" t="str">
        <f>IFERROR(INDEX(Rules!$B:$B,MATCH(K19,Rules!$A:$A,0)),"")</f>
        <v/>
      </c>
      <c r="M18" s="210" t="str">
        <f>IFERROR(INDEX(Rules!$C:$C,MATCH(K19,Rules!$A:$A,0)),"")</f>
        <v/>
      </c>
      <c r="N18" s="210" t="str">
        <f>IFERROR(INDEX(Rules!$D:$D,MATCH(K19,Rules!$A:$A,0)),"")</f>
        <v/>
      </c>
      <c r="O18" s="61"/>
      <c r="P18" s="61"/>
      <c r="Q18" s="61"/>
      <c r="R18" s="61"/>
      <c r="S18" s="59"/>
      <c r="T18" s="59"/>
      <c r="U18" s="59"/>
      <c r="V18" s="59"/>
      <c r="W18" s="125"/>
      <c r="X18" s="106"/>
      <c r="Y18" s="58"/>
      <c r="Z18" s="58"/>
      <c r="AA18" s="58"/>
      <c r="AB18" s="58"/>
      <c r="AD18" s="125"/>
      <c r="AE18" s="54"/>
      <c r="AF18" s="54"/>
      <c r="AG18" s="54"/>
      <c r="AH18" s="125"/>
      <c r="AI18" s="54"/>
    </row>
    <row r="19" spans="1:35" s="60" customFormat="1" ht="12.75" customHeight="1" x14ac:dyDescent="0.35">
      <c r="A19" s="125"/>
      <c r="B19" s="56"/>
      <c r="C19" s="125"/>
      <c r="D19" s="59"/>
      <c r="E19" s="57"/>
      <c r="F19" s="58"/>
      <c r="G19" s="125"/>
      <c r="H19" s="105"/>
      <c r="I19" s="52"/>
      <c r="J19" s="52"/>
      <c r="K19" s="58"/>
      <c r="L19" s="210" t="str">
        <f>IFERROR(INDEX(Rules!$B:$B,MATCH(K20,Rules!$A:$A,0)),"")</f>
        <v/>
      </c>
      <c r="M19" s="210" t="str">
        <f>IFERROR(INDEX(Rules!$C:$C,MATCH(K20,Rules!$A:$A,0)),"")</f>
        <v/>
      </c>
      <c r="N19" s="210" t="str">
        <f>IFERROR(INDEX(Rules!$D:$D,MATCH(K20,Rules!$A:$A,0)),"")</f>
        <v/>
      </c>
      <c r="O19" s="58"/>
      <c r="P19" s="58"/>
      <c r="Q19" s="58"/>
      <c r="R19" s="58"/>
      <c r="S19" s="59"/>
      <c r="T19" s="59"/>
      <c r="U19" s="59"/>
      <c r="V19" s="59"/>
      <c r="W19" s="125"/>
      <c r="X19" s="106"/>
      <c r="Y19" s="58"/>
      <c r="Z19" s="58"/>
      <c r="AA19" s="58"/>
      <c r="AB19" s="58"/>
      <c r="AD19" s="125"/>
      <c r="AE19" s="54"/>
      <c r="AF19" s="54"/>
      <c r="AG19" s="54"/>
      <c r="AH19" s="125"/>
      <c r="AI19" s="54"/>
    </row>
    <row r="20" spans="1:35" s="60" customFormat="1" ht="12.75" customHeight="1" x14ac:dyDescent="0.35">
      <c r="A20" s="125"/>
      <c r="B20" s="56"/>
      <c r="C20" s="125"/>
      <c r="D20" s="59"/>
      <c r="E20" s="57"/>
      <c r="F20" s="58"/>
      <c r="G20" s="125"/>
      <c r="H20" s="105"/>
      <c r="I20" s="52"/>
      <c r="J20" s="52"/>
      <c r="K20" s="58"/>
      <c r="L20" s="210" t="str">
        <f>IFERROR(INDEX(Rules!$B:$B,MATCH(K21,Rules!$A:$A,0)),"")</f>
        <v/>
      </c>
      <c r="M20" s="210" t="str">
        <f>IFERROR(INDEX(Rules!$C:$C,MATCH(K21,Rules!$A:$A,0)),"")</f>
        <v/>
      </c>
      <c r="N20" s="210" t="str">
        <f>IFERROR(INDEX(Rules!$D:$D,MATCH(K21,Rules!$A:$A,0)),"")</f>
        <v/>
      </c>
      <c r="O20" s="58"/>
      <c r="P20" s="58"/>
      <c r="Q20" s="58"/>
      <c r="R20" s="58"/>
      <c r="S20" s="59"/>
      <c r="T20" s="59"/>
      <c r="U20" s="59"/>
      <c r="V20" s="59"/>
      <c r="W20" s="125"/>
      <c r="X20" s="106"/>
      <c r="Y20" s="58"/>
      <c r="Z20" s="58"/>
      <c r="AA20" s="58"/>
      <c r="AB20" s="58"/>
      <c r="AD20" s="125"/>
      <c r="AE20" s="54"/>
      <c r="AF20" s="54"/>
      <c r="AG20" s="54"/>
      <c r="AH20" s="125"/>
      <c r="AI20" s="54"/>
    </row>
    <row r="21" spans="1:35" s="60" customFormat="1" ht="12.75" customHeight="1" x14ac:dyDescent="0.35">
      <c r="A21" s="125"/>
      <c r="B21" s="56"/>
      <c r="C21" s="125"/>
      <c r="D21" s="59"/>
      <c r="E21" s="57"/>
      <c r="F21" s="58"/>
      <c r="G21" s="125"/>
      <c r="H21" s="105"/>
      <c r="I21" s="52"/>
      <c r="J21" s="52"/>
      <c r="K21" s="58"/>
      <c r="L21" s="210" t="str">
        <f>IFERROR(INDEX(Rules!$B:$B,MATCH(K22,Rules!$A:$A,0)),"")</f>
        <v/>
      </c>
      <c r="M21" s="210" t="str">
        <f>IFERROR(INDEX(Rules!$C:$C,MATCH(K22,Rules!$A:$A,0)),"")</f>
        <v/>
      </c>
      <c r="N21" s="210" t="str">
        <f>IFERROR(INDEX(Rules!$D:$D,MATCH(K22,Rules!$A:$A,0)),"")</f>
        <v/>
      </c>
      <c r="O21" s="58"/>
      <c r="P21" s="58"/>
      <c r="Q21" s="58"/>
      <c r="R21" s="58"/>
      <c r="S21" s="59"/>
      <c r="T21" s="59"/>
      <c r="U21" s="59"/>
      <c r="V21" s="59"/>
      <c r="W21" s="125"/>
      <c r="X21" s="106"/>
      <c r="Y21" s="58"/>
      <c r="Z21" s="58"/>
      <c r="AA21" s="58"/>
      <c r="AB21" s="58"/>
      <c r="AD21" s="125"/>
      <c r="AE21" s="54"/>
      <c r="AF21" s="54"/>
      <c r="AG21" s="54"/>
      <c r="AH21" s="125"/>
      <c r="AI21" s="54"/>
    </row>
    <row r="22" spans="1:35" s="60" customFormat="1" ht="12.75" customHeight="1" x14ac:dyDescent="0.35">
      <c r="A22" s="125"/>
      <c r="B22" s="56"/>
      <c r="C22" s="125"/>
      <c r="D22" s="59"/>
      <c r="E22" s="57"/>
      <c r="F22" s="58"/>
      <c r="G22" s="125"/>
      <c r="H22" s="105"/>
      <c r="I22" s="52"/>
      <c r="J22" s="52"/>
      <c r="K22" s="58"/>
      <c r="L22" s="210" t="str">
        <f>IFERROR(INDEX(Rules!$B:$B,MATCH(K23,Rules!$A:$A,0)),"")</f>
        <v/>
      </c>
      <c r="M22" s="210" t="str">
        <f>IFERROR(INDEX(Rules!$C:$C,MATCH(K23,Rules!$A:$A,0)),"")</f>
        <v/>
      </c>
      <c r="N22" s="210" t="str">
        <f>IFERROR(INDEX(Rules!$D:$D,MATCH(K23,Rules!$A:$A,0)),"")</f>
        <v/>
      </c>
      <c r="O22" s="61"/>
      <c r="P22" s="61"/>
      <c r="Q22" s="61"/>
      <c r="R22" s="61"/>
      <c r="S22" s="59"/>
      <c r="T22" s="59"/>
      <c r="U22" s="59"/>
      <c r="V22" s="59"/>
      <c r="W22" s="125"/>
      <c r="X22" s="106"/>
      <c r="Y22" s="58"/>
      <c r="Z22" s="58"/>
      <c r="AA22" s="58"/>
      <c r="AB22" s="58"/>
      <c r="AD22" s="125"/>
      <c r="AE22" s="54"/>
      <c r="AF22" s="54"/>
      <c r="AG22" s="54"/>
      <c r="AH22" s="125"/>
      <c r="AI22" s="54"/>
    </row>
    <row r="23" spans="1:35" s="60" customFormat="1" ht="12.75" customHeight="1" x14ac:dyDescent="0.35">
      <c r="A23" s="125"/>
      <c r="B23" s="56"/>
      <c r="C23" s="125"/>
      <c r="D23" s="59"/>
      <c r="E23" s="57"/>
      <c r="F23" s="58"/>
      <c r="G23" s="125"/>
      <c r="H23" s="105"/>
      <c r="I23" s="52"/>
      <c r="J23" s="52"/>
      <c r="K23" s="58"/>
      <c r="L23" s="210" t="str">
        <f>IFERROR(INDEX(Rules!$B:$B,MATCH(K24,Rules!$A:$A,0)),"")</f>
        <v/>
      </c>
      <c r="M23" s="210" t="str">
        <f>IFERROR(INDEX(Rules!$C:$C,MATCH(K24,Rules!$A:$A,0)),"")</f>
        <v/>
      </c>
      <c r="N23" s="210" t="str">
        <f>IFERROR(INDEX(Rules!$D:$D,MATCH(K24,Rules!$A:$A,0)),"")</f>
        <v/>
      </c>
      <c r="O23" s="58"/>
      <c r="P23" s="58"/>
      <c r="Q23" s="58"/>
      <c r="R23" s="58"/>
      <c r="S23" s="59"/>
      <c r="T23" s="59"/>
      <c r="U23" s="59"/>
      <c r="V23" s="59"/>
      <c r="W23" s="125"/>
      <c r="X23" s="106"/>
      <c r="Y23" s="58"/>
      <c r="Z23" s="58"/>
      <c r="AA23" s="58"/>
      <c r="AB23" s="58"/>
      <c r="AD23" s="125"/>
      <c r="AE23" s="54"/>
      <c r="AF23" s="54"/>
      <c r="AG23" s="54"/>
      <c r="AH23" s="125"/>
      <c r="AI23" s="54"/>
    </row>
    <row r="24" spans="1:35" s="60" customFormat="1" ht="12.75" customHeight="1" x14ac:dyDescent="0.35">
      <c r="A24" s="125"/>
      <c r="B24" s="56"/>
      <c r="C24" s="125"/>
      <c r="D24" s="59"/>
      <c r="E24" s="57"/>
      <c r="F24" s="58"/>
      <c r="G24" s="125"/>
      <c r="H24" s="105"/>
      <c r="I24" s="52"/>
      <c r="J24" s="52"/>
      <c r="K24" s="58"/>
      <c r="L24" s="210" t="str">
        <f>IFERROR(INDEX(Rules!$B:$B,MATCH(K25,Rules!$A:$A,0)),"")</f>
        <v/>
      </c>
      <c r="M24" s="210" t="str">
        <f>IFERROR(INDEX(Rules!$C:$C,MATCH(K25,Rules!$A:$A,0)),"")</f>
        <v/>
      </c>
      <c r="N24" s="210" t="str">
        <f>IFERROR(INDEX(Rules!$D:$D,MATCH(K25,Rules!$A:$A,0)),"")</f>
        <v/>
      </c>
      <c r="O24" s="61"/>
      <c r="P24" s="61"/>
      <c r="Q24" s="61"/>
      <c r="R24" s="61"/>
      <c r="S24" s="59"/>
      <c r="T24" s="59"/>
      <c r="U24" s="59"/>
      <c r="V24" s="59"/>
      <c r="W24" s="125"/>
      <c r="X24" s="106"/>
      <c r="Y24" s="58"/>
      <c r="Z24" s="58"/>
      <c r="AA24" s="58"/>
      <c r="AB24" s="58"/>
      <c r="AD24" s="125"/>
      <c r="AE24" s="54"/>
      <c r="AF24" s="54"/>
      <c r="AG24" s="54"/>
      <c r="AH24" s="125"/>
      <c r="AI24" s="54"/>
    </row>
    <row r="25" spans="1:35" s="60" customFormat="1" ht="12.75" customHeight="1" x14ac:dyDescent="0.35"/>
  </sheetData>
  <sheetProtection selectLockedCells="1" selectUnlockedCells="1"/>
  <dataValidations xWindow="1091" yWindow="456" count="6">
    <dataValidation type="date" operator="greaterThanOrEqual" sqref="AB8:AB1997" xr:uid="{00000000-0002-0000-0400-000000000000}">
      <formula1>DATE(2000,1,1)</formula1>
    </dataValidation>
    <dataValidation type="list" allowBlank="1" sqref="AE8:AE2000" xr:uid="{00000000-0002-0000-0400-000001000000}">
      <formula1>Status</formula1>
    </dataValidation>
    <dataValidation type="list" allowBlank="1" sqref="K8:K2000" xr:uid="{00000000-0002-0000-0400-000002000000}">
      <formula1>Objekt_Einordnung</formula1>
    </dataValidation>
    <dataValidation type="list" allowBlank="1" sqref="L8:L2000" xr:uid="{00000000-0002-0000-0400-000003000000}">
      <formula1>Klassen_Zuordnung</formula1>
    </dataValidation>
    <dataValidation type="list" allowBlank="1" sqref="M8:M2000" xr:uid="{00000000-0002-0000-0400-000004000000}">
      <formula1>Affectation_de_classe</formula1>
    </dataValidation>
    <dataValidation type="list" allowBlank="1" sqref="N8:N2000" xr:uid="{00000000-0002-0000-0400-000005000000}">
      <formula1>Assegnazione_della_classe</formula1>
    </dataValidation>
  </dataValidation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 &amp;K000000 C2 - Intern&amp;CStrukturvorlage&amp;R&amp;D - &amp;P</oddFooter>
  </headerFooter>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2">
    <pageSetUpPr fitToPage="1"/>
  </sheetPr>
  <dimension ref="A1:AH353"/>
  <sheetViews>
    <sheetView showGridLines="0" topLeftCell="F1" zoomScale="85" zoomScaleNormal="85" workbookViewId="0">
      <selection activeCell="Q39" sqref="Q39"/>
    </sheetView>
  </sheetViews>
  <sheetFormatPr baseColWidth="10" defaultColWidth="11.453125" defaultRowHeight="28.9" customHeight="1" outlineLevelCol="1" x14ac:dyDescent="0.35"/>
  <cols>
    <col min="1" max="1" width="3.7265625" style="104" customWidth="1"/>
    <col min="2" max="2" width="25.7265625" style="70" customWidth="1" outlineLevel="1"/>
    <col min="3" max="3" width="3.7265625" style="101" customWidth="1"/>
    <col min="4" max="6" width="20.7265625" style="71" customWidth="1" outlineLevel="1"/>
    <col min="7" max="7" width="13" customWidth="1"/>
    <col min="8" max="8" width="13" style="72" customWidth="1" outlineLevel="1"/>
    <col min="9" max="9" width="13" style="72" bestFit="1" customWidth="1" outlineLevel="1"/>
    <col min="10" max="10" width="13" style="72" customWidth="1" outlineLevel="1"/>
    <col min="11" max="11" width="31.36328125" style="72" bestFit="1" customWidth="1" outlineLevel="1"/>
    <col min="12" max="12" width="29.90625" style="72" customWidth="1" outlineLevel="1"/>
    <col min="13" max="13" width="8" style="71" bestFit="1" customWidth="1" outlineLevel="1"/>
    <col min="14" max="14" width="3.08984375" style="71" bestFit="1" customWidth="1" outlineLevel="1"/>
    <col min="15" max="15" width="63.1796875" style="71" customWidth="1" outlineLevel="1"/>
    <col min="16" max="16" width="41.36328125" style="101" customWidth="1"/>
    <col min="17" max="17" width="3.54296875" style="71" bestFit="1" customWidth="1" outlineLevel="1"/>
    <col min="18" max="18" width="2.90625" style="71" customWidth="1" outlineLevel="1"/>
    <col min="19" max="19" width="12.26953125" style="101" bestFit="1" customWidth="1"/>
    <col min="20" max="20" width="16.453125" style="70" bestFit="1" customWidth="1" outlineLevel="1"/>
    <col min="21" max="21" width="2.7265625" style="70" customWidth="1" outlineLevel="1"/>
    <col min="22" max="22" width="4.6328125" style="70" customWidth="1" outlineLevel="1"/>
    <col min="23" max="23" width="75.6328125" style="71" bestFit="1" customWidth="1"/>
    <col min="24" max="24" width="82.26953125" style="71" bestFit="1" customWidth="1"/>
    <col min="25" max="25" width="8.90625" style="71" bestFit="1" customWidth="1"/>
    <col min="26" max="26" width="29.81640625" style="71" bestFit="1" customWidth="1"/>
    <col min="27" max="32" width="11.453125" style="71" customWidth="1"/>
    <col min="33" max="33" width="19.453125" style="71" bestFit="1" customWidth="1"/>
    <col min="34" max="16384" width="11.453125" style="71"/>
  </cols>
  <sheetData>
    <row r="1" spans="1:34" s="38" customFormat="1" ht="120" customHeight="1" x14ac:dyDescent="0.35">
      <c r="A1" s="103" t="s">
        <v>0</v>
      </c>
      <c r="B1" s="90" t="s">
        <v>1</v>
      </c>
      <c r="C1" s="102" t="s">
        <v>2</v>
      </c>
      <c r="D1" s="112" t="s">
        <v>3</v>
      </c>
      <c r="E1" s="206" t="s">
        <v>4</v>
      </c>
      <c r="F1" s="112" t="s">
        <v>5</v>
      </c>
      <c r="G1" s="112" t="s">
        <v>6</v>
      </c>
      <c r="H1" s="112" t="s">
        <v>7</v>
      </c>
      <c r="I1" s="112" t="s">
        <v>8</v>
      </c>
      <c r="J1" s="112" t="s">
        <v>9</v>
      </c>
      <c r="K1" s="206" t="s">
        <v>10</v>
      </c>
      <c r="L1" s="206" t="s">
        <v>11</v>
      </c>
      <c r="M1" s="206" t="s">
        <v>12</v>
      </c>
      <c r="N1" s="206" t="s">
        <v>13</v>
      </c>
      <c r="O1" s="206" t="s">
        <v>14</v>
      </c>
      <c r="P1" s="206" t="s">
        <v>15</v>
      </c>
      <c r="Q1" s="206" t="s">
        <v>16</v>
      </c>
      <c r="R1" s="206" t="s">
        <v>17</v>
      </c>
      <c r="S1" s="206" t="s">
        <v>18</v>
      </c>
      <c r="T1" s="206" t="s">
        <v>19</v>
      </c>
      <c r="U1" s="112" t="s">
        <v>20</v>
      </c>
      <c r="V1" s="102" t="s">
        <v>21</v>
      </c>
      <c r="W1" s="264" t="s">
        <v>22</v>
      </c>
      <c r="X1" s="264" t="s">
        <v>23</v>
      </c>
      <c r="Y1" s="264" t="s">
        <v>24</v>
      </c>
      <c r="Z1" s="90" t="s">
        <v>25</v>
      </c>
      <c r="AA1" s="90" t="s">
        <v>26</v>
      </c>
      <c r="AB1" s="90" t="s">
        <v>27</v>
      </c>
      <c r="AC1" s="90" t="s">
        <v>28</v>
      </c>
      <c r="AD1" s="90" t="s">
        <v>29</v>
      </c>
      <c r="AE1" s="98" t="s">
        <v>30</v>
      </c>
      <c r="AF1" s="112" t="s">
        <v>31</v>
      </c>
      <c r="AG1" s="112" t="s">
        <v>32</v>
      </c>
      <c r="AH1" s="90" t="s">
        <v>33</v>
      </c>
    </row>
    <row r="2" spans="1:34" s="89" customFormat="1" ht="12.75" customHeight="1" x14ac:dyDescent="0.35">
      <c r="A2" s="100"/>
      <c r="B2" s="111" t="s">
        <v>34</v>
      </c>
      <c r="C2" s="100"/>
      <c r="D2" s="113"/>
      <c r="E2" s="113"/>
      <c r="F2" s="67"/>
      <c r="G2" s="67" t="s">
        <v>35</v>
      </c>
      <c r="H2" s="67"/>
      <c r="I2" s="67"/>
      <c r="J2" s="67"/>
      <c r="K2" s="66"/>
      <c r="L2" s="67"/>
      <c r="M2" s="66"/>
      <c r="N2" s="66"/>
      <c r="O2" s="66"/>
      <c r="P2" s="67"/>
      <c r="Q2" s="66"/>
      <c r="R2" s="66"/>
      <c r="S2" s="66"/>
      <c r="T2" s="66"/>
      <c r="U2" s="66"/>
      <c r="V2" s="100"/>
      <c r="W2" s="66"/>
      <c r="X2" s="66"/>
      <c r="Y2" s="66"/>
      <c r="Z2" s="66"/>
      <c r="AA2" s="66"/>
      <c r="AB2" s="66"/>
      <c r="AC2" s="66"/>
      <c r="AD2" s="66"/>
      <c r="AE2" s="99"/>
      <c r="AF2" s="108"/>
      <c r="AG2" s="67"/>
      <c r="AH2" s="66"/>
    </row>
    <row r="3" spans="1:34" s="30" customFormat="1" ht="13.5" customHeight="1" x14ac:dyDescent="0.35">
      <c r="A3" s="100"/>
      <c r="B3" s="111" t="s">
        <v>36</v>
      </c>
      <c r="C3" s="100"/>
      <c r="D3" s="113"/>
      <c r="E3" s="113"/>
      <c r="F3" s="67"/>
      <c r="G3" s="67"/>
      <c r="H3" s="67"/>
      <c r="I3" s="67"/>
      <c r="J3" s="67"/>
      <c r="K3" s="66"/>
      <c r="L3" s="67"/>
      <c r="M3" s="66"/>
      <c r="N3" s="66"/>
      <c r="O3" s="66"/>
      <c r="P3" s="67"/>
      <c r="Q3" s="66"/>
      <c r="R3" s="66"/>
      <c r="S3" s="66"/>
      <c r="T3" s="66"/>
      <c r="U3" s="66"/>
      <c r="V3" s="100"/>
      <c r="W3" s="66"/>
      <c r="X3" s="66"/>
      <c r="Y3" s="66"/>
      <c r="Z3" s="66"/>
      <c r="AA3" s="66"/>
      <c r="AB3" s="66"/>
      <c r="AC3" s="66"/>
      <c r="AD3" s="66"/>
      <c r="AE3" s="99"/>
      <c r="AF3" s="108"/>
      <c r="AG3" s="67"/>
      <c r="AH3" s="66"/>
    </row>
    <row r="4" spans="1:34" s="30" customFormat="1" ht="13.5" customHeight="1" x14ac:dyDescent="0.35">
      <c r="A4" s="100"/>
      <c r="B4" s="111" t="s">
        <v>37</v>
      </c>
      <c r="C4" s="100"/>
      <c r="D4" s="113" t="s">
        <v>38</v>
      </c>
      <c r="E4" s="113" t="s">
        <v>38</v>
      </c>
      <c r="F4" s="67" t="s">
        <v>38</v>
      </c>
      <c r="G4" s="67"/>
      <c r="H4" s="67" t="s">
        <v>39</v>
      </c>
      <c r="I4" s="67" t="s">
        <v>40</v>
      </c>
      <c r="J4" s="67" t="s">
        <v>41</v>
      </c>
      <c r="K4" s="66" t="s">
        <v>42</v>
      </c>
      <c r="L4" s="67" t="s">
        <v>39</v>
      </c>
      <c r="M4" s="66" t="s">
        <v>40</v>
      </c>
      <c r="N4" s="66" t="s">
        <v>41</v>
      </c>
      <c r="O4" s="66" t="s">
        <v>42</v>
      </c>
      <c r="P4" s="67" t="s">
        <v>39</v>
      </c>
      <c r="Q4" s="66" t="s">
        <v>40</v>
      </c>
      <c r="R4" s="66" t="s">
        <v>41</v>
      </c>
      <c r="S4" s="66" t="s">
        <v>38</v>
      </c>
      <c r="T4" s="66" t="s">
        <v>38</v>
      </c>
      <c r="U4" s="66" t="s">
        <v>38</v>
      </c>
      <c r="V4" s="100"/>
      <c r="W4" s="66" t="s">
        <v>38</v>
      </c>
      <c r="X4" s="66" t="s">
        <v>38</v>
      </c>
      <c r="Y4" s="66" t="s">
        <v>38</v>
      </c>
      <c r="Z4" s="66" t="s">
        <v>38</v>
      </c>
      <c r="AA4" s="66" t="s">
        <v>42</v>
      </c>
      <c r="AB4" s="66" t="s">
        <v>39</v>
      </c>
      <c r="AC4" s="66" t="s">
        <v>40</v>
      </c>
      <c r="AD4" s="66" t="s">
        <v>41</v>
      </c>
      <c r="AE4" s="99"/>
      <c r="AF4" s="109" t="s">
        <v>38</v>
      </c>
      <c r="AG4" s="66" t="s">
        <v>38</v>
      </c>
      <c r="AH4" s="66" t="s">
        <v>38</v>
      </c>
    </row>
    <row r="5" spans="1:34" s="30" customFormat="1" ht="15" customHeight="1" x14ac:dyDescent="0.35">
      <c r="A5" s="100"/>
      <c r="B5" s="111" t="s">
        <v>43</v>
      </c>
      <c r="C5" s="100"/>
      <c r="D5" s="113" t="s">
        <v>44</v>
      </c>
      <c r="E5" s="113" t="s">
        <v>45</v>
      </c>
      <c r="F5" s="67"/>
      <c r="G5" s="67"/>
      <c r="H5" s="67" t="s">
        <v>45</v>
      </c>
      <c r="I5" s="67" t="s">
        <v>45</v>
      </c>
      <c r="J5" s="67" t="s">
        <v>45</v>
      </c>
      <c r="K5" s="66"/>
      <c r="L5" s="67"/>
      <c r="M5" s="66"/>
      <c r="N5" s="66"/>
      <c r="O5" s="66"/>
      <c r="P5" s="67"/>
      <c r="Q5" s="66"/>
      <c r="R5" s="66"/>
      <c r="S5" s="66" t="s">
        <v>44</v>
      </c>
      <c r="T5" s="66" t="s">
        <v>44</v>
      </c>
      <c r="U5" s="66" t="s">
        <v>44</v>
      </c>
      <c r="V5" s="100"/>
      <c r="W5" s="66" t="s">
        <v>44</v>
      </c>
      <c r="X5" s="66" t="s">
        <v>44</v>
      </c>
      <c r="Y5" s="66"/>
      <c r="Z5" s="66" t="s">
        <v>44</v>
      </c>
      <c r="AA5" s="66" t="s">
        <v>45</v>
      </c>
      <c r="AB5" s="66" t="s">
        <v>45</v>
      </c>
      <c r="AC5" s="66" t="s">
        <v>45</v>
      </c>
      <c r="AD5" s="66" t="s">
        <v>45</v>
      </c>
      <c r="AE5" s="99"/>
      <c r="AF5" s="109" t="s">
        <v>44</v>
      </c>
      <c r="AG5" s="66" t="s">
        <v>44</v>
      </c>
      <c r="AH5" s="66" t="s">
        <v>44</v>
      </c>
    </row>
    <row r="6" spans="1:34" s="30" customFormat="1" ht="13.5" customHeight="1" x14ac:dyDescent="0.35">
      <c r="A6" s="100"/>
      <c r="B6" s="111" t="s">
        <v>46</v>
      </c>
      <c r="C6" s="100"/>
      <c r="D6" s="113"/>
      <c r="E6" s="113"/>
      <c r="F6" s="67"/>
      <c r="G6" s="67" t="s">
        <v>47</v>
      </c>
      <c r="H6" s="67" t="s">
        <v>48</v>
      </c>
      <c r="I6" s="67" t="s">
        <v>49</v>
      </c>
      <c r="J6" s="67" t="s">
        <v>50</v>
      </c>
      <c r="K6" s="66"/>
      <c r="L6" s="67"/>
      <c r="M6" s="66"/>
      <c r="N6" s="66"/>
      <c r="O6" s="66"/>
      <c r="P6" s="67"/>
      <c r="Q6" s="66"/>
      <c r="R6" s="66"/>
      <c r="S6" s="66" t="s">
        <v>51</v>
      </c>
      <c r="T6" s="66" t="s">
        <v>52</v>
      </c>
      <c r="U6" s="66"/>
      <c r="V6" s="100"/>
      <c r="W6" s="66"/>
      <c r="X6" s="66"/>
      <c r="Y6" s="66"/>
      <c r="Z6" s="66"/>
      <c r="AA6" s="66"/>
      <c r="AB6" s="66"/>
      <c r="AC6" s="66"/>
      <c r="AD6" s="66"/>
      <c r="AE6" s="99"/>
      <c r="AF6" s="108" t="s">
        <v>53</v>
      </c>
      <c r="AG6" s="67"/>
      <c r="AH6" s="110"/>
    </row>
    <row r="7" spans="1:34" s="179" customFormat="1" ht="56.25" customHeight="1" x14ac:dyDescent="0.35">
      <c r="A7" s="100"/>
      <c r="C7" s="100"/>
      <c r="D7" s="55"/>
      <c r="E7" s="55"/>
      <c r="F7" s="55" t="s">
        <v>54</v>
      </c>
      <c r="G7" s="55"/>
      <c r="H7" s="75" t="str">
        <f>IFERROR(INDEX(Rules!$F:$F,MATCH(G8,Rules!$E:$E,0)),"")</f>
        <v/>
      </c>
      <c r="I7" s="75" t="str">
        <f>IFERROR(INDEX(Rules!$G:$G,MATCH(G8,Rules!$E:$E,0)),"")</f>
        <v/>
      </c>
      <c r="J7" s="75" t="str">
        <f>IFERROR(INDEX(Rules!$H:$H,MATCH(G8,Rules!$E:$E,0)),"")</f>
        <v/>
      </c>
      <c r="K7" s="230" t="s">
        <v>55</v>
      </c>
      <c r="L7" s="69" t="s">
        <v>55</v>
      </c>
      <c r="M7" s="69"/>
      <c r="N7" s="69"/>
      <c r="O7" s="55" t="s">
        <v>56</v>
      </c>
      <c r="P7" s="69" t="s">
        <v>57</v>
      </c>
      <c r="Q7" s="55"/>
      <c r="R7" s="55"/>
      <c r="S7" s="55" t="s">
        <v>58</v>
      </c>
      <c r="T7" s="55" t="s">
        <v>59</v>
      </c>
      <c r="U7" s="55"/>
      <c r="V7" s="100"/>
      <c r="W7" s="53" t="s">
        <v>60</v>
      </c>
      <c r="X7" s="53"/>
      <c r="Y7" s="53"/>
      <c r="Z7" s="53"/>
      <c r="AA7" s="53"/>
      <c r="AB7" s="53"/>
      <c r="AC7" s="53"/>
      <c r="AD7" s="53"/>
      <c r="AE7" s="100"/>
      <c r="AF7" s="54" t="s">
        <v>61</v>
      </c>
      <c r="AG7" s="253" t="s">
        <v>1248</v>
      </c>
      <c r="AH7" s="54" t="s">
        <v>63</v>
      </c>
    </row>
    <row r="8" spans="1:34" s="68" customFormat="1" ht="13.5" customHeight="1" x14ac:dyDescent="0.35">
      <c r="A8" s="100"/>
      <c r="C8" s="100"/>
      <c r="D8" s="55"/>
      <c r="E8" s="55"/>
      <c r="F8" s="55" t="s">
        <v>1301</v>
      </c>
      <c r="G8" s="55"/>
      <c r="H8" s="75" t="str">
        <f>IFERROR(INDEX(Rules!$F:$F,MATCH(G9,Rules!$E:$E,0)),"")</f>
        <v/>
      </c>
      <c r="I8" s="75" t="str">
        <f>IFERROR(INDEX(Rules!$G:$G,MATCH(G9,Rules!$E:$E,0)),"")</f>
        <v/>
      </c>
      <c r="J8" s="75" t="str">
        <f>IFERROR(INDEX(Rules!$H:$H,MATCH(G9,Rules!$E:$E,0)),"")</f>
        <v/>
      </c>
      <c r="K8" s="230" t="s">
        <v>64</v>
      </c>
      <c r="L8" s="69" t="s">
        <v>65</v>
      </c>
      <c r="M8" s="69"/>
      <c r="N8" s="69"/>
      <c r="O8" s="55" t="s">
        <v>66</v>
      </c>
      <c r="P8" s="69" t="s">
        <v>67</v>
      </c>
      <c r="Q8" s="55"/>
      <c r="R8" s="55"/>
      <c r="S8" s="55" t="s">
        <v>58</v>
      </c>
      <c r="T8" s="55" t="s">
        <v>59</v>
      </c>
      <c r="U8" s="55"/>
      <c r="V8" s="100"/>
      <c r="W8" s="53" t="s">
        <v>68</v>
      </c>
      <c r="X8" s="53" t="s">
        <v>69</v>
      </c>
      <c r="Y8" s="53"/>
      <c r="Z8" s="53"/>
      <c r="AA8" s="53"/>
      <c r="AB8" s="53"/>
      <c r="AC8" s="53"/>
      <c r="AD8" s="53"/>
      <c r="AE8" s="100"/>
      <c r="AF8" s="54" t="s">
        <v>61</v>
      </c>
      <c r="AG8" s="253" t="s">
        <v>1248</v>
      </c>
      <c r="AH8" s="54" t="s">
        <v>63</v>
      </c>
    </row>
    <row r="9" spans="1:34" s="68" customFormat="1" ht="13.5" customHeight="1" x14ac:dyDescent="0.35">
      <c r="A9" s="100"/>
      <c r="C9" s="100"/>
      <c r="D9" s="115"/>
      <c r="E9" s="115"/>
      <c r="F9" s="55" t="s">
        <v>70</v>
      </c>
      <c r="G9" s="55"/>
      <c r="H9" s="75" t="str">
        <f>IFERROR(INDEX(Rules!$F:$F,MATCH(G10,Rules!$E:$E,0)),"")</f>
        <v/>
      </c>
      <c r="I9" s="75" t="str">
        <f>IFERROR(INDEX(Rules!$G:$G,MATCH(G10,Rules!$E:$E,0)),"")</f>
        <v/>
      </c>
      <c r="J9" s="75" t="str">
        <f>IFERROR(INDEX(Rules!$H:$H,MATCH(G10,Rules!$E:$E,0)),"")</f>
        <v/>
      </c>
      <c r="K9" s="230" t="s">
        <v>1223</v>
      </c>
      <c r="L9" s="69" t="s">
        <v>71</v>
      </c>
      <c r="M9" s="69"/>
      <c r="N9" s="69"/>
      <c r="O9" s="55" t="s">
        <v>72</v>
      </c>
      <c r="P9" s="69" t="s">
        <v>73</v>
      </c>
      <c r="Q9" s="55"/>
      <c r="R9" s="55"/>
      <c r="S9" s="55" t="s">
        <v>58</v>
      </c>
      <c r="T9" s="55" t="s">
        <v>59</v>
      </c>
      <c r="U9" s="55"/>
      <c r="V9" s="100"/>
      <c r="W9" s="53" t="s">
        <v>74</v>
      </c>
      <c r="X9" s="53" t="s">
        <v>69</v>
      </c>
      <c r="Y9" s="53"/>
      <c r="Z9" s="53"/>
      <c r="AA9" s="53"/>
      <c r="AB9" s="53"/>
      <c r="AC9" s="53"/>
      <c r="AD9" s="53"/>
      <c r="AE9" s="100"/>
      <c r="AF9" s="54" t="s">
        <v>61</v>
      </c>
      <c r="AG9" s="253" t="s">
        <v>1248</v>
      </c>
      <c r="AH9" s="54" t="s">
        <v>63</v>
      </c>
    </row>
    <row r="10" spans="1:34" s="68" customFormat="1" ht="13.5" customHeight="1" x14ac:dyDescent="0.35">
      <c r="A10" s="100"/>
      <c r="C10" s="100"/>
      <c r="D10" s="115"/>
      <c r="E10" s="115"/>
      <c r="F10" s="55" t="s">
        <v>75</v>
      </c>
      <c r="G10" s="55"/>
      <c r="H10" s="75" t="str">
        <f>IFERROR(INDEX(Rules!$F:$F,MATCH(G11,Rules!$E:$E,0)),"")</f>
        <v/>
      </c>
      <c r="I10" s="75" t="str">
        <f>IFERROR(INDEX(Rules!$G:$G,MATCH(G11,Rules!$E:$E,0)),"")</f>
        <v/>
      </c>
      <c r="J10" s="75" t="str">
        <f>IFERROR(INDEX(Rules!$H:$H,MATCH(G11,Rules!$E:$E,0)),"")</f>
        <v/>
      </c>
      <c r="K10" s="230" t="s">
        <v>1220</v>
      </c>
      <c r="L10" s="69" t="s">
        <v>77</v>
      </c>
      <c r="M10" s="69"/>
      <c r="N10" s="69"/>
      <c r="O10" s="55" t="s">
        <v>78</v>
      </c>
      <c r="P10" s="69" t="s">
        <v>79</v>
      </c>
      <c r="Q10" s="55"/>
      <c r="R10" s="55"/>
      <c r="S10" s="55" t="s">
        <v>58</v>
      </c>
      <c r="T10" s="55" t="s">
        <v>59</v>
      </c>
      <c r="U10" s="55"/>
      <c r="V10" s="100"/>
      <c r="W10" s="53" t="s">
        <v>80</v>
      </c>
      <c r="X10" s="53" t="s">
        <v>81</v>
      </c>
      <c r="Y10" s="53"/>
      <c r="Z10" s="53"/>
      <c r="AA10" s="53"/>
      <c r="AB10" s="53"/>
      <c r="AC10" s="53"/>
      <c r="AD10" s="53"/>
      <c r="AE10" s="100"/>
      <c r="AF10" s="54" t="s">
        <v>61</v>
      </c>
      <c r="AG10" s="253" t="s">
        <v>1248</v>
      </c>
      <c r="AH10" s="54" t="s">
        <v>63</v>
      </c>
    </row>
    <row r="11" spans="1:34" s="68" customFormat="1" ht="13.5" customHeight="1" x14ac:dyDescent="0.35">
      <c r="A11" s="100"/>
      <c r="C11" s="100"/>
      <c r="D11" s="115"/>
      <c r="E11" s="115"/>
      <c r="F11" s="230" t="s">
        <v>1300</v>
      </c>
      <c r="G11" s="55"/>
      <c r="H11" s="75" t="str">
        <f>IFERROR(INDEX(Rules!$F:$F,MATCH(G12,Rules!$E:$E,0)),"")</f>
        <v/>
      </c>
      <c r="I11" s="75" t="str">
        <f>IFERROR(INDEX(Rules!$G:$G,MATCH(G12,Rules!$E:$E,0)),"")</f>
        <v/>
      </c>
      <c r="J11" s="75" t="str">
        <f>IFERROR(INDEX(Rules!$H:$H,MATCH(G12,Rules!$E:$E,0)),"")</f>
        <v/>
      </c>
      <c r="K11" s="230" t="s">
        <v>1181</v>
      </c>
      <c r="L11" s="230" t="s">
        <v>1180</v>
      </c>
      <c r="M11" s="69"/>
      <c r="N11" s="69"/>
      <c r="O11" s="55" t="s">
        <v>1182</v>
      </c>
      <c r="P11" s="230" t="s">
        <v>1199</v>
      </c>
      <c r="Q11" s="55"/>
      <c r="R11" s="55"/>
      <c r="S11" s="55" t="s">
        <v>58</v>
      </c>
      <c r="T11" s="55" t="s">
        <v>59</v>
      </c>
      <c r="U11" s="55"/>
      <c r="V11" s="100"/>
      <c r="W11" s="53" t="s">
        <v>84</v>
      </c>
      <c r="X11" s="53"/>
      <c r="Y11" s="53"/>
      <c r="Z11" s="53"/>
      <c r="AA11" s="53"/>
      <c r="AB11" s="53"/>
      <c r="AC11" s="53"/>
      <c r="AD11" s="53"/>
      <c r="AE11" s="100"/>
      <c r="AF11" s="54" t="s">
        <v>61</v>
      </c>
      <c r="AG11" s="253" t="s">
        <v>1248</v>
      </c>
      <c r="AH11" s="54" t="s">
        <v>63</v>
      </c>
    </row>
    <row r="12" spans="1:34" s="68" customFormat="1" ht="13.5" customHeight="1" x14ac:dyDescent="0.35">
      <c r="A12" s="100"/>
      <c r="C12" s="100"/>
      <c r="D12" s="115"/>
      <c r="E12" s="115"/>
      <c r="F12" s="55" t="s">
        <v>85</v>
      </c>
      <c r="G12" s="55"/>
      <c r="H12" s="75" t="str">
        <f>IFERROR(INDEX(Rules!$F:$F,MATCH(G13,Rules!$E:$E,0)),"")</f>
        <v/>
      </c>
      <c r="I12" s="75" t="str">
        <f>IFERROR(INDEX(Rules!$G:$G,MATCH(G13,Rules!$E:$E,0)),"")</f>
        <v/>
      </c>
      <c r="J12" s="75" t="str">
        <f>IFERROR(INDEX(Rules!$H:$H,MATCH(G13,Rules!$E:$E,0)),"")</f>
        <v/>
      </c>
      <c r="K12" s="230" t="s">
        <v>86</v>
      </c>
      <c r="L12" s="69" t="s">
        <v>87</v>
      </c>
      <c r="M12" s="69"/>
      <c r="N12" s="69"/>
      <c r="O12" s="55" t="s">
        <v>88</v>
      </c>
      <c r="P12" s="69" t="s">
        <v>89</v>
      </c>
      <c r="Q12" s="55"/>
      <c r="R12" s="55"/>
      <c r="S12" s="55" t="s">
        <v>58</v>
      </c>
      <c r="T12" s="55" t="s">
        <v>59</v>
      </c>
      <c r="U12" s="55"/>
      <c r="V12" s="100"/>
      <c r="W12" s="53" t="s">
        <v>90</v>
      </c>
      <c r="X12" s="53" t="s">
        <v>81</v>
      </c>
      <c r="Y12" s="53"/>
      <c r="Z12" s="53"/>
      <c r="AA12" s="53"/>
      <c r="AB12" s="53"/>
      <c r="AC12" s="53"/>
      <c r="AD12" s="53"/>
      <c r="AE12" s="100"/>
      <c r="AF12" s="54" t="s">
        <v>61</v>
      </c>
      <c r="AG12" s="253" t="s">
        <v>1248</v>
      </c>
      <c r="AH12" s="54" t="s">
        <v>63</v>
      </c>
    </row>
    <row r="13" spans="1:34" s="68" customFormat="1" ht="13.5" customHeight="1" x14ac:dyDescent="0.35">
      <c r="A13" s="100"/>
      <c r="C13" s="100"/>
      <c r="D13" s="115"/>
      <c r="E13" s="115"/>
      <c r="F13" s="55" t="s">
        <v>91</v>
      </c>
      <c r="G13" s="55"/>
      <c r="H13" s="75" t="str">
        <f>IFERROR(INDEX(Rules!$F:$F,MATCH(G14,Rules!$E:$E,0)),"")</f>
        <v/>
      </c>
      <c r="I13" s="75" t="str">
        <f>IFERROR(INDEX(Rules!$G:$G,MATCH(G14,Rules!$E:$E,0)),"")</f>
        <v/>
      </c>
      <c r="J13" s="75" t="str">
        <f>IFERROR(INDEX(Rules!$H:$H,MATCH(G14,Rules!$E:$E,0)),"")</f>
        <v/>
      </c>
      <c r="K13" s="230" t="s">
        <v>92</v>
      </c>
      <c r="L13" s="69" t="s">
        <v>93</v>
      </c>
      <c r="M13" s="69"/>
      <c r="N13" s="69"/>
      <c r="O13" s="55" t="s">
        <v>94</v>
      </c>
      <c r="P13" s="69" t="s">
        <v>95</v>
      </c>
      <c r="Q13" s="55"/>
      <c r="R13" s="55"/>
      <c r="S13" s="55" t="s">
        <v>58</v>
      </c>
      <c r="T13" s="55" t="s">
        <v>59</v>
      </c>
      <c r="U13" s="55"/>
      <c r="V13" s="100"/>
      <c r="W13" s="53" t="s">
        <v>96</v>
      </c>
      <c r="X13" s="53" t="s">
        <v>81</v>
      </c>
      <c r="Y13" s="53"/>
      <c r="Z13" s="53"/>
      <c r="AA13" s="53"/>
      <c r="AB13" s="53"/>
      <c r="AC13" s="53"/>
      <c r="AD13" s="53"/>
      <c r="AE13" s="100"/>
      <c r="AF13" s="54" t="s">
        <v>61</v>
      </c>
      <c r="AG13" s="253" t="s">
        <v>1248</v>
      </c>
      <c r="AH13" s="54" t="s">
        <v>63</v>
      </c>
    </row>
    <row r="14" spans="1:34" s="68" customFormat="1" ht="13.5" customHeight="1" x14ac:dyDescent="0.35">
      <c r="A14" s="100"/>
      <c r="C14" s="100"/>
      <c r="D14" s="115"/>
      <c r="E14" s="115"/>
      <c r="F14" s="55" t="s">
        <v>97</v>
      </c>
      <c r="G14" s="55"/>
      <c r="H14" s="75" t="str">
        <f>IFERROR(INDEX(Rules!$F:$F,MATCH(G15,Rules!$E:$E,0)),"")</f>
        <v/>
      </c>
      <c r="I14" s="75" t="str">
        <f>IFERROR(INDEX(Rules!$G:$G,MATCH(G15,Rules!$E:$E,0)),"")</f>
        <v/>
      </c>
      <c r="J14" s="75" t="str">
        <f>IFERROR(INDEX(Rules!$H:$H,MATCH(G15,Rules!$E:$E,0)),"")</f>
        <v/>
      </c>
      <c r="K14" s="230" t="s">
        <v>1164</v>
      </c>
      <c r="L14" s="69" t="s">
        <v>98</v>
      </c>
      <c r="M14" s="69"/>
      <c r="N14" s="69"/>
      <c r="O14" s="55" t="s">
        <v>1183</v>
      </c>
      <c r="P14" s="69" t="s">
        <v>99</v>
      </c>
      <c r="Q14" s="55"/>
      <c r="R14" s="55"/>
      <c r="S14" s="55" t="s">
        <v>100</v>
      </c>
      <c r="T14" s="55" t="s">
        <v>260</v>
      </c>
      <c r="U14" s="55"/>
      <c r="V14" s="100"/>
      <c r="W14" s="53" t="s">
        <v>101</v>
      </c>
      <c r="X14" s="53" t="s">
        <v>81</v>
      </c>
      <c r="Y14" s="53"/>
      <c r="Z14" s="53"/>
      <c r="AA14" s="53"/>
      <c r="AB14" s="53"/>
      <c r="AC14" s="53"/>
      <c r="AD14" s="53"/>
      <c r="AE14" s="100"/>
      <c r="AF14" s="54" t="s">
        <v>61</v>
      </c>
      <c r="AG14" s="253" t="s">
        <v>1248</v>
      </c>
      <c r="AH14" s="54" t="s">
        <v>63</v>
      </c>
    </row>
    <row r="15" spans="1:34" s="68" customFormat="1" ht="13.5" customHeight="1" x14ac:dyDescent="0.35">
      <c r="A15" s="100"/>
      <c r="C15" s="100"/>
      <c r="D15" s="115"/>
      <c r="E15" s="115"/>
      <c r="F15" s="55" t="s">
        <v>102</v>
      </c>
      <c r="G15" s="55"/>
      <c r="H15" s="75" t="str">
        <f>IFERROR(INDEX(Rules!$F:$F,MATCH(G16,Rules!$E:$E,0)),"")</f>
        <v/>
      </c>
      <c r="I15" s="75" t="str">
        <f>IFERROR(INDEX(Rules!$G:$G,MATCH(G16,Rules!$E:$E,0)),"")</f>
        <v/>
      </c>
      <c r="J15" s="75" t="str">
        <f>IFERROR(INDEX(Rules!$H:$H,MATCH(G16,Rules!$E:$E,0)),"")</f>
        <v/>
      </c>
      <c r="K15" s="230" t="s">
        <v>103</v>
      </c>
      <c r="L15" s="69" t="s">
        <v>104</v>
      </c>
      <c r="M15" s="69"/>
      <c r="N15" s="69"/>
      <c r="O15" s="55" t="s">
        <v>1224</v>
      </c>
      <c r="P15" s="69" t="s">
        <v>105</v>
      </c>
      <c r="Q15" s="55"/>
      <c r="R15" s="55"/>
      <c r="S15" s="55" t="s">
        <v>58</v>
      </c>
      <c r="T15" s="55" t="s">
        <v>59</v>
      </c>
      <c r="U15" s="55"/>
      <c r="V15" s="100"/>
      <c r="W15" s="53"/>
      <c r="X15" s="53" t="s">
        <v>81</v>
      </c>
      <c r="Y15" s="53"/>
      <c r="Z15" s="53"/>
      <c r="AA15" s="53"/>
      <c r="AB15" s="53"/>
      <c r="AC15" s="53"/>
      <c r="AD15" s="53"/>
      <c r="AE15" s="100"/>
      <c r="AF15" s="54" t="s">
        <v>61</v>
      </c>
      <c r="AG15" s="253" t="s">
        <v>1248</v>
      </c>
      <c r="AH15" s="54" t="s">
        <v>63</v>
      </c>
    </row>
    <row r="16" spans="1:34" s="68" customFormat="1" ht="13.5" customHeight="1" x14ac:dyDescent="0.35">
      <c r="A16" s="100"/>
      <c r="C16" s="100"/>
      <c r="D16" s="115"/>
      <c r="E16" s="115"/>
      <c r="F16" s="55" t="s">
        <v>106</v>
      </c>
      <c r="G16" s="55"/>
      <c r="H16" s="75" t="str">
        <f>IFERROR(INDEX(Rules!$F:$F,MATCH(G17,Rules!$E:$E,0)),"")</f>
        <v/>
      </c>
      <c r="I16" s="75" t="str">
        <f>IFERROR(INDEX(Rules!$G:$G,MATCH(G17,Rules!$E:$E,0)),"")</f>
        <v/>
      </c>
      <c r="J16" s="75" t="str">
        <f>IFERROR(INDEX(Rules!$H:$H,MATCH(G17,Rules!$E:$E,0)),"")</f>
        <v/>
      </c>
      <c r="K16" s="230" t="s">
        <v>107</v>
      </c>
      <c r="L16" s="69" t="s">
        <v>108</v>
      </c>
      <c r="M16" s="69"/>
      <c r="N16" s="69"/>
      <c r="O16" s="55" t="s">
        <v>109</v>
      </c>
      <c r="P16" s="69" t="s">
        <v>110</v>
      </c>
      <c r="Q16" s="55"/>
      <c r="R16" s="55"/>
      <c r="S16" s="55" t="s">
        <v>58</v>
      </c>
      <c r="T16" s="55" t="s">
        <v>59</v>
      </c>
      <c r="U16" s="55"/>
      <c r="V16" s="100"/>
      <c r="W16" s="53"/>
      <c r="X16" s="53" t="s">
        <v>69</v>
      </c>
      <c r="Y16" s="53"/>
      <c r="Z16" s="53"/>
      <c r="AA16" s="53"/>
      <c r="AB16" s="53"/>
      <c r="AC16" s="53"/>
      <c r="AD16" s="53"/>
      <c r="AE16" s="100"/>
      <c r="AF16" s="54" t="s">
        <v>61</v>
      </c>
      <c r="AG16" s="253" t="s">
        <v>1248</v>
      </c>
      <c r="AH16" s="54" t="s">
        <v>63</v>
      </c>
    </row>
    <row r="17" spans="1:34" s="68" customFormat="1" ht="13.5" customHeight="1" x14ac:dyDescent="0.35">
      <c r="A17" s="100"/>
      <c r="C17" s="100"/>
      <c r="D17" s="115"/>
      <c r="E17" s="115"/>
      <c r="F17" s="55" t="s">
        <v>111</v>
      </c>
      <c r="G17" s="55"/>
      <c r="H17" s="75" t="str">
        <f>IFERROR(INDEX(Rules!$F:$F,MATCH(G19,Rules!$E:$E,0)),"")</f>
        <v/>
      </c>
      <c r="I17" s="75" t="str">
        <f>IFERROR(INDEX(Rules!$G:$G,MATCH(G19,Rules!$E:$E,0)),"")</f>
        <v/>
      </c>
      <c r="J17" s="75" t="str">
        <f>IFERROR(INDEX(Rules!$H:$H,MATCH(G19,Rules!$E:$E,0)),"")</f>
        <v/>
      </c>
      <c r="K17" s="230" t="s">
        <v>112</v>
      </c>
      <c r="L17" s="69" t="s">
        <v>113</v>
      </c>
      <c r="M17" s="69"/>
      <c r="N17" s="69"/>
      <c r="O17" s="55" t="s">
        <v>114</v>
      </c>
      <c r="P17" s="69" t="s">
        <v>115</v>
      </c>
      <c r="Q17" s="55"/>
      <c r="R17" s="55"/>
      <c r="S17" s="55" t="s">
        <v>116</v>
      </c>
      <c r="T17" s="55" t="s">
        <v>117</v>
      </c>
      <c r="U17" s="55"/>
      <c r="V17" s="100"/>
      <c r="W17" s="53" t="s">
        <v>118</v>
      </c>
      <c r="X17" s="53" t="s">
        <v>119</v>
      </c>
      <c r="Y17" s="53" t="s">
        <v>120</v>
      </c>
      <c r="Z17" s="53" t="s">
        <v>121</v>
      </c>
      <c r="AA17" s="53"/>
      <c r="AB17" s="53"/>
      <c r="AC17" s="53"/>
      <c r="AD17" s="53"/>
      <c r="AE17" s="100"/>
      <c r="AF17" s="54" t="s">
        <v>61</v>
      </c>
      <c r="AG17" s="253" t="s">
        <v>1248</v>
      </c>
      <c r="AH17" s="54" t="s">
        <v>63</v>
      </c>
    </row>
    <row r="18" spans="1:34" s="68" customFormat="1" ht="13.5" customHeight="1" x14ac:dyDescent="0.35">
      <c r="A18" s="100"/>
      <c r="C18" s="100"/>
      <c r="D18" s="115"/>
      <c r="E18" s="115"/>
      <c r="F18" s="55" t="s">
        <v>193</v>
      </c>
      <c r="G18" s="55"/>
      <c r="H18" s="75" t="str">
        <f>IFERROR(INDEX(Rules!$F:$F,MATCH(G32,Rules!$E:$E,0)),"")</f>
        <v/>
      </c>
      <c r="I18" s="75" t="str">
        <f>IFERROR(INDEX(Rules!$G:$G,MATCH(G32,Rules!$E:$E,0)),"")</f>
        <v/>
      </c>
      <c r="J18" s="75" t="str">
        <f>IFERROR(INDEX(Rules!$H:$H,MATCH(G32,Rules!$E:$E,0)),"")</f>
        <v/>
      </c>
      <c r="K18" s="230" t="s">
        <v>194</v>
      </c>
      <c r="L18" s="69" t="s">
        <v>195</v>
      </c>
      <c r="M18" s="69"/>
      <c r="N18" s="69"/>
      <c r="O18" s="55" t="s">
        <v>122</v>
      </c>
      <c r="P18" s="69" t="s">
        <v>196</v>
      </c>
      <c r="Q18" s="55"/>
      <c r="R18" s="55"/>
      <c r="S18" s="55" t="s">
        <v>58</v>
      </c>
      <c r="T18" s="55" t="s">
        <v>59</v>
      </c>
      <c r="U18" s="55"/>
      <c r="V18" s="100"/>
      <c r="W18" s="53" t="s">
        <v>1214</v>
      </c>
      <c r="X18" s="53" t="s">
        <v>81</v>
      </c>
      <c r="Y18" s="53"/>
      <c r="Z18" s="53"/>
      <c r="AA18" s="53"/>
      <c r="AB18" s="53"/>
      <c r="AC18" s="53"/>
      <c r="AD18" s="53"/>
      <c r="AE18" s="100"/>
      <c r="AF18" s="54" t="s">
        <v>61</v>
      </c>
      <c r="AG18" s="253" t="s">
        <v>1248</v>
      </c>
      <c r="AH18" s="54" t="s">
        <v>63</v>
      </c>
    </row>
    <row r="19" spans="1:34" s="68" customFormat="1" ht="13.5" customHeight="1" x14ac:dyDescent="0.35">
      <c r="A19" s="100"/>
      <c r="C19" s="100"/>
      <c r="D19" s="115"/>
      <c r="E19" s="115"/>
      <c r="F19" s="55" t="s">
        <v>123</v>
      </c>
      <c r="G19" s="55"/>
      <c r="H19" s="75" t="str">
        <f>IFERROR(INDEX(Rules!$F:$F,MATCH(G20,Rules!$E:$E,0)),"")</f>
        <v/>
      </c>
      <c r="I19" s="75" t="str">
        <f>IFERROR(INDEX(Rules!$G:$G,MATCH(G20,Rules!$E:$E,0)),"")</f>
        <v/>
      </c>
      <c r="J19" s="75" t="str">
        <f>IFERROR(INDEX(Rules!$H:$H,MATCH(G20,Rules!$E:$E,0)),"")</f>
        <v/>
      </c>
      <c r="K19" s="230" t="s">
        <v>124</v>
      </c>
      <c r="L19" s="69" t="s">
        <v>125</v>
      </c>
      <c r="M19" s="69"/>
      <c r="N19" s="69"/>
      <c r="O19" s="55" t="s">
        <v>126</v>
      </c>
      <c r="P19" s="230" t="s">
        <v>127</v>
      </c>
      <c r="Q19" s="55"/>
      <c r="R19" s="55"/>
      <c r="S19" s="55" t="s">
        <v>58</v>
      </c>
      <c r="T19" s="55" t="s">
        <v>59</v>
      </c>
      <c r="U19" s="55"/>
      <c r="V19" s="100"/>
      <c r="W19" s="53"/>
      <c r="X19" s="53" t="s">
        <v>69</v>
      </c>
      <c r="Y19" s="53"/>
      <c r="Z19" s="53"/>
      <c r="AA19" s="53"/>
      <c r="AB19" s="53"/>
      <c r="AC19" s="53"/>
      <c r="AD19" s="53"/>
      <c r="AE19" s="100"/>
      <c r="AF19" s="54" t="s">
        <v>61</v>
      </c>
      <c r="AG19" s="253" t="s">
        <v>1248</v>
      </c>
      <c r="AH19" s="54" t="s">
        <v>63</v>
      </c>
    </row>
    <row r="20" spans="1:34" s="68" customFormat="1" ht="13.5" customHeight="1" x14ac:dyDescent="0.35">
      <c r="A20" s="100"/>
      <c r="C20" s="100"/>
      <c r="D20" s="115"/>
      <c r="E20" s="115"/>
      <c r="F20" s="55" t="s">
        <v>128</v>
      </c>
      <c r="G20" s="55"/>
      <c r="H20" s="75" t="str">
        <f>IFERROR(INDEX(Rules!$F:$F,MATCH(G21,Rules!$E:$E,0)),"")</f>
        <v/>
      </c>
      <c r="I20" s="75" t="str">
        <f>IFERROR(INDEX(Rules!$G:$G,MATCH(G21,Rules!$E:$E,0)),"")</f>
        <v/>
      </c>
      <c r="J20" s="75" t="str">
        <f>IFERROR(INDEX(Rules!$H:$H,MATCH(G21,Rules!$E:$E,0)),"")</f>
        <v/>
      </c>
      <c r="K20" s="230" t="s">
        <v>129</v>
      </c>
      <c r="L20" s="69" t="s">
        <v>130</v>
      </c>
      <c r="M20" s="69"/>
      <c r="N20" s="69"/>
      <c r="O20" s="55" t="s">
        <v>131</v>
      </c>
      <c r="P20" s="69" t="s">
        <v>132</v>
      </c>
      <c r="Q20" s="55"/>
      <c r="R20" s="55"/>
      <c r="S20" s="55" t="s">
        <v>58</v>
      </c>
      <c r="T20" s="55" t="s">
        <v>59</v>
      </c>
      <c r="U20" s="55"/>
      <c r="V20" s="100"/>
      <c r="W20" s="53"/>
      <c r="X20" s="53" t="s">
        <v>69</v>
      </c>
      <c r="Y20" s="53"/>
      <c r="Z20" s="53"/>
      <c r="AA20" s="53"/>
      <c r="AB20" s="53"/>
      <c r="AC20" s="53"/>
      <c r="AD20" s="53"/>
      <c r="AE20" s="100"/>
      <c r="AF20" s="54" t="s">
        <v>61</v>
      </c>
      <c r="AG20" s="253" t="s">
        <v>1248</v>
      </c>
      <c r="AH20" s="54" t="s">
        <v>63</v>
      </c>
    </row>
    <row r="21" spans="1:34" s="246" customFormat="1" ht="13.5" customHeight="1" x14ac:dyDescent="0.35">
      <c r="A21" s="245"/>
      <c r="C21" s="245"/>
      <c r="D21" s="247"/>
      <c r="E21" s="247"/>
      <c r="F21" s="248" t="s">
        <v>133</v>
      </c>
      <c r="G21" s="248"/>
      <c r="H21" s="249" t="str">
        <f>IFERROR(INDEX(Rules!$F:$F,MATCH(G22,Rules!$E:$E,0)),"")</f>
        <v/>
      </c>
      <c r="I21" s="249" t="str">
        <f>IFERROR(INDEX(Rules!$G:$G,MATCH(G22,Rules!$E:$E,0)),"")</f>
        <v/>
      </c>
      <c r="J21" s="249" t="str">
        <f>IFERROR(INDEX(Rules!$H:$H,MATCH(G22,Rules!$E:$E,0)),"")</f>
        <v/>
      </c>
      <c r="K21" s="250" t="s">
        <v>134</v>
      </c>
      <c r="L21" s="251" t="s">
        <v>135</v>
      </c>
      <c r="M21" s="251"/>
      <c r="N21" s="251"/>
      <c r="O21" s="248" t="s">
        <v>1225</v>
      </c>
      <c r="P21" s="250" t="s">
        <v>1226</v>
      </c>
      <c r="Q21" s="248"/>
      <c r="R21" s="248"/>
      <c r="S21" s="248" t="s">
        <v>58</v>
      </c>
      <c r="T21" s="248" t="s">
        <v>59</v>
      </c>
      <c r="U21" s="248"/>
      <c r="V21" s="245"/>
      <c r="W21" s="252" t="s">
        <v>136</v>
      </c>
      <c r="X21" s="252" t="s">
        <v>137</v>
      </c>
      <c r="Y21" s="252"/>
      <c r="Z21" s="252"/>
      <c r="AA21" s="252"/>
      <c r="AB21" s="252"/>
      <c r="AC21" s="252"/>
      <c r="AD21" s="252"/>
      <c r="AE21" s="245"/>
      <c r="AF21" s="253" t="s">
        <v>61</v>
      </c>
      <c r="AG21" s="253" t="s">
        <v>1248</v>
      </c>
      <c r="AH21" s="253" t="s">
        <v>63</v>
      </c>
    </row>
    <row r="22" spans="1:34" s="246" customFormat="1" ht="13.5" customHeight="1" x14ac:dyDescent="0.35">
      <c r="A22" s="245"/>
      <c r="C22" s="245"/>
      <c r="D22" s="247"/>
      <c r="E22" s="247"/>
      <c r="F22" s="248" t="s">
        <v>138</v>
      </c>
      <c r="G22" s="248"/>
      <c r="H22" s="249" t="str">
        <f>IFERROR(INDEX(Rules!$F:$F,MATCH(G23,Rules!$E:$E,0)),"")</f>
        <v/>
      </c>
      <c r="I22" s="249" t="str">
        <f>IFERROR(INDEX(Rules!$G:$G,MATCH(G23,Rules!$E:$E,0)),"")</f>
        <v/>
      </c>
      <c r="J22" s="249" t="str">
        <f>IFERROR(INDEX(Rules!$H:$H,MATCH(G23,Rules!$E:$E,0)),"")</f>
        <v/>
      </c>
      <c r="K22" s="250" t="s">
        <v>1305</v>
      </c>
      <c r="L22" s="251" t="s">
        <v>139</v>
      </c>
      <c r="M22" s="251"/>
      <c r="N22" s="251"/>
      <c r="O22" s="248" t="s">
        <v>1309</v>
      </c>
      <c r="P22" s="251" t="s">
        <v>140</v>
      </c>
      <c r="Q22" s="248"/>
      <c r="R22" s="248"/>
      <c r="S22" s="248" t="s">
        <v>58</v>
      </c>
      <c r="T22" s="248" t="s">
        <v>59</v>
      </c>
      <c r="U22" s="248"/>
      <c r="V22" s="245"/>
      <c r="W22" s="252" t="s">
        <v>136</v>
      </c>
      <c r="X22" s="252" t="s">
        <v>137</v>
      </c>
      <c r="Y22" s="252"/>
      <c r="Z22" s="252"/>
      <c r="AA22" s="252"/>
      <c r="AB22" s="252"/>
      <c r="AC22" s="252"/>
      <c r="AD22" s="252"/>
      <c r="AE22" s="245"/>
      <c r="AF22" s="253" t="s">
        <v>61</v>
      </c>
      <c r="AG22" s="253" t="s">
        <v>1248</v>
      </c>
      <c r="AH22" s="253" t="s">
        <v>63</v>
      </c>
    </row>
    <row r="23" spans="1:34" s="246" customFormat="1" ht="13.5" customHeight="1" x14ac:dyDescent="0.35">
      <c r="A23" s="245"/>
      <c r="C23" s="245"/>
      <c r="D23" s="247"/>
      <c r="E23" s="247"/>
      <c r="F23" s="248" t="s">
        <v>141</v>
      </c>
      <c r="G23" s="248"/>
      <c r="H23" s="249" t="str">
        <f>IFERROR(INDEX(Rules!$F:$F,MATCH(G24,Rules!$E:$E,0)),"")</f>
        <v/>
      </c>
      <c r="I23" s="249" t="str">
        <f>IFERROR(INDEX(Rules!$G:$G,MATCH(G24,Rules!$E:$E,0)),"")</f>
        <v/>
      </c>
      <c r="J23" s="249" t="str">
        <f>IFERROR(INDEX(Rules!$H:$H,MATCH(G24,Rules!$E:$E,0)),"")</f>
        <v/>
      </c>
      <c r="K23" s="250" t="s">
        <v>142</v>
      </c>
      <c r="L23" s="250" t="s">
        <v>143</v>
      </c>
      <c r="M23" s="251"/>
      <c r="N23" s="251"/>
      <c r="O23" s="248" t="s">
        <v>144</v>
      </c>
      <c r="P23" s="251" t="s">
        <v>145</v>
      </c>
      <c r="Q23" s="248"/>
      <c r="R23" s="248"/>
      <c r="S23" s="248" t="s">
        <v>58</v>
      </c>
      <c r="T23" s="248" t="s">
        <v>59</v>
      </c>
      <c r="U23" s="248"/>
      <c r="V23" s="245"/>
      <c r="W23" s="252" t="s">
        <v>84</v>
      </c>
      <c r="X23" s="252"/>
      <c r="Y23" s="252"/>
      <c r="Z23" s="252"/>
      <c r="AA23" s="252"/>
      <c r="AB23" s="252"/>
      <c r="AC23" s="252"/>
      <c r="AD23" s="252"/>
      <c r="AE23" s="245"/>
      <c r="AF23" s="253" t="s">
        <v>61</v>
      </c>
      <c r="AG23" s="253" t="s">
        <v>1248</v>
      </c>
      <c r="AH23" s="253" t="s">
        <v>63</v>
      </c>
    </row>
    <row r="24" spans="1:34" s="246" customFormat="1" ht="13.5" customHeight="1" x14ac:dyDescent="0.35">
      <c r="A24" s="245"/>
      <c r="C24" s="245"/>
      <c r="D24" s="247"/>
      <c r="E24" s="247"/>
      <c r="F24" s="248" t="s">
        <v>146</v>
      </c>
      <c r="G24" s="248"/>
      <c r="H24" s="249" t="str">
        <f>IFERROR(INDEX(Rules!$F:$F,MATCH(G25,Rules!$E:$E,0)),"")</f>
        <v/>
      </c>
      <c r="I24" s="249" t="str">
        <f>IFERROR(INDEX(Rules!$G:$G,MATCH(G25,Rules!$E:$E,0)),"")</f>
        <v/>
      </c>
      <c r="J24" s="249" t="str">
        <f>IFERROR(INDEX(Rules!$H:$H,MATCH(G25,Rules!$E:$E,0)),"")</f>
        <v/>
      </c>
      <c r="K24" s="250" t="s">
        <v>1306</v>
      </c>
      <c r="L24" s="251" t="s">
        <v>147</v>
      </c>
      <c r="M24" s="251"/>
      <c r="N24" s="251"/>
      <c r="O24" s="248" t="s">
        <v>1310</v>
      </c>
      <c r="P24" s="251" t="s">
        <v>148</v>
      </c>
      <c r="Q24" s="248"/>
      <c r="R24" s="248"/>
      <c r="S24" s="248" t="s">
        <v>58</v>
      </c>
      <c r="T24" s="248" t="s">
        <v>59</v>
      </c>
      <c r="U24" s="248"/>
      <c r="V24" s="245"/>
      <c r="W24" s="53"/>
      <c r="X24" s="252"/>
      <c r="Y24" s="252"/>
      <c r="Z24" s="252"/>
      <c r="AA24" s="252"/>
      <c r="AB24" s="252"/>
      <c r="AC24" s="252"/>
      <c r="AD24" s="252"/>
      <c r="AE24" s="245"/>
      <c r="AF24" s="253" t="s">
        <v>61</v>
      </c>
      <c r="AG24" s="253" t="s">
        <v>1248</v>
      </c>
      <c r="AH24" s="253" t="s">
        <v>63</v>
      </c>
    </row>
    <row r="25" spans="1:34" s="68" customFormat="1" ht="13.5" customHeight="1" x14ac:dyDescent="0.35">
      <c r="A25" s="100"/>
      <c r="C25" s="100"/>
      <c r="D25" s="115"/>
      <c r="E25" s="115"/>
      <c r="F25" s="55" t="s">
        <v>150</v>
      </c>
      <c r="G25" s="55"/>
      <c r="H25" s="75" t="str">
        <f>IFERROR(INDEX(Rules!$F:$F,MATCH(G26,Rules!$E:$E,0)),"")</f>
        <v/>
      </c>
      <c r="I25" s="75" t="str">
        <f>IFERROR(INDEX(Rules!$G:$G,MATCH(G26,Rules!$E:$E,0)),"")</f>
        <v/>
      </c>
      <c r="J25" s="75" t="str">
        <f>IFERROR(INDEX(Rules!$H:$H,MATCH(G26,Rules!$E:$E,0)),"")</f>
        <v/>
      </c>
      <c r="K25" s="230" t="s">
        <v>1165</v>
      </c>
      <c r="L25" s="230" t="s">
        <v>151</v>
      </c>
      <c r="M25" s="69"/>
      <c r="N25" s="69"/>
      <c r="O25" s="55" t="s">
        <v>1184</v>
      </c>
      <c r="P25" s="69" t="s">
        <v>152</v>
      </c>
      <c r="Q25" s="55"/>
      <c r="R25" s="55"/>
      <c r="S25" s="55" t="s">
        <v>58</v>
      </c>
      <c r="T25" s="55" t="s">
        <v>59</v>
      </c>
      <c r="U25" s="55"/>
      <c r="V25" s="100"/>
      <c r="W25" s="53" t="s">
        <v>153</v>
      </c>
      <c r="X25" s="53" t="s">
        <v>81</v>
      </c>
      <c r="Y25" s="53"/>
      <c r="Z25" s="53"/>
      <c r="AA25" s="53"/>
      <c r="AB25" s="53"/>
      <c r="AC25" s="53"/>
      <c r="AD25" s="53"/>
      <c r="AE25" s="100"/>
      <c r="AF25" s="54" t="s">
        <v>61</v>
      </c>
      <c r="AG25" s="253" t="s">
        <v>1248</v>
      </c>
      <c r="AH25" s="54" t="s">
        <v>63</v>
      </c>
    </row>
    <row r="26" spans="1:34" s="68" customFormat="1" ht="13.5" customHeight="1" x14ac:dyDescent="0.35">
      <c r="A26" s="100"/>
      <c r="C26" s="100"/>
      <c r="D26" s="115"/>
      <c r="E26" s="115"/>
      <c r="F26" s="55" t="s">
        <v>156</v>
      </c>
      <c r="G26" s="55"/>
      <c r="H26" s="75" t="str">
        <f>IFERROR(INDEX(Rules!$F:$F,MATCH(G27,Rules!$E:$E,0)),"")</f>
        <v/>
      </c>
      <c r="I26" s="75" t="str">
        <f>IFERROR(INDEX(Rules!$G:$G,MATCH(G27,Rules!$E:$E,0)),"")</f>
        <v/>
      </c>
      <c r="J26" s="75" t="str">
        <f>IFERROR(INDEX(Rules!$H:$H,MATCH(G27,Rules!$E:$E,0)),"")</f>
        <v/>
      </c>
      <c r="K26" s="230" t="s">
        <v>157</v>
      </c>
      <c r="L26" s="69" t="s">
        <v>158</v>
      </c>
      <c r="M26" s="69"/>
      <c r="N26" s="69"/>
      <c r="O26" s="55" t="s">
        <v>159</v>
      </c>
      <c r="P26" s="69" t="s">
        <v>160</v>
      </c>
      <c r="Q26" s="55"/>
      <c r="R26" s="55"/>
      <c r="S26" s="55" t="s">
        <v>58</v>
      </c>
      <c r="T26" s="55" t="s">
        <v>59</v>
      </c>
      <c r="U26" s="55"/>
      <c r="V26" s="100"/>
      <c r="W26" s="53" t="s">
        <v>161</v>
      </c>
      <c r="X26" s="53" t="s">
        <v>162</v>
      </c>
      <c r="Y26" s="53"/>
      <c r="Z26" s="53"/>
      <c r="AA26" s="53"/>
      <c r="AB26" s="53"/>
      <c r="AC26" s="53"/>
      <c r="AD26" s="53"/>
      <c r="AE26" s="100"/>
      <c r="AF26" s="54" t="s">
        <v>61</v>
      </c>
      <c r="AG26" s="253" t="s">
        <v>1248</v>
      </c>
      <c r="AH26" s="54" t="s">
        <v>63</v>
      </c>
    </row>
    <row r="27" spans="1:34" s="68" customFormat="1" ht="13.5" customHeight="1" x14ac:dyDescent="0.35">
      <c r="A27" s="100"/>
      <c r="C27" s="100"/>
      <c r="D27" s="115"/>
      <c r="E27" s="115"/>
      <c r="F27" s="55" t="s">
        <v>163</v>
      </c>
      <c r="G27" s="55"/>
      <c r="H27" s="75" t="str">
        <f>IFERROR(INDEX(Rules!$F:$F,MATCH(#REF!,Rules!$E:$E,0)),"")</f>
        <v/>
      </c>
      <c r="I27" s="75" t="str">
        <f>IFERROR(INDEX(Rules!$G:$G,MATCH(#REF!,Rules!$E:$E,0)),"")</f>
        <v/>
      </c>
      <c r="J27" s="75" t="str">
        <f>IFERROR(INDEX(Rules!$H:$H,MATCH(#REF!,Rules!$E:$E,0)),"")</f>
        <v/>
      </c>
      <c r="K27" s="230" t="s">
        <v>164</v>
      </c>
      <c r="L27" s="230" t="s">
        <v>165</v>
      </c>
      <c r="M27" s="69"/>
      <c r="N27" s="69"/>
      <c r="O27" s="55" t="s">
        <v>166</v>
      </c>
      <c r="P27" s="69" t="s">
        <v>167</v>
      </c>
      <c r="Q27" s="55"/>
      <c r="R27" s="55"/>
      <c r="S27" s="55" t="s">
        <v>58</v>
      </c>
      <c r="T27" s="55" t="s">
        <v>59</v>
      </c>
      <c r="U27" s="55"/>
      <c r="V27" s="100"/>
      <c r="W27" s="53"/>
      <c r="X27" s="53"/>
      <c r="Y27" s="53"/>
      <c r="Z27" s="53"/>
      <c r="AA27" s="53"/>
      <c r="AB27" s="53"/>
      <c r="AC27" s="53"/>
      <c r="AD27" s="53"/>
      <c r="AE27" s="100"/>
      <c r="AF27" s="54" t="s">
        <v>61</v>
      </c>
      <c r="AG27" s="253" t="s">
        <v>1248</v>
      </c>
      <c r="AH27" s="54" t="s">
        <v>63</v>
      </c>
    </row>
    <row r="28" spans="1:34" s="68" customFormat="1" ht="13.5" customHeight="1" x14ac:dyDescent="0.35">
      <c r="A28" s="100"/>
      <c r="C28" s="100"/>
      <c r="D28" s="115"/>
      <c r="E28" s="115"/>
      <c r="F28" s="55" t="s">
        <v>168</v>
      </c>
      <c r="G28" s="55"/>
      <c r="H28" s="75" t="str">
        <f>IFERROR(INDEX(Rules!$F:$F,MATCH(G29,Rules!$E:$E,0)),"")</f>
        <v/>
      </c>
      <c r="I28" s="75" t="str">
        <f>IFERROR(INDEX(Rules!$G:$G,MATCH(G29,Rules!$E:$E,0)),"")</f>
        <v/>
      </c>
      <c r="J28" s="75" t="str">
        <f>IFERROR(INDEX(Rules!$H:$H,MATCH(G29,Rules!$E:$E,0)),"")</f>
        <v/>
      </c>
      <c r="K28" s="230" t="s">
        <v>169</v>
      </c>
      <c r="L28" s="69" t="s">
        <v>170</v>
      </c>
      <c r="M28" s="69"/>
      <c r="N28" s="69"/>
      <c r="O28" s="55" t="s">
        <v>171</v>
      </c>
      <c r="P28" s="69" t="s">
        <v>172</v>
      </c>
      <c r="Q28" s="55"/>
      <c r="R28" s="55"/>
      <c r="S28" s="55" t="s">
        <v>116</v>
      </c>
      <c r="T28" s="55" t="s">
        <v>117</v>
      </c>
      <c r="U28" s="55"/>
      <c r="V28" s="100"/>
      <c r="W28" s="53" t="s">
        <v>173</v>
      </c>
      <c r="X28" s="53" t="s">
        <v>174</v>
      </c>
      <c r="Y28" s="53" t="s">
        <v>120</v>
      </c>
      <c r="Z28" s="53" t="s">
        <v>121</v>
      </c>
      <c r="AA28" s="53"/>
      <c r="AB28" s="53"/>
      <c r="AC28" s="53"/>
      <c r="AD28" s="53"/>
      <c r="AE28" s="100"/>
      <c r="AF28" s="54" t="s">
        <v>61</v>
      </c>
      <c r="AG28" s="253" t="s">
        <v>1248</v>
      </c>
      <c r="AH28" s="54" t="s">
        <v>63</v>
      </c>
    </row>
    <row r="29" spans="1:34" s="68" customFormat="1" ht="13.5" customHeight="1" x14ac:dyDescent="0.35">
      <c r="A29" s="100"/>
      <c r="C29" s="100"/>
      <c r="D29" s="115"/>
      <c r="E29" s="115"/>
      <c r="F29" s="55" t="s">
        <v>175</v>
      </c>
      <c r="G29" s="55"/>
      <c r="H29" s="75" t="str">
        <f>IFERROR(INDEX(Rules!$F:$F,MATCH(G30,Rules!$E:$E,0)),"")</f>
        <v/>
      </c>
      <c r="I29" s="75" t="str">
        <f>IFERROR(INDEX(Rules!$G:$G,MATCH(G30,Rules!$E:$E,0)),"")</f>
        <v/>
      </c>
      <c r="J29" s="75" t="str">
        <f>IFERROR(INDEX(Rules!$H:$H,MATCH(G30,Rules!$E:$E,0)),"")</f>
        <v/>
      </c>
      <c r="K29" s="230" t="s">
        <v>1166</v>
      </c>
      <c r="L29" s="69" t="s">
        <v>176</v>
      </c>
      <c r="M29" s="69"/>
      <c r="N29" s="69"/>
      <c r="O29" s="55" t="s">
        <v>1185</v>
      </c>
      <c r="P29" s="69" t="s">
        <v>177</v>
      </c>
      <c r="Q29" s="55"/>
      <c r="R29" s="55"/>
      <c r="S29" s="55" t="s">
        <v>116</v>
      </c>
      <c r="T29" s="55" t="s">
        <v>178</v>
      </c>
      <c r="U29" s="55"/>
      <c r="V29" s="100"/>
      <c r="W29" s="53" t="s">
        <v>179</v>
      </c>
      <c r="X29" s="53" t="s">
        <v>180</v>
      </c>
      <c r="Y29" s="53" t="s">
        <v>181</v>
      </c>
      <c r="Z29" s="53" t="s">
        <v>182</v>
      </c>
      <c r="AA29" s="53"/>
      <c r="AB29" s="53"/>
      <c r="AC29" s="53"/>
      <c r="AD29" s="53"/>
      <c r="AE29" s="100"/>
      <c r="AF29" s="54" t="s">
        <v>61</v>
      </c>
      <c r="AG29" s="253" t="s">
        <v>1248</v>
      </c>
      <c r="AH29" s="54" t="s">
        <v>63</v>
      </c>
    </row>
    <row r="30" spans="1:34" s="68" customFormat="1" ht="13.5" customHeight="1" x14ac:dyDescent="0.35">
      <c r="A30" s="100"/>
      <c r="C30" s="100"/>
      <c r="D30" s="115"/>
      <c r="E30" s="115"/>
      <c r="F30" s="55" t="s">
        <v>183</v>
      </c>
      <c r="G30" s="55"/>
      <c r="H30" s="75" t="str">
        <f>IFERROR(INDEX(Rules!$F:$F,MATCH(G31,Rules!$E:$E,0)),"")</f>
        <v/>
      </c>
      <c r="I30" s="75" t="str">
        <f>IFERROR(INDEX(Rules!$G:$G,MATCH(G31,Rules!$E:$E,0)),"")</f>
        <v/>
      </c>
      <c r="J30" s="75" t="str">
        <f>IFERROR(INDEX(Rules!$H:$H,MATCH(G31,Rules!$E:$E,0)),"")</f>
        <v/>
      </c>
      <c r="K30" s="230" t="s">
        <v>1167</v>
      </c>
      <c r="L30" s="69" t="s">
        <v>184</v>
      </c>
      <c r="M30" s="69"/>
      <c r="N30" s="69"/>
      <c r="O30" s="55" t="s">
        <v>1186</v>
      </c>
      <c r="P30" s="69" t="s">
        <v>185</v>
      </c>
      <c r="Q30" s="55"/>
      <c r="R30" s="55"/>
      <c r="S30" s="55" t="s">
        <v>58</v>
      </c>
      <c r="T30" s="55" t="s">
        <v>59</v>
      </c>
      <c r="U30" s="55"/>
      <c r="V30" s="100"/>
      <c r="W30" s="53" t="s">
        <v>186</v>
      </c>
      <c r="X30" s="53" t="s">
        <v>187</v>
      </c>
      <c r="Y30" s="53"/>
      <c r="Z30" s="53"/>
      <c r="AA30" s="53"/>
      <c r="AB30" s="53"/>
      <c r="AC30" s="53"/>
      <c r="AD30" s="53"/>
      <c r="AE30" s="100"/>
      <c r="AF30" s="54" t="s">
        <v>61</v>
      </c>
      <c r="AG30" s="253" t="s">
        <v>1248</v>
      </c>
      <c r="AH30" s="54" t="s">
        <v>63</v>
      </c>
    </row>
    <row r="31" spans="1:34" s="68" customFormat="1" ht="13.5" customHeight="1" x14ac:dyDescent="0.35">
      <c r="A31" s="100"/>
      <c r="C31" s="100"/>
      <c r="D31" s="115"/>
      <c r="E31" s="115"/>
      <c r="F31" s="55" t="s">
        <v>188</v>
      </c>
      <c r="G31" s="55"/>
      <c r="H31" s="75" t="str">
        <f>IFERROR(INDEX(Rules!$F:$F,MATCH(G18,Rules!$E:$E,0)),"")</f>
        <v/>
      </c>
      <c r="I31" s="75" t="str">
        <f>IFERROR(INDEX(Rules!$G:$G,MATCH(G18,Rules!$E:$E,0)),"")</f>
        <v/>
      </c>
      <c r="J31" s="75" t="str">
        <f>IFERROR(INDEX(Rules!$H:$H,MATCH(G18,Rules!$E:$E,0)),"")</f>
        <v/>
      </c>
      <c r="K31" s="69" t="s">
        <v>189</v>
      </c>
      <c r="L31" s="69" t="s">
        <v>190</v>
      </c>
      <c r="M31" s="69"/>
      <c r="N31" s="69"/>
      <c r="O31" s="55" t="s">
        <v>1227</v>
      </c>
      <c r="P31" s="69" t="s">
        <v>191</v>
      </c>
      <c r="Q31" s="55"/>
      <c r="R31" s="55"/>
      <c r="S31" s="55" t="s">
        <v>100</v>
      </c>
      <c r="T31" s="55" t="s">
        <v>260</v>
      </c>
      <c r="U31" s="55"/>
      <c r="V31" s="100"/>
      <c r="W31" s="53" t="s">
        <v>192</v>
      </c>
      <c r="X31" s="53" t="s">
        <v>137</v>
      </c>
      <c r="Y31" s="53"/>
      <c r="Z31" s="53"/>
      <c r="AA31" s="53"/>
      <c r="AB31" s="53"/>
      <c r="AC31" s="53"/>
      <c r="AD31" s="53"/>
      <c r="AE31" s="100"/>
      <c r="AF31" s="54" t="s">
        <v>61</v>
      </c>
      <c r="AG31" s="253" t="s">
        <v>1248</v>
      </c>
      <c r="AH31" s="54" t="s">
        <v>63</v>
      </c>
    </row>
    <row r="32" spans="1:34" s="246" customFormat="1" ht="13.5" customHeight="1" x14ac:dyDescent="0.35">
      <c r="A32" s="245"/>
      <c r="C32" s="245"/>
      <c r="D32" s="247"/>
      <c r="E32" s="247"/>
      <c r="F32" s="248" t="s">
        <v>197</v>
      </c>
      <c r="G32" s="248"/>
      <c r="H32" s="249" t="str">
        <f>IFERROR(INDEX(Rules!$F:$F,MATCH(G33,Rules!$E:$E,0)),"")</f>
        <v/>
      </c>
      <c r="I32" s="249" t="str">
        <f>IFERROR(INDEX(Rules!$G:$G,MATCH(G33,Rules!$E:$E,0)),"")</f>
        <v/>
      </c>
      <c r="J32" s="249" t="str">
        <f>IFERROR(INDEX(Rules!$H:$H,MATCH(G33,Rules!$E:$E,0)),"")</f>
        <v/>
      </c>
      <c r="K32" s="250" t="s">
        <v>1168</v>
      </c>
      <c r="L32" s="251" t="s">
        <v>198</v>
      </c>
      <c r="M32" s="251"/>
      <c r="N32" s="251"/>
      <c r="O32" s="248" t="s">
        <v>1187</v>
      </c>
      <c r="P32" s="251" t="s">
        <v>199</v>
      </c>
      <c r="Q32" s="248"/>
      <c r="R32" s="248"/>
      <c r="S32" s="248" t="s">
        <v>1040</v>
      </c>
      <c r="T32" s="248" t="s">
        <v>59</v>
      </c>
      <c r="U32" s="248"/>
      <c r="V32" s="245"/>
      <c r="W32" s="53"/>
      <c r="X32" s="254"/>
      <c r="Y32" s="252"/>
      <c r="Z32" s="252"/>
      <c r="AA32" s="252"/>
      <c r="AB32" s="252"/>
      <c r="AC32" s="252"/>
      <c r="AD32" s="252"/>
      <c r="AE32" s="245"/>
      <c r="AF32" s="253" t="s">
        <v>61</v>
      </c>
      <c r="AG32" s="253" t="s">
        <v>1248</v>
      </c>
      <c r="AH32" s="253" t="s">
        <v>63</v>
      </c>
    </row>
    <row r="33" spans="1:34" s="246" customFormat="1" ht="13.5" customHeight="1" x14ac:dyDescent="0.35">
      <c r="A33" s="245"/>
      <c r="C33" s="245"/>
      <c r="D33" s="247"/>
      <c r="E33" s="247"/>
      <c r="F33" s="248" t="s">
        <v>200</v>
      </c>
      <c r="G33" s="248"/>
      <c r="H33" s="249" t="str">
        <f>IFERROR(INDEX(Rules!$F:$F,MATCH(G34,Rules!$E:$E,0)),"")</f>
        <v/>
      </c>
      <c r="I33" s="249" t="str">
        <f>IFERROR(INDEX(Rules!$G:$G,MATCH(G34,Rules!$E:$E,0)),"")</f>
        <v/>
      </c>
      <c r="J33" s="249" t="str">
        <f>IFERROR(INDEX(Rules!$H:$H,MATCH(G34,Rules!$E:$E,0)),"")</f>
        <v/>
      </c>
      <c r="K33" s="250" t="s">
        <v>1169</v>
      </c>
      <c r="L33" s="251" t="s">
        <v>201</v>
      </c>
      <c r="M33" s="251"/>
      <c r="N33" s="251"/>
      <c r="O33" s="248" t="s">
        <v>1188</v>
      </c>
      <c r="P33" s="251" t="s">
        <v>202</v>
      </c>
      <c r="Q33" s="248"/>
      <c r="R33" s="248"/>
      <c r="S33" s="248" t="s">
        <v>1040</v>
      </c>
      <c r="T33" s="248" t="s">
        <v>59</v>
      </c>
      <c r="U33" s="248"/>
      <c r="V33" s="245"/>
      <c r="W33" s="53"/>
      <c r="X33" s="254"/>
      <c r="Y33" s="252"/>
      <c r="Z33" s="252"/>
      <c r="AA33" s="252"/>
      <c r="AB33" s="252"/>
      <c r="AC33" s="252"/>
      <c r="AD33" s="252"/>
      <c r="AE33" s="245"/>
      <c r="AF33" s="253" t="s">
        <v>61</v>
      </c>
      <c r="AG33" s="253" t="s">
        <v>1248</v>
      </c>
      <c r="AH33" s="253" t="s">
        <v>63</v>
      </c>
    </row>
    <row r="34" spans="1:34" s="246" customFormat="1" ht="13.5" customHeight="1" x14ac:dyDescent="0.35">
      <c r="A34" s="245"/>
      <c r="C34" s="245"/>
      <c r="D34" s="247"/>
      <c r="E34" s="247"/>
      <c r="F34" s="248" t="s">
        <v>1299</v>
      </c>
      <c r="G34" s="248"/>
      <c r="H34" s="249" t="str">
        <f>IFERROR(INDEX(Rules!$F:$F,MATCH(G35,Rules!$E:$E,0)),"")</f>
        <v/>
      </c>
      <c r="I34" s="249" t="str">
        <f>IFERROR(INDEX(Rules!$G:$G,MATCH(G35,Rules!$E:$E,0)),"")</f>
        <v/>
      </c>
      <c r="J34" s="249" t="str">
        <f>IFERROR(INDEX(Rules!$H:$H,MATCH(G35,Rules!$E:$E,0)),"")</f>
        <v/>
      </c>
      <c r="K34" s="250" t="s">
        <v>1170</v>
      </c>
      <c r="L34" s="250" t="s">
        <v>1241</v>
      </c>
      <c r="M34" s="251"/>
      <c r="N34" s="251"/>
      <c r="O34" s="248" t="s">
        <v>1189</v>
      </c>
      <c r="P34" s="251" t="s">
        <v>204</v>
      </c>
      <c r="Q34" s="248"/>
      <c r="R34" s="248"/>
      <c r="S34" s="248" t="s">
        <v>1040</v>
      </c>
      <c r="T34" s="248" t="s">
        <v>59</v>
      </c>
      <c r="U34" s="248"/>
      <c r="V34" s="245"/>
      <c r="W34" s="53"/>
      <c r="X34" s="254"/>
      <c r="Y34" s="252"/>
      <c r="Z34" s="252"/>
      <c r="AA34" s="252"/>
      <c r="AB34" s="252"/>
      <c r="AC34" s="252"/>
      <c r="AD34" s="252"/>
      <c r="AE34" s="245"/>
      <c r="AF34" s="253" t="s">
        <v>61</v>
      </c>
      <c r="AG34" s="253" t="s">
        <v>1248</v>
      </c>
      <c r="AH34" s="253" t="s">
        <v>63</v>
      </c>
    </row>
    <row r="35" spans="1:34" s="68" customFormat="1" ht="13.5" customHeight="1" x14ac:dyDescent="0.35">
      <c r="A35" s="100"/>
      <c r="C35" s="100"/>
      <c r="D35" s="115"/>
      <c r="E35" s="115"/>
      <c r="F35" s="55" t="s">
        <v>205</v>
      </c>
      <c r="G35" s="55"/>
      <c r="H35" s="75" t="str">
        <f>IFERROR(INDEX(Rules!$F:$F,MATCH(G36,Rules!$E:$E,0)),"")</f>
        <v/>
      </c>
      <c r="I35" s="75" t="str">
        <f>IFERROR(INDEX(Rules!$G:$G,MATCH(G36,Rules!$E:$E,0)),"")</f>
        <v/>
      </c>
      <c r="J35" s="75" t="str">
        <f>IFERROR(INDEX(Rules!$H:$H,MATCH(G36,Rules!$E:$E,0)),"")</f>
        <v/>
      </c>
      <c r="K35" s="230" t="s">
        <v>1171</v>
      </c>
      <c r="L35" s="69" t="s">
        <v>206</v>
      </c>
      <c r="M35" s="69"/>
      <c r="N35" s="69"/>
      <c r="O35" s="55" t="s">
        <v>1190</v>
      </c>
      <c r="P35" s="69" t="s">
        <v>207</v>
      </c>
      <c r="Q35" s="55"/>
      <c r="R35" s="55"/>
      <c r="S35" s="55" t="s">
        <v>58</v>
      </c>
      <c r="T35" s="55" t="s">
        <v>59</v>
      </c>
      <c r="U35" s="55"/>
      <c r="V35" s="100"/>
      <c r="W35" s="53" t="s">
        <v>208</v>
      </c>
      <c r="X35" s="53" t="s">
        <v>209</v>
      </c>
      <c r="Y35" s="53"/>
      <c r="Z35" s="53"/>
      <c r="AA35" s="53"/>
      <c r="AB35" s="53"/>
      <c r="AC35" s="53"/>
      <c r="AD35" s="53"/>
      <c r="AE35" s="100"/>
      <c r="AF35" s="54" t="s">
        <v>61</v>
      </c>
      <c r="AG35" s="253" t="s">
        <v>1248</v>
      </c>
      <c r="AH35" s="54" t="s">
        <v>63</v>
      </c>
    </row>
    <row r="36" spans="1:34" s="68" customFormat="1" ht="13.5" customHeight="1" x14ac:dyDescent="0.35">
      <c r="A36" s="100"/>
      <c r="C36" s="100"/>
      <c r="D36" s="115"/>
      <c r="E36" s="115"/>
      <c r="F36" s="55" t="s">
        <v>210</v>
      </c>
      <c r="G36" s="55"/>
      <c r="H36" s="75" t="str">
        <f>IFERROR(INDEX(Rules!$F:$F,MATCH(G37,Rules!$E:$E,0)),"")</f>
        <v/>
      </c>
      <c r="I36" s="75" t="str">
        <f>IFERROR(INDEX(Rules!$G:$G,MATCH(G37,Rules!$E:$E,0)),"")</f>
        <v/>
      </c>
      <c r="J36" s="75" t="str">
        <f>IFERROR(INDEX(Rules!$H:$H,MATCH(G37,Rules!$E:$E,0)),"")</f>
        <v/>
      </c>
      <c r="K36" s="230" t="s">
        <v>1172</v>
      </c>
      <c r="L36" s="69" t="s">
        <v>211</v>
      </c>
      <c r="M36" s="69"/>
      <c r="N36" s="69"/>
      <c r="O36" s="55" t="s">
        <v>1191</v>
      </c>
      <c r="P36" s="69" t="s">
        <v>212</v>
      </c>
      <c r="Q36" s="55"/>
      <c r="R36" s="55"/>
      <c r="S36" s="55" t="s">
        <v>58</v>
      </c>
      <c r="T36" s="55" t="s">
        <v>59</v>
      </c>
      <c r="U36" s="55"/>
      <c r="V36" s="100"/>
      <c r="W36" s="53" t="s">
        <v>213</v>
      </c>
      <c r="X36" s="53" t="s">
        <v>214</v>
      </c>
      <c r="Y36" s="53"/>
      <c r="Z36" s="53"/>
      <c r="AA36" s="53"/>
      <c r="AB36" s="53"/>
      <c r="AC36" s="53"/>
      <c r="AD36" s="53"/>
      <c r="AE36" s="100"/>
      <c r="AF36" s="54" t="s">
        <v>61</v>
      </c>
      <c r="AG36" s="253" t="s">
        <v>1248</v>
      </c>
      <c r="AH36" s="54" t="s">
        <v>63</v>
      </c>
    </row>
    <row r="37" spans="1:34" s="68" customFormat="1" ht="13.5" customHeight="1" x14ac:dyDescent="0.35">
      <c r="A37" s="100"/>
      <c r="C37" s="100"/>
      <c r="D37" s="115"/>
      <c r="E37" s="115"/>
      <c r="F37" s="55" t="s">
        <v>215</v>
      </c>
      <c r="G37" s="55"/>
      <c r="H37" s="75" t="str">
        <f>IFERROR(INDEX(Rules!$F:$F,MATCH(#REF!,Rules!$E:$E,0)),"")</f>
        <v/>
      </c>
      <c r="I37" s="75" t="str">
        <f>IFERROR(INDEX(Rules!$G:$G,MATCH(#REF!,Rules!$E:$E,0)),"")</f>
        <v/>
      </c>
      <c r="J37" s="75" t="str">
        <f>IFERROR(INDEX(Rules!$H:$H,MATCH(#REF!,Rules!$E:$E,0)),"")</f>
        <v/>
      </c>
      <c r="K37" s="230" t="s">
        <v>216</v>
      </c>
      <c r="L37" s="69" t="s">
        <v>217</v>
      </c>
      <c r="M37" s="69"/>
      <c r="N37" s="69"/>
      <c r="O37" s="55" t="s">
        <v>218</v>
      </c>
      <c r="P37" s="69" t="s">
        <v>219</v>
      </c>
      <c r="Q37" s="55"/>
      <c r="R37" s="55"/>
      <c r="S37" s="55" t="s">
        <v>58</v>
      </c>
      <c r="T37" s="55" t="s">
        <v>59</v>
      </c>
      <c r="U37" s="55"/>
      <c r="V37" s="100"/>
      <c r="W37" s="53"/>
      <c r="X37" s="53"/>
      <c r="Y37" s="53"/>
      <c r="Z37" s="53"/>
      <c r="AA37" s="53"/>
      <c r="AB37" s="53"/>
      <c r="AC37" s="53"/>
      <c r="AD37" s="53"/>
      <c r="AE37" s="100"/>
      <c r="AF37" s="54" t="s">
        <v>61</v>
      </c>
      <c r="AG37" s="253" t="s">
        <v>1248</v>
      </c>
      <c r="AH37" s="54" t="s">
        <v>63</v>
      </c>
    </row>
    <row r="38" spans="1:34" s="68" customFormat="1" ht="13.5" customHeight="1" x14ac:dyDescent="0.35">
      <c r="A38" s="100"/>
      <c r="C38" s="100"/>
      <c r="D38" s="115"/>
      <c r="E38" s="115"/>
      <c r="F38" s="55" t="s">
        <v>220</v>
      </c>
      <c r="G38" s="55"/>
      <c r="H38" s="75" t="str">
        <f>IFERROR(INDEX(Rules!$F:$F,MATCH(G39,Rules!$E:$E,0)),"")</f>
        <v/>
      </c>
      <c r="I38" s="75" t="str">
        <f>IFERROR(INDEX(Rules!$G:$G,MATCH(G39,Rules!$E:$E,0)),"")</f>
        <v/>
      </c>
      <c r="J38" s="75" t="str">
        <f>IFERROR(INDEX(Rules!$H:$H,MATCH(G39,Rules!$E:$E,0)),"")</f>
        <v/>
      </c>
      <c r="K38" s="230" t="s">
        <v>221</v>
      </c>
      <c r="L38" s="69" t="s">
        <v>222</v>
      </c>
      <c r="M38" s="69"/>
      <c r="N38" s="69"/>
      <c r="O38" s="55" t="s">
        <v>223</v>
      </c>
      <c r="P38" s="69" t="s">
        <v>224</v>
      </c>
      <c r="Q38" s="55"/>
      <c r="R38" s="55"/>
      <c r="S38" s="55" t="s">
        <v>1040</v>
      </c>
      <c r="T38" s="55" t="s">
        <v>1051</v>
      </c>
      <c r="U38" s="55"/>
      <c r="V38" s="100"/>
      <c r="W38" s="53" t="s">
        <v>225</v>
      </c>
      <c r="X38" s="53" t="s">
        <v>137</v>
      </c>
      <c r="Y38" s="53"/>
      <c r="Z38" s="53"/>
      <c r="AA38" s="53"/>
      <c r="AB38" s="53"/>
      <c r="AC38" s="53"/>
      <c r="AD38" s="53"/>
      <c r="AE38" s="100"/>
      <c r="AF38" s="54" t="s">
        <v>61</v>
      </c>
      <c r="AG38" s="253" t="s">
        <v>1248</v>
      </c>
      <c r="AH38" s="54" t="s">
        <v>63</v>
      </c>
    </row>
    <row r="39" spans="1:34" s="68" customFormat="1" ht="13.5" customHeight="1" x14ac:dyDescent="0.35">
      <c r="A39" s="100"/>
      <c r="C39" s="100"/>
      <c r="D39" s="115"/>
      <c r="E39" s="115"/>
      <c r="F39" s="55" t="s">
        <v>226</v>
      </c>
      <c r="G39" s="55"/>
      <c r="H39" s="75" t="str">
        <f>IFERROR(INDEX(Rules!$F:$F,MATCH(G40,Rules!$E:$E,0)),"")</f>
        <v/>
      </c>
      <c r="I39" s="75" t="str">
        <f>IFERROR(INDEX(Rules!$G:$G,MATCH(G40,Rules!$E:$E,0)),"")</f>
        <v/>
      </c>
      <c r="J39" s="75" t="str">
        <f>IFERROR(INDEX(Rules!$H:$H,MATCH(G40,Rules!$E:$E,0)),"")</f>
        <v/>
      </c>
      <c r="K39" s="230" t="s">
        <v>1173</v>
      </c>
      <c r="L39" s="69" t="s">
        <v>227</v>
      </c>
      <c r="M39" s="69"/>
      <c r="N39" s="69"/>
      <c r="O39" s="55" t="s">
        <v>1192</v>
      </c>
      <c r="P39" s="69" t="s">
        <v>228</v>
      </c>
      <c r="Q39" s="55"/>
      <c r="R39" s="55"/>
      <c r="S39" s="55" t="s">
        <v>58</v>
      </c>
      <c r="T39" s="55" t="s">
        <v>59</v>
      </c>
      <c r="U39" s="55"/>
      <c r="V39" s="100"/>
      <c r="W39" s="53"/>
      <c r="X39" s="53" t="s">
        <v>229</v>
      </c>
      <c r="Y39" s="53"/>
      <c r="Z39" s="53"/>
      <c r="AA39" s="53"/>
      <c r="AB39" s="53"/>
      <c r="AC39" s="53"/>
      <c r="AD39" s="53"/>
      <c r="AE39" s="100"/>
      <c r="AF39" s="54" t="s">
        <v>61</v>
      </c>
      <c r="AG39" s="253" t="s">
        <v>1248</v>
      </c>
      <c r="AH39" s="54" t="s">
        <v>63</v>
      </c>
    </row>
    <row r="40" spans="1:34" s="68" customFormat="1" ht="13.5" customHeight="1" x14ac:dyDescent="0.35">
      <c r="A40" s="100"/>
      <c r="C40" s="100"/>
      <c r="D40" s="115"/>
      <c r="E40" s="115"/>
      <c r="F40" s="55" t="s">
        <v>230</v>
      </c>
      <c r="G40" s="55"/>
      <c r="H40" s="75" t="str">
        <f>IFERROR(INDEX(Rules!$F:$F,MATCH(G41,Rules!$E:$E,0)),"")</f>
        <v/>
      </c>
      <c r="I40" s="75" t="str">
        <f>IFERROR(INDEX(Rules!$G:$G,MATCH(G41,Rules!$E:$E,0)),"")</f>
        <v/>
      </c>
      <c r="J40" s="75" t="str">
        <f>IFERROR(INDEX(Rules!$H:$H,MATCH(G41,Rules!$E:$E,0)),"")</f>
        <v/>
      </c>
      <c r="K40" s="230" t="s">
        <v>231</v>
      </c>
      <c r="L40" s="69" t="s">
        <v>232</v>
      </c>
      <c r="M40" s="69"/>
      <c r="N40" s="69"/>
      <c r="O40" s="55" t="s">
        <v>233</v>
      </c>
      <c r="P40" s="69" t="s">
        <v>234</v>
      </c>
      <c r="Q40" s="55"/>
      <c r="R40" s="55"/>
      <c r="S40" s="55" t="s">
        <v>1040</v>
      </c>
      <c r="T40" s="55" t="s">
        <v>1051</v>
      </c>
      <c r="U40" s="55"/>
      <c r="V40" s="100"/>
      <c r="W40" s="53"/>
      <c r="X40" s="53" t="s">
        <v>1215</v>
      </c>
      <c r="Y40" s="53"/>
      <c r="Z40" s="53"/>
      <c r="AA40" s="53"/>
      <c r="AB40" s="53"/>
      <c r="AC40" s="53"/>
      <c r="AD40" s="53"/>
      <c r="AE40" s="100"/>
      <c r="AF40" s="54" t="s">
        <v>61</v>
      </c>
      <c r="AG40" s="253" t="s">
        <v>1248</v>
      </c>
      <c r="AH40" s="54" t="s">
        <v>63</v>
      </c>
    </row>
    <row r="41" spans="1:34" s="68" customFormat="1" ht="13.5" customHeight="1" x14ac:dyDescent="0.35">
      <c r="A41" s="100"/>
      <c r="C41" s="100"/>
      <c r="D41" s="115"/>
      <c r="E41" s="115"/>
      <c r="F41" s="55" t="s">
        <v>235</v>
      </c>
      <c r="G41" s="55"/>
      <c r="H41" s="75" t="str">
        <f>IFERROR(INDEX(Rules!$F:$F,MATCH(G42,Rules!$E:$E,0)),"")</f>
        <v/>
      </c>
      <c r="I41" s="75" t="str">
        <f>IFERROR(INDEX(Rules!$G:$G,MATCH(G42,Rules!$E:$E,0)),"")</f>
        <v/>
      </c>
      <c r="J41" s="75" t="str">
        <f>IFERROR(INDEX(Rules!$H:$H,MATCH(G42,Rules!$E:$E,0)),"")</f>
        <v/>
      </c>
      <c r="K41" s="69" t="s">
        <v>236</v>
      </c>
      <c r="L41" s="230" t="s">
        <v>237</v>
      </c>
      <c r="M41" s="69"/>
      <c r="N41" s="69"/>
      <c r="O41" s="55" t="s">
        <v>1200</v>
      </c>
      <c r="P41" s="69" t="s">
        <v>238</v>
      </c>
      <c r="Q41" s="55"/>
      <c r="R41" s="55"/>
      <c r="S41" s="55" t="s">
        <v>58</v>
      </c>
      <c r="T41" s="55" t="s">
        <v>59</v>
      </c>
      <c r="U41" s="55"/>
      <c r="V41" s="100"/>
      <c r="W41" s="53" t="s">
        <v>68</v>
      </c>
      <c r="X41" s="53" t="s">
        <v>69</v>
      </c>
      <c r="Y41" s="53"/>
      <c r="Z41" s="53"/>
      <c r="AA41" s="53"/>
      <c r="AB41" s="53"/>
      <c r="AC41" s="53"/>
      <c r="AD41" s="53"/>
      <c r="AE41" s="100"/>
      <c r="AF41" s="54" t="s">
        <v>61</v>
      </c>
      <c r="AG41" s="253" t="s">
        <v>1248</v>
      </c>
      <c r="AH41" s="54" t="s">
        <v>63</v>
      </c>
    </row>
    <row r="42" spans="1:34" s="68" customFormat="1" ht="13.5" customHeight="1" x14ac:dyDescent="0.35">
      <c r="A42" s="100"/>
      <c r="C42" s="100"/>
      <c r="D42" s="115"/>
      <c r="E42" s="115"/>
      <c r="F42" s="55" t="s">
        <v>239</v>
      </c>
      <c r="G42" s="55"/>
      <c r="H42" s="75" t="str">
        <f>IFERROR(INDEX(Rules!$F:$F,MATCH(G43,Rules!$E:$E,0)),"")</f>
        <v/>
      </c>
      <c r="I42" s="75" t="str">
        <f>IFERROR(INDEX(Rules!$G:$G,MATCH(G43,Rules!$E:$E,0)),"")</f>
        <v/>
      </c>
      <c r="J42" s="75" t="str">
        <f>IFERROR(INDEX(Rules!$H:$H,MATCH(G43,Rules!$E:$E,0)),"")</f>
        <v/>
      </c>
      <c r="K42" s="69" t="s">
        <v>240</v>
      </c>
      <c r="L42" s="230" t="s">
        <v>241</v>
      </c>
      <c r="M42" s="69"/>
      <c r="N42" s="69"/>
      <c r="O42" s="55" t="s">
        <v>1201</v>
      </c>
      <c r="P42" s="69" t="s">
        <v>242</v>
      </c>
      <c r="Q42" s="55"/>
      <c r="R42" s="55"/>
      <c r="S42" s="55" t="s">
        <v>58</v>
      </c>
      <c r="T42" s="55" t="s">
        <v>59</v>
      </c>
      <c r="U42" s="55"/>
      <c r="V42" s="100"/>
      <c r="W42" s="53" t="s">
        <v>68</v>
      </c>
      <c r="X42" s="53" t="s">
        <v>69</v>
      </c>
      <c r="Y42" s="53"/>
      <c r="Z42" s="53"/>
      <c r="AA42" s="53"/>
      <c r="AB42" s="53"/>
      <c r="AC42" s="53"/>
      <c r="AD42" s="53"/>
      <c r="AE42" s="100"/>
      <c r="AF42" s="54" t="s">
        <v>61</v>
      </c>
      <c r="AG42" s="253" t="s">
        <v>1248</v>
      </c>
      <c r="AH42" s="54" t="s">
        <v>63</v>
      </c>
    </row>
    <row r="43" spans="1:34" s="68" customFormat="1" ht="13.5" customHeight="1" x14ac:dyDescent="0.35">
      <c r="A43" s="100"/>
      <c r="C43" s="100"/>
      <c r="D43" s="115"/>
      <c r="E43" s="115"/>
      <c r="F43" s="55" t="s">
        <v>243</v>
      </c>
      <c r="G43" s="55"/>
      <c r="H43" s="75" t="str">
        <f>IFERROR(INDEX(Rules!$F:$F,MATCH(G44,Rules!$E:$E,0)),"")</f>
        <v/>
      </c>
      <c r="I43" s="75" t="str">
        <f>IFERROR(INDEX(Rules!$G:$G,MATCH(G44,Rules!$E:$E,0)),"")</f>
        <v/>
      </c>
      <c r="J43" s="75" t="str">
        <f>IFERROR(INDEX(Rules!$H:$H,MATCH(G44,Rules!$E:$E,0)),"")</f>
        <v/>
      </c>
      <c r="K43" s="230" t="s">
        <v>1193</v>
      </c>
      <c r="L43" s="69" t="s">
        <v>244</v>
      </c>
      <c r="M43" s="69"/>
      <c r="N43" s="69"/>
      <c r="O43" s="55" t="s">
        <v>245</v>
      </c>
      <c r="P43" s="69" t="s">
        <v>246</v>
      </c>
      <c r="Q43" s="55"/>
      <c r="R43" s="55"/>
      <c r="S43" s="55" t="s">
        <v>58</v>
      </c>
      <c r="T43" s="55" t="s">
        <v>59</v>
      </c>
      <c r="U43" s="55"/>
      <c r="V43" s="100"/>
      <c r="W43" s="53"/>
      <c r="X43" s="53"/>
      <c r="Y43" s="53"/>
      <c r="Z43" s="53"/>
      <c r="AA43" s="53"/>
      <c r="AB43" s="53"/>
      <c r="AC43" s="53"/>
      <c r="AD43" s="53"/>
      <c r="AE43" s="100"/>
      <c r="AF43" s="54" t="s">
        <v>61</v>
      </c>
      <c r="AG43" s="253" t="s">
        <v>1248</v>
      </c>
      <c r="AH43" s="54" t="s">
        <v>63</v>
      </c>
    </row>
    <row r="44" spans="1:34" s="68" customFormat="1" ht="13.5" customHeight="1" x14ac:dyDescent="0.35">
      <c r="A44" s="100"/>
      <c r="C44" s="100"/>
      <c r="D44" s="115"/>
      <c r="E44" s="115"/>
      <c r="F44" s="55" t="s">
        <v>247</v>
      </c>
      <c r="G44" s="55"/>
      <c r="H44" s="75" t="str">
        <f>IFERROR(INDEX(Rules!$F:$F,MATCH(G45,Rules!$E:$E,0)),"")</f>
        <v/>
      </c>
      <c r="I44" s="75" t="str">
        <f>IFERROR(INDEX(Rules!$G:$G,MATCH(G45,Rules!$E:$E,0)),"")</f>
        <v/>
      </c>
      <c r="J44" s="75" t="str">
        <f>IFERROR(INDEX(Rules!$H:$H,MATCH(G45,Rules!$E:$E,0)),"")</f>
        <v/>
      </c>
      <c r="K44" s="230" t="s">
        <v>1194</v>
      </c>
      <c r="L44" s="230" t="s">
        <v>248</v>
      </c>
      <c r="M44" s="69"/>
      <c r="N44" s="69"/>
      <c r="O44" s="55" t="s">
        <v>249</v>
      </c>
      <c r="P44" s="69" t="s">
        <v>250</v>
      </c>
      <c r="Q44" s="55"/>
      <c r="R44" s="55"/>
      <c r="S44" s="55" t="s">
        <v>58</v>
      </c>
      <c r="T44" s="55" t="s">
        <v>59</v>
      </c>
      <c r="U44" s="55"/>
      <c r="V44" s="100"/>
      <c r="W44" s="53" t="s">
        <v>84</v>
      </c>
      <c r="X44" s="53"/>
      <c r="Y44" s="53"/>
      <c r="Z44" s="53"/>
      <c r="AA44" s="53"/>
      <c r="AB44" s="53"/>
      <c r="AC44" s="53"/>
      <c r="AD44" s="53"/>
      <c r="AE44" s="100"/>
      <c r="AF44" s="54" t="s">
        <v>61</v>
      </c>
      <c r="AG44" s="253" t="s">
        <v>1248</v>
      </c>
      <c r="AH44" s="54" t="s">
        <v>63</v>
      </c>
    </row>
    <row r="45" spans="1:34" s="68" customFormat="1" ht="13.5" customHeight="1" x14ac:dyDescent="0.35">
      <c r="A45" s="100"/>
      <c r="C45" s="100"/>
      <c r="D45" s="115"/>
      <c r="E45" s="115"/>
      <c r="F45" s="55" t="s">
        <v>251</v>
      </c>
      <c r="G45" s="55"/>
      <c r="H45" s="75" t="str">
        <f>IFERROR(INDEX(Rules!$F:$F,MATCH(G46,Rules!$E:$E,0)),"")</f>
        <v/>
      </c>
      <c r="I45" s="75" t="str">
        <f>IFERROR(INDEX(Rules!$G:$G,MATCH(G46,Rules!$E:$E,0)),"")</f>
        <v/>
      </c>
      <c r="J45" s="75" t="str">
        <f>IFERROR(INDEX(Rules!$H:$H,MATCH(G46,Rules!$E:$E,0)),"")</f>
        <v/>
      </c>
      <c r="K45" s="230" t="s">
        <v>1195</v>
      </c>
      <c r="L45" s="69" t="s">
        <v>252</v>
      </c>
      <c r="M45" s="69"/>
      <c r="N45" s="69"/>
      <c r="O45" s="55" t="s">
        <v>253</v>
      </c>
      <c r="P45" s="69" t="s">
        <v>254</v>
      </c>
      <c r="Q45" s="55"/>
      <c r="R45" s="55"/>
      <c r="S45" s="55" t="s">
        <v>116</v>
      </c>
      <c r="T45" s="55" t="s">
        <v>255</v>
      </c>
      <c r="U45" s="55"/>
      <c r="V45" s="100"/>
      <c r="W45" s="53" t="s">
        <v>179</v>
      </c>
      <c r="X45" s="53" t="s">
        <v>180</v>
      </c>
      <c r="Y45" s="53" t="s">
        <v>181</v>
      </c>
      <c r="Z45" s="53" t="s">
        <v>182</v>
      </c>
      <c r="AA45" s="53"/>
      <c r="AB45" s="53"/>
      <c r="AC45" s="53"/>
      <c r="AD45" s="53"/>
      <c r="AE45" s="100"/>
      <c r="AF45" s="54" t="s">
        <v>61</v>
      </c>
      <c r="AG45" s="253" t="s">
        <v>1248</v>
      </c>
      <c r="AH45" s="54" t="s">
        <v>63</v>
      </c>
    </row>
    <row r="46" spans="1:34" s="68" customFormat="1" ht="13.5" customHeight="1" x14ac:dyDescent="0.35">
      <c r="A46" s="100"/>
      <c r="C46" s="100"/>
      <c r="D46" s="115"/>
      <c r="E46" s="115"/>
      <c r="F46" s="55" t="s">
        <v>256</v>
      </c>
      <c r="G46" s="55"/>
      <c r="H46" s="75" t="str">
        <f>IFERROR(INDEX(Rules!$F:$F,MATCH(G47,Rules!$E:$E,0)),"")</f>
        <v/>
      </c>
      <c r="I46" s="75" t="str">
        <f>IFERROR(INDEX(Rules!$G:$G,MATCH(G47,Rules!$E:$E,0)),"")</f>
        <v/>
      </c>
      <c r="J46" s="75" t="str">
        <f>IFERROR(INDEX(Rules!$H:$H,MATCH(G47,Rules!$E:$E,0)),"")</f>
        <v/>
      </c>
      <c r="K46" s="230" t="s">
        <v>1196</v>
      </c>
      <c r="L46" s="69" t="s">
        <v>257</v>
      </c>
      <c r="M46" s="69"/>
      <c r="N46" s="69"/>
      <c r="O46" s="55" t="s">
        <v>258</v>
      </c>
      <c r="P46" s="69" t="s">
        <v>259</v>
      </c>
      <c r="Q46" s="55"/>
      <c r="R46" s="55"/>
      <c r="S46" s="55" t="s">
        <v>116</v>
      </c>
      <c r="T46" s="55" t="s">
        <v>1126</v>
      </c>
      <c r="U46" s="55"/>
      <c r="V46" s="100"/>
      <c r="W46" s="53" t="s">
        <v>261</v>
      </c>
      <c r="X46" s="53" t="s">
        <v>262</v>
      </c>
      <c r="Y46" s="53" t="s">
        <v>1230</v>
      </c>
      <c r="Z46" s="53"/>
      <c r="AA46" s="53"/>
      <c r="AB46" s="53"/>
      <c r="AC46" s="53"/>
      <c r="AD46" s="53"/>
      <c r="AE46" s="100"/>
      <c r="AF46" s="54" t="s">
        <v>61</v>
      </c>
      <c r="AG46" s="253" t="s">
        <v>1248</v>
      </c>
      <c r="AH46" s="54" t="s">
        <v>63</v>
      </c>
    </row>
    <row r="47" spans="1:34" s="68" customFormat="1" ht="13.5" customHeight="1" x14ac:dyDescent="0.35">
      <c r="A47" s="100"/>
      <c r="C47" s="100"/>
      <c r="D47" s="115"/>
      <c r="E47" s="115"/>
      <c r="F47" s="55" t="s">
        <v>263</v>
      </c>
      <c r="G47" s="55"/>
      <c r="H47" s="75" t="str">
        <f>IFERROR(INDEX(Rules!$F:$F,MATCH(G48,Rules!$E:$E,0)),"")</f>
        <v/>
      </c>
      <c r="I47" s="75" t="str">
        <f>IFERROR(INDEX(Rules!$G:$G,MATCH(G48,Rules!$E:$E,0)),"")</f>
        <v/>
      </c>
      <c r="J47" s="75" t="str">
        <f>IFERROR(INDEX(Rules!$H:$H,MATCH(G48,Rules!$E:$E,0)),"")</f>
        <v/>
      </c>
      <c r="K47" s="230" t="s">
        <v>1197</v>
      </c>
      <c r="L47" s="69" t="s">
        <v>264</v>
      </c>
      <c r="M47" s="69"/>
      <c r="N47" s="69"/>
      <c r="O47" s="55" t="s">
        <v>265</v>
      </c>
      <c r="P47" s="69" t="s">
        <v>266</v>
      </c>
      <c r="Q47" s="55"/>
      <c r="R47" s="55"/>
      <c r="S47" s="55" t="s">
        <v>116</v>
      </c>
      <c r="T47" s="55" t="s">
        <v>117</v>
      </c>
      <c r="U47" s="55"/>
      <c r="V47" s="100"/>
      <c r="W47" s="53" t="s">
        <v>173</v>
      </c>
      <c r="X47" s="53" t="s">
        <v>262</v>
      </c>
      <c r="Y47" s="53" t="s">
        <v>120</v>
      </c>
      <c r="Z47" s="53" t="s">
        <v>121</v>
      </c>
      <c r="AA47" s="53"/>
      <c r="AB47" s="53"/>
      <c r="AC47" s="53"/>
      <c r="AD47" s="53"/>
      <c r="AE47" s="100"/>
      <c r="AF47" s="54" t="s">
        <v>61</v>
      </c>
      <c r="AG47" s="253" t="s">
        <v>1248</v>
      </c>
      <c r="AH47" s="54" t="s">
        <v>63</v>
      </c>
    </row>
    <row r="48" spans="1:34" s="68" customFormat="1" ht="13.5" customHeight="1" x14ac:dyDescent="0.35">
      <c r="A48" s="100"/>
      <c r="C48" s="100"/>
      <c r="D48" s="115"/>
      <c r="E48" s="115"/>
      <c r="F48" s="55" t="s">
        <v>267</v>
      </c>
      <c r="G48" s="55"/>
      <c r="H48" s="75" t="str">
        <f>IFERROR(INDEX(Rules!$F:$F,MATCH(#REF!,Rules!$E:$E,0)),"")</f>
        <v/>
      </c>
      <c r="I48" s="75" t="str">
        <f>IFERROR(INDEX(Rules!$G:$G,MATCH(#REF!,Rules!$E:$E,0)),"")</f>
        <v/>
      </c>
      <c r="J48" s="75" t="str">
        <f>IFERROR(INDEX(Rules!$H:$H,MATCH(#REF!,Rules!$E:$E,0)),"")</f>
        <v/>
      </c>
      <c r="K48" s="230" t="s">
        <v>1198</v>
      </c>
      <c r="L48" s="69" t="s">
        <v>268</v>
      </c>
      <c r="M48" s="69"/>
      <c r="N48" s="69"/>
      <c r="O48" s="55" t="s">
        <v>269</v>
      </c>
      <c r="P48" s="69" t="s">
        <v>270</v>
      </c>
      <c r="Q48" s="55"/>
      <c r="R48" s="55"/>
      <c r="S48" s="55" t="s">
        <v>116</v>
      </c>
      <c r="T48" s="55" t="s">
        <v>117</v>
      </c>
      <c r="U48" s="55"/>
      <c r="V48" s="100"/>
      <c r="W48" s="53" t="s">
        <v>173</v>
      </c>
      <c r="X48" s="53" t="s">
        <v>262</v>
      </c>
      <c r="Y48" s="53" t="s">
        <v>120</v>
      </c>
      <c r="Z48" s="53" t="s">
        <v>121</v>
      </c>
      <c r="AA48" s="53"/>
      <c r="AB48" s="53"/>
      <c r="AC48" s="53"/>
      <c r="AD48" s="53"/>
      <c r="AE48" s="100"/>
      <c r="AF48" s="54" t="s">
        <v>61</v>
      </c>
      <c r="AG48" s="253" t="s">
        <v>1248</v>
      </c>
      <c r="AH48" s="54" t="s">
        <v>63</v>
      </c>
    </row>
    <row r="49" spans="1:34" s="68" customFormat="1" ht="13.5" customHeight="1" x14ac:dyDescent="0.35">
      <c r="A49" s="100"/>
      <c r="C49" s="100"/>
      <c r="D49" s="115"/>
      <c r="E49" s="115"/>
      <c r="F49" s="55" t="s">
        <v>273</v>
      </c>
      <c r="G49" s="55"/>
      <c r="H49" s="75" t="str">
        <f>IFERROR(INDEX(Rules!$F:$F,MATCH(G50,Rules!$E:$E,0)),"")</f>
        <v/>
      </c>
      <c r="I49" s="75" t="str">
        <f>IFERROR(INDEX(Rules!$G:$G,MATCH(G50,Rules!$E:$E,0)),"")</f>
        <v/>
      </c>
      <c r="J49" s="75" t="str">
        <f>IFERROR(INDEX(Rules!$H:$H,MATCH(G50,Rules!$E:$E,0)),"")</f>
        <v/>
      </c>
      <c r="K49" s="230" t="s">
        <v>274</v>
      </c>
      <c r="L49" s="69" t="s">
        <v>275</v>
      </c>
      <c r="M49" s="69"/>
      <c r="N49" s="69"/>
      <c r="O49" s="55" t="s">
        <v>276</v>
      </c>
      <c r="P49" s="69" t="s">
        <v>277</v>
      </c>
      <c r="Q49" s="55"/>
      <c r="R49" s="55"/>
      <c r="S49" s="55" t="s">
        <v>1040</v>
      </c>
      <c r="T49" s="55" t="s">
        <v>1051</v>
      </c>
      <c r="U49" s="55"/>
      <c r="V49" s="100"/>
      <c r="W49" s="53" t="s">
        <v>278</v>
      </c>
      <c r="X49" s="53" t="s">
        <v>279</v>
      </c>
      <c r="Y49" s="53"/>
      <c r="Z49" s="53"/>
      <c r="AA49" s="53"/>
      <c r="AB49" s="53"/>
      <c r="AC49" s="53"/>
      <c r="AD49" s="53"/>
      <c r="AE49" s="100"/>
      <c r="AF49" s="54" t="s">
        <v>61</v>
      </c>
      <c r="AG49" s="253" t="s">
        <v>1248</v>
      </c>
      <c r="AH49" s="54" t="s">
        <v>63</v>
      </c>
    </row>
    <row r="50" spans="1:34" s="68" customFormat="1" ht="13.5" customHeight="1" x14ac:dyDescent="0.35">
      <c r="A50" s="100"/>
      <c r="C50" s="100"/>
      <c r="D50" s="115"/>
      <c r="E50" s="115"/>
      <c r="F50" s="55" t="s">
        <v>280</v>
      </c>
      <c r="G50" s="55"/>
      <c r="H50" s="75" t="str">
        <f>IFERROR(INDEX(Rules!$F:$F,MATCH(G51,Rules!$E:$E,0)),"")</f>
        <v/>
      </c>
      <c r="I50" s="75" t="str">
        <f>IFERROR(INDEX(Rules!$G:$G,MATCH(G51,Rules!$E:$E,0)),"")</f>
        <v/>
      </c>
      <c r="J50" s="75" t="str">
        <f>IFERROR(INDEX(Rules!$H:$H,MATCH(G51,Rules!$E:$E,0)),"")</f>
        <v/>
      </c>
      <c r="K50" s="230" t="s">
        <v>281</v>
      </c>
      <c r="L50" s="69" t="s">
        <v>282</v>
      </c>
      <c r="M50" s="69"/>
      <c r="N50" s="69"/>
      <c r="O50" s="55" t="s">
        <v>283</v>
      </c>
      <c r="P50" s="69" t="s">
        <v>284</v>
      </c>
      <c r="Q50" s="55"/>
      <c r="R50" s="55"/>
      <c r="S50" s="55" t="s">
        <v>58</v>
      </c>
      <c r="T50" s="55" t="s">
        <v>59</v>
      </c>
      <c r="U50" s="55"/>
      <c r="V50" s="100"/>
      <c r="W50" s="53"/>
      <c r="X50" s="53"/>
      <c r="Y50" s="53"/>
      <c r="Z50" s="53"/>
      <c r="AA50" s="53"/>
      <c r="AB50" s="53"/>
      <c r="AC50" s="53"/>
      <c r="AD50" s="53"/>
      <c r="AE50" s="100"/>
      <c r="AF50" s="54" t="s">
        <v>61</v>
      </c>
      <c r="AG50" s="253" t="s">
        <v>1248</v>
      </c>
      <c r="AH50" s="54" t="s">
        <v>63</v>
      </c>
    </row>
    <row r="51" spans="1:34" s="68" customFormat="1" ht="13.5" customHeight="1" x14ac:dyDescent="0.35">
      <c r="A51" s="100"/>
      <c r="C51" s="100"/>
      <c r="D51" s="115"/>
      <c r="E51" s="115"/>
      <c r="F51" s="55" t="s">
        <v>285</v>
      </c>
      <c r="G51" s="55"/>
      <c r="H51" s="75" t="str">
        <f>IFERROR(INDEX(Rules!$F:$F,MATCH(G52,Rules!$E:$E,0)),"")</f>
        <v/>
      </c>
      <c r="I51" s="75" t="str">
        <f>IFERROR(INDEX(Rules!$G:$G,MATCH(G52,Rules!$E:$E,0)),"")</f>
        <v/>
      </c>
      <c r="J51" s="75" t="str">
        <f>IFERROR(INDEX(Rules!$H:$H,MATCH(G52,Rules!$E:$E,0)),"")</f>
        <v/>
      </c>
      <c r="K51" s="230" t="s">
        <v>286</v>
      </c>
      <c r="L51" s="69" t="s">
        <v>287</v>
      </c>
      <c r="M51" s="69"/>
      <c r="N51" s="69"/>
      <c r="O51" s="55" t="s">
        <v>288</v>
      </c>
      <c r="P51" s="69" t="s">
        <v>289</v>
      </c>
      <c r="Q51" s="55"/>
      <c r="R51" s="55"/>
      <c r="S51" s="55" t="s">
        <v>58</v>
      </c>
      <c r="T51" s="55" t="s">
        <v>59</v>
      </c>
      <c r="U51" s="55"/>
      <c r="V51" s="100"/>
      <c r="W51" s="53"/>
      <c r="X51" s="53"/>
      <c r="Y51" s="53"/>
      <c r="Z51" s="53"/>
      <c r="AA51" s="53"/>
      <c r="AB51" s="53"/>
      <c r="AC51" s="53"/>
      <c r="AD51" s="53"/>
      <c r="AE51" s="100"/>
      <c r="AF51" s="54" t="s">
        <v>61</v>
      </c>
      <c r="AG51" s="253" t="s">
        <v>1248</v>
      </c>
      <c r="AH51" s="54" t="s">
        <v>63</v>
      </c>
    </row>
    <row r="52" spans="1:34" s="68" customFormat="1" ht="13.5" customHeight="1" x14ac:dyDescent="0.35">
      <c r="A52" s="100"/>
      <c r="C52" s="100"/>
      <c r="D52" s="115"/>
      <c r="E52" s="115"/>
      <c r="F52" s="55" t="s">
        <v>290</v>
      </c>
      <c r="G52" s="55"/>
      <c r="H52" s="75" t="str">
        <f>IFERROR(INDEX(Rules!$F:$F,MATCH(G53,Rules!$E:$E,0)),"")</f>
        <v/>
      </c>
      <c r="I52" s="75" t="str">
        <f>IFERROR(INDEX(Rules!$G:$G,MATCH(G53,Rules!$E:$E,0)),"")</f>
        <v/>
      </c>
      <c r="J52" s="75" t="str">
        <f>IFERROR(INDEX(Rules!$H:$H,MATCH(G53,Rules!$E:$E,0)),"")</f>
        <v/>
      </c>
      <c r="K52" s="230" t="s">
        <v>291</v>
      </c>
      <c r="L52" s="69" t="s">
        <v>292</v>
      </c>
      <c r="M52" s="69"/>
      <c r="N52" s="69"/>
      <c r="O52" s="55" t="s">
        <v>293</v>
      </c>
      <c r="P52" s="69" t="s">
        <v>294</v>
      </c>
      <c r="Q52" s="55"/>
      <c r="R52" s="55"/>
      <c r="S52" s="55" t="s">
        <v>58</v>
      </c>
      <c r="T52" s="55" t="s">
        <v>59</v>
      </c>
      <c r="U52" s="55"/>
      <c r="V52" s="100"/>
      <c r="W52" s="53" t="s">
        <v>295</v>
      </c>
      <c r="X52" s="53"/>
      <c r="Y52" s="53"/>
      <c r="Z52" s="53"/>
      <c r="AA52" s="53"/>
      <c r="AB52" s="53"/>
      <c r="AC52" s="53"/>
      <c r="AD52" s="53"/>
      <c r="AE52" s="100"/>
      <c r="AF52" s="54" t="s">
        <v>61</v>
      </c>
      <c r="AG52" s="253" t="s">
        <v>1248</v>
      </c>
      <c r="AH52" s="54" t="s">
        <v>63</v>
      </c>
    </row>
    <row r="53" spans="1:34" s="68" customFormat="1" ht="13.5" customHeight="1" x14ac:dyDescent="0.35">
      <c r="A53" s="100"/>
      <c r="C53" s="100"/>
      <c r="D53" s="115"/>
      <c r="E53" s="115"/>
      <c r="F53" s="55" t="s">
        <v>296</v>
      </c>
      <c r="G53" s="55"/>
      <c r="H53" s="75" t="str">
        <f>IFERROR(INDEX(Rules!$F:$F,MATCH(G54,Rules!$E:$E,0)),"")</f>
        <v/>
      </c>
      <c r="I53" s="75" t="str">
        <f>IFERROR(INDEX(Rules!$G:$G,MATCH(G54,Rules!$E:$E,0)),"")</f>
        <v/>
      </c>
      <c r="J53" s="75" t="str">
        <f>IFERROR(INDEX(Rules!$H:$H,MATCH(G54,Rules!$E:$E,0)),"")</f>
        <v/>
      </c>
      <c r="K53" s="230" t="s">
        <v>297</v>
      </c>
      <c r="L53" s="69" t="s">
        <v>298</v>
      </c>
      <c r="M53" s="69"/>
      <c r="N53" s="69"/>
      <c r="O53" s="55" t="s">
        <v>299</v>
      </c>
      <c r="P53" s="69" t="s">
        <v>300</v>
      </c>
      <c r="Q53" s="55"/>
      <c r="R53" s="55"/>
      <c r="S53" s="55" t="s">
        <v>58</v>
      </c>
      <c r="T53" s="55" t="s">
        <v>59</v>
      </c>
      <c r="U53" s="55"/>
      <c r="V53" s="100"/>
      <c r="W53" s="53" t="s">
        <v>213</v>
      </c>
      <c r="X53" s="53" t="s">
        <v>214</v>
      </c>
      <c r="Y53" s="53"/>
      <c r="Z53" s="53"/>
      <c r="AA53" s="53"/>
      <c r="AB53" s="53"/>
      <c r="AC53" s="53"/>
      <c r="AD53" s="53"/>
      <c r="AF53" s="54" t="s">
        <v>61</v>
      </c>
      <c r="AG53" s="253" t="s">
        <v>1248</v>
      </c>
      <c r="AH53" s="54" t="s">
        <v>63</v>
      </c>
    </row>
    <row r="54" spans="1:34" s="68" customFormat="1" ht="13.5" customHeight="1" x14ac:dyDescent="0.35">
      <c r="D54" s="55"/>
      <c r="E54" s="55"/>
      <c r="F54" s="55" t="s">
        <v>301</v>
      </c>
      <c r="G54" s="55"/>
      <c r="H54" s="75" t="str">
        <f>IFERROR(INDEX(Rules!$F:$F,MATCH(G55,Rules!$E:$E,0)),"")</f>
        <v/>
      </c>
      <c r="I54" s="75" t="str">
        <f>IFERROR(INDEX(Rules!$G:$G,MATCH(G55,Rules!$E:$E,0)),"")</f>
        <v/>
      </c>
      <c r="J54" s="75" t="str">
        <f>IFERROR(INDEX(Rules!$H:$H,MATCH(G55,Rules!$E:$E,0)),"")</f>
        <v/>
      </c>
      <c r="K54" s="230" t="s">
        <v>302</v>
      </c>
      <c r="L54" s="69" t="s">
        <v>303</v>
      </c>
      <c r="M54" s="69"/>
      <c r="N54" s="69"/>
      <c r="O54" s="69" t="s">
        <v>304</v>
      </c>
      <c r="P54" s="69" t="s">
        <v>305</v>
      </c>
      <c r="Q54" s="69"/>
      <c r="R54" s="69"/>
      <c r="S54" s="69" t="s">
        <v>58</v>
      </c>
      <c r="T54" s="69" t="s">
        <v>59</v>
      </c>
      <c r="U54" s="55"/>
      <c r="W54" s="53"/>
      <c r="X54" s="53"/>
      <c r="Y54" s="53"/>
      <c r="Z54" s="53"/>
      <c r="AA54" s="114"/>
      <c r="AB54" s="53"/>
      <c r="AC54" s="114"/>
      <c r="AD54" s="53"/>
      <c r="AF54" s="53" t="s">
        <v>61</v>
      </c>
      <c r="AG54" s="253" t="s">
        <v>1248</v>
      </c>
      <c r="AH54" s="54" t="s">
        <v>63</v>
      </c>
    </row>
    <row r="55" spans="1:34" ht="13.5" customHeight="1" x14ac:dyDescent="0.3">
      <c r="D55" s="55"/>
      <c r="E55" s="55"/>
      <c r="F55" s="55" t="s">
        <v>306</v>
      </c>
      <c r="G55" s="55"/>
      <c r="H55" s="75" t="str">
        <f>IFERROR(INDEX(Rules!$F:$F,MATCH(G56,Rules!$E:$E,0)),"")</f>
        <v/>
      </c>
      <c r="I55" s="75" t="str">
        <f>IFERROR(INDEX(Rules!$G:$G,MATCH(G56,Rules!$E:$E,0)),"")</f>
        <v/>
      </c>
      <c r="J55" s="75" t="str">
        <f>IFERROR(INDEX(Rules!$H:$H,MATCH(G56,Rules!$E:$E,0)),"")</f>
        <v/>
      </c>
      <c r="K55" s="230" t="s">
        <v>1174</v>
      </c>
      <c r="L55" s="69" t="s">
        <v>307</v>
      </c>
      <c r="M55" s="69"/>
      <c r="N55" s="69"/>
      <c r="O55" s="230" t="s">
        <v>308</v>
      </c>
      <c r="P55" s="69" t="s">
        <v>309</v>
      </c>
      <c r="Q55" s="69"/>
      <c r="R55" s="69"/>
      <c r="S55" s="69" t="s">
        <v>58</v>
      </c>
      <c r="T55" s="69" t="s">
        <v>59</v>
      </c>
      <c r="U55" s="55"/>
      <c r="W55" s="53"/>
      <c r="X55" s="53"/>
      <c r="Y55" s="53"/>
      <c r="Z55" s="53"/>
      <c r="AA55" s="114"/>
      <c r="AB55" s="53"/>
      <c r="AC55" s="114"/>
      <c r="AD55" s="53"/>
      <c r="AF55" s="53" t="s">
        <v>61</v>
      </c>
      <c r="AG55" s="253" t="s">
        <v>1248</v>
      </c>
      <c r="AH55" s="54" t="s">
        <v>63</v>
      </c>
    </row>
    <row r="56" spans="1:34" ht="13.5" customHeight="1" x14ac:dyDescent="0.3">
      <c r="D56" s="55"/>
      <c r="E56" s="55"/>
      <c r="F56" s="55" t="s">
        <v>310</v>
      </c>
      <c r="G56" s="55"/>
      <c r="H56" s="75" t="str">
        <f>IFERROR(INDEX(Rules!$F:$F,MATCH(G57,Rules!$E:$E,0)),"")</f>
        <v/>
      </c>
      <c r="I56" s="75" t="str">
        <f>IFERROR(INDEX(Rules!$G:$G,MATCH(G57,Rules!$E:$E,0)),"")</f>
        <v/>
      </c>
      <c r="J56" s="75" t="str">
        <f>IFERROR(INDEX(Rules!$H:$H,MATCH(G57,Rules!$E:$E,0)),"")</f>
        <v/>
      </c>
      <c r="K56" s="230" t="s">
        <v>1175</v>
      </c>
      <c r="L56" s="69" t="s">
        <v>311</v>
      </c>
      <c r="M56" s="69"/>
      <c r="N56" s="69"/>
      <c r="O56" s="69" t="s">
        <v>312</v>
      </c>
      <c r="P56" s="69" t="s">
        <v>313</v>
      </c>
      <c r="Q56" s="69"/>
      <c r="R56" s="69"/>
      <c r="S56" s="69" t="s">
        <v>58</v>
      </c>
      <c r="T56" s="69" t="s">
        <v>59</v>
      </c>
      <c r="U56" s="55"/>
      <c r="W56" s="53"/>
      <c r="X56" s="53"/>
      <c r="Y56" s="53"/>
      <c r="Z56" s="53"/>
      <c r="AA56" s="114"/>
      <c r="AB56" s="53"/>
      <c r="AC56" s="114"/>
      <c r="AD56" s="53"/>
      <c r="AF56" s="53" t="s">
        <v>61</v>
      </c>
      <c r="AG56" s="253" t="s">
        <v>1248</v>
      </c>
      <c r="AH56" s="54" t="s">
        <v>63</v>
      </c>
    </row>
    <row r="57" spans="1:34" ht="13.5" customHeight="1" x14ac:dyDescent="0.3">
      <c r="D57" s="55"/>
      <c r="E57" s="55"/>
      <c r="F57" s="55" t="s">
        <v>314</v>
      </c>
      <c r="G57" s="55"/>
      <c r="H57" s="75" t="str">
        <f>IFERROR(INDEX(Rules!$F:$F,MATCH(G58,Rules!$E:$E,0)),"")</f>
        <v/>
      </c>
      <c r="I57" s="75" t="str">
        <f>IFERROR(INDEX(Rules!$G:$G,MATCH(G58,Rules!$E:$E,0)),"")</f>
        <v/>
      </c>
      <c r="J57" s="75" t="str">
        <f>IFERROR(INDEX(Rules!$H:$H,MATCH(G58,Rules!$E:$E,0)),"")</f>
        <v/>
      </c>
      <c r="K57" s="230" t="s">
        <v>315</v>
      </c>
      <c r="L57" s="69" t="s">
        <v>316</v>
      </c>
      <c r="M57" s="69"/>
      <c r="N57" s="69"/>
      <c r="O57" s="69" t="s">
        <v>317</v>
      </c>
      <c r="P57" s="69" t="s">
        <v>318</v>
      </c>
      <c r="Q57" s="69"/>
      <c r="R57" s="69"/>
      <c r="S57" s="69" t="s">
        <v>116</v>
      </c>
      <c r="T57" s="69" t="s">
        <v>255</v>
      </c>
      <c r="U57" s="55"/>
      <c r="W57" s="53" t="s">
        <v>319</v>
      </c>
      <c r="X57" s="53" t="s">
        <v>180</v>
      </c>
      <c r="Y57" s="53" t="s">
        <v>181</v>
      </c>
      <c r="Z57" s="53" t="s">
        <v>182</v>
      </c>
      <c r="AA57" s="114"/>
      <c r="AB57" s="53"/>
      <c r="AC57" s="114"/>
      <c r="AD57" s="53"/>
      <c r="AF57" s="53" t="s">
        <v>61</v>
      </c>
      <c r="AG57" s="253" t="s">
        <v>1248</v>
      </c>
      <c r="AH57" s="54" t="s">
        <v>63</v>
      </c>
    </row>
    <row r="58" spans="1:34" ht="13.5" customHeight="1" x14ac:dyDescent="0.3">
      <c r="D58" s="55"/>
      <c r="E58" s="55"/>
      <c r="F58" s="55" t="s">
        <v>320</v>
      </c>
      <c r="G58" s="55"/>
      <c r="H58" s="75" t="str">
        <f>IFERROR(INDEX(Rules!$F:$F,MATCH(G59,Rules!$E:$E,0)),"")</f>
        <v/>
      </c>
      <c r="I58" s="75" t="str">
        <f>IFERROR(INDEX(Rules!$G:$G,MATCH(G59,Rules!$E:$E,0)),"")</f>
        <v/>
      </c>
      <c r="J58" s="75" t="str">
        <f>IFERROR(INDEX(Rules!$H:$H,MATCH(G59,Rules!$E:$E,0)),"")</f>
        <v/>
      </c>
      <c r="K58" s="230" t="s">
        <v>321</v>
      </c>
      <c r="L58" s="69" t="s">
        <v>322</v>
      </c>
      <c r="M58" s="69"/>
      <c r="N58" s="69"/>
      <c r="O58" s="69" t="s">
        <v>323</v>
      </c>
      <c r="P58" s="69" t="s">
        <v>324</v>
      </c>
      <c r="Q58" s="69"/>
      <c r="R58" s="69"/>
      <c r="S58" s="69" t="s">
        <v>116</v>
      </c>
      <c r="T58" s="69" t="s">
        <v>1126</v>
      </c>
      <c r="U58" s="55"/>
      <c r="W58" s="53" t="s">
        <v>261</v>
      </c>
      <c r="X58" s="53" t="s">
        <v>262</v>
      </c>
      <c r="Y58" s="53" t="s">
        <v>1230</v>
      </c>
      <c r="Z58" s="53"/>
      <c r="AA58" s="114"/>
      <c r="AB58" s="53"/>
      <c r="AC58" s="114"/>
      <c r="AD58" s="53"/>
      <c r="AF58" s="53" t="s">
        <v>61</v>
      </c>
      <c r="AG58" s="253" t="s">
        <v>1248</v>
      </c>
      <c r="AH58" s="54" t="s">
        <v>63</v>
      </c>
    </row>
    <row r="59" spans="1:34" ht="13.5" customHeight="1" x14ac:dyDescent="0.3">
      <c r="D59" s="55"/>
      <c r="E59" s="55"/>
      <c r="F59" s="55" t="s">
        <v>325</v>
      </c>
      <c r="G59" s="55"/>
      <c r="H59" s="75" t="str">
        <f>IFERROR(INDEX(Rules!$F:$F,MATCH(G60,Rules!$E:$E,0)),"")</f>
        <v/>
      </c>
      <c r="I59" s="75" t="str">
        <f>IFERROR(INDEX(Rules!$G:$G,MATCH(G60,Rules!$E:$E,0)),"")</f>
        <v/>
      </c>
      <c r="J59" s="75" t="str">
        <f>IFERROR(INDEX(Rules!$H:$H,MATCH(G60,Rules!$E:$E,0)),"")</f>
        <v/>
      </c>
      <c r="K59" s="230" t="s">
        <v>326</v>
      </c>
      <c r="L59" s="69" t="s">
        <v>327</v>
      </c>
      <c r="M59" s="69"/>
      <c r="N59" s="69"/>
      <c r="O59" s="69" t="s">
        <v>328</v>
      </c>
      <c r="P59" s="69" t="s">
        <v>329</v>
      </c>
      <c r="Q59" s="69"/>
      <c r="R59" s="69"/>
      <c r="S59" s="69" t="s">
        <v>116</v>
      </c>
      <c r="T59" s="69" t="s">
        <v>1126</v>
      </c>
      <c r="U59" s="55"/>
      <c r="W59" s="53" t="s">
        <v>330</v>
      </c>
      <c r="X59" s="53" t="s">
        <v>331</v>
      </c>
      <c r="Y59" s="53" t="s">
        <v>1230</v>
      </c>
      <c r="Z59" s="53"/>
      <c r="AA59" s="114"/>
      <c r="AB59" s="53"/>
      <c r="AC59" s="114"/>
      <c r="AD59" s="53"/>
      <c r="AF59" s="53" t="s">
        <v>61</v>
      </c>
      <c r="AG59" s="253" t="s">
        <v>1248</v>
      </c>
      <c r="AH59" s="54" t="s">
        <v>63</v>
      </c>
    </row>
    <row r="60" spans="1:34" ht="13.5" customHeight="1" x14ac:dyDescent="0.3">
      <c r="D60" s="55"/>
      <c r="E60" s="55"/>
      <c r="F60" s="55" t="s">
        <v>332</v>
      </c>
      <c r="G60" s="55"/>
      <c r="H60" s="75" t="str">
        <f>IFERROR(INDEX(Rules!$F:$F,MATCH(G61,Rules!$E:$E,0)),"")</f>
        <v/>
      </c>
      <c r="I60" s="75" t="str">
        <f>IFERROR(INDEX(Rules!$G:$G,MATCH(G61,Rules!$E:$E,0)),"")</f>
        <v/>
      </c>
      <c r="J60" s="75" t="str">
        <f>IFERROR(INDEX(Rules!$H:$H,MATCH(G61,Rules!$E:$E,0)),"")</f>
        <v/>
      </c>
      <c r="K60" s="230" t="s">
        <v>333</v>
      </c>
      <c r="L60" s="69" t="s">
        <v>334</v>
      </c>
      <c r="M60" s="69"/>
      <c r="N60" s="69"/>
      <c r="O60" s="69" t="s">
        <v>335</v>
      </c>
      <c r="P60" s="69" t="s">
        <v>336</v>
      </c>
      <c r="Q60" s="69"/>
      <c r="R60" s="69"/>
      <c r="S60" s="69" t="s">
        <v>116</v>
      </c>
      <c r="T60" s="69" t="s">
        <v>117</v>
      </c>
      <c r="U60" s="55"/>
      <c r="W60" s="53" t="s">
        <v>173</v>
      </c>
      <c r="X60" s="53" t="s">
        <v>337</v>
      </c>
      <c r="Y60" s="53" t="s">
        <v>120</v>
      </c>
      <c r="Z60" s="53" t="s">
        <v>121</v>
      </c>
      <c r="AA60" s="114"/>
      <c r="AB60" s="53"/>
      <c r="AC60" s="114"/>
      <c r="AD60" s="53"/>
      <c r="AF60" s="53" t="s">
        <v>61</v>
      </c>
      <c r="AG60" s="253" t="s">
        <v>1248</v>
      </c>
      <c r="AH60" s="54" t="s">
        <v>63</v>
      </c>
    </row>
    <row r="61" spans="1:34" ht="13.5" customHeight="1" x14ac:dyDescent="0.3">
      <c r="D61" s="55"/>
      <c r="E61" s="55"/>
      <c r="F61" s="55" t="s">
        <v>338</v>
      </c>
      <c r="G61" s="55"/>
      <c r="H61" s="75" t="str">
        <f>IFERROR(INDEX(Rules!$F:$F,MATCH(G62,Rules!$E:$E,0)),"")</f>
        <v/>
      </c>
      <c r="I61" s="75" t="str">
        <f>IFERROR(INDEX(Rules!$G:$G,MATCH(G62,Rules!$E:$E,0)),"")</f>
        <v/>
      </c>
      <c r="J61" s="75" t="str">
        <f>IFERROR(INDEX(Rules!$H:$H,MATCH(G62,Rules!$E:$E,0)),"")</f>
        <v/>
      </c>
      <c r="K61" s="230" t="s">
        <v>339</v>
      </c>
      <c r="L61" s="69" t="s">
        <v>340</v>
      </c>
      <c r="M61" s="69"/>
      <c r="N61" s="69"/>
      <c r="O61" s="69" t="s">
        <v>341</v>
      </c>
      <c r="P61" s="69" t="s">
        <v>342</v>
      </c>
      <c r="Q61" s="69"/>
      <c r="R61" s="69"/>
      <c r="S61" s="69" t="s">
        <v>116</v>
      </c>
      <c r="T61" s="69" t="s">
        <v>117</v>
      </c>
      <c r="U61" s="55"/>
      <c r="W61" s="53" t="s">
        <v>343</v>
      </c>
      <c r="X61" s="53" t="s">
        <v>337</v>
      </c>
      <c r="Y61" s="53" t="s">
        <v>120</v>
      </c>
      <c r="Z61" s="53" t="s">
        <v>121</v>
      </c>
      <c r="AA61" s="114"/>
      <c r="AB61" s="53"/>
      <c r="AC61" s="114"/>
      <c r="AD61" s="53"/>
      <c r="AF61" s="53" t="s">
        <v>61</v>
      </c>
      <c r="AG61" s="253" t="s">
        <v>1248</v>
      </c>
      <c r="AH61" s="54" t="s">
        <v>63</v>
      </c>
    </row>
    <row r="62" spans="1:34" ht="13.5" customHeight="1" x14ac:dyDescent="0.3">
      <c r="D62" s="55"/>
      <c r="E62" s="55"/>
      <c r="F62" s="55" t="s">
        <v>344</v>
      </c>
      <c r="G62" s="55"/>
      <c r="H62" s="75" t="str">
        <f>IFERROR(INDEX(Rules!$F:$F,MATCH(G63,Rules!$E:$E,0)),"")</f>
        <v/>
      </c>
      <c r="I62" s="75" t="str">
        <f>IFERROR(INDEX(Rules!$G:$G,MATCH(G63,Rules!$E:$E,0)),"")</f>
        <v/>
      </c>
      <c r="J62" s="75" t="str">
        <f>IFERROR(INDEX(Rules!$H:$H,MATCH(G63,Rules!$E:$E,0)),"")</f>
        <v/>
      </c>
      <c r="K62" s="230" t="s">
        <v>345</v>
      </c>
      <c r="L62" s="69" t="s">
        <v>346</v>
      </c>
      <c r="M62" s="69"/>
      <c r="N62" s="69"/>
      <c r="O62" s="69" t="s">
        <v>347</v>
      </c>
      <c r="P62" s="230" t="s">
        <v>348</v>
      </c>
      <c r="Q62" s="69"/>
      <c r="R62" s="69"/>
      <c r="S62" s="69" t="s">
        <v>116</v>
      </c>
      <c r="T62" s="69" t="s">
        <v>178</v>
      </c>
      <c r="U62" s="55"/>
      <c r="W62" s="53" t="s">
        <v>349</v>
      </c>
      <c r="X62" s="53" t="s">
        <v>337</v>
      </c>
      <c r="Y62" s="53" t="s">
        <v>350</v>
      </c>
      <c r="Z62" s="53"/>
      <c r="AA62" s="114"/>
      <c r="AB62" s="53"/>
      <c r="AC62" s="114"/>
      <c r="AD62" s="53"/>
      <c r="AF62" s="53" t="s">
        <v>61</v>
      </c>
      <c r="AG62" s="253" t="s">
        <v>1248</v>
      </c>
      <c r="AH62" s="54" t="s">
        <v>63</v>
      </c>
    </row>
    <row r="63" spans="1:34" ht="13.5" customHeight="1" x14ac:dyDescent="0.3">
      <c r="D63" s="55"/>
      <c r="E63" s="55"/>
      <c r="F63" s="55" t="s">
        <v>351</v>
      </c>
      <c r="G63" s="55"/>
      <c r="H63" s="75" t="str">
        <f>IFERROR(INDEX(Rules!$F:$F,MATCH(G64,Rules!$E:$E,0)),"")</f>
        <v/>
      </c>
      <c r="I63" s="75" t="str">
        <f>IFERROR(INDEX(Rules!$G:$G,MATCH(G64,Rules!$E:$E,0)),"")</f>
        <v/>
      </c>
      <c r="J63" s="75" t="str">
        <f>IFERROR(INDEX(Rules!$H:$H,MATCH(G64,Rules!$E:$E,0)),"")</f>
        <v/>
      </c>
      <c r="K63" s="230" t="s">
        <v>352</v>
      </c>
      <c r="L63" s="69" t="s">
        <v>353</v>
      </c>
      <c r="M63" s="69"/>
      <c r="N63" s="69"/>
      <c r="O63" s="69" t="s">
        <v>354</v>
      </c>
      <c r="P63" s="69" t="s">
        <v>355</v>
      </c>
      <c r="Q63" s="69"/>
      <c r="R63" s="69"/>
      <c r="S63" s="69" t="s">
        <v>116</v>
      </c>
      <c r="T63" s="69" t="s">
        <v>178</v>
      </c>
      <c r="U63" s="55"/>
      <c r="W63" s="53"/>
      <c r="X63" s="53" t="s">
        <v>337</v>
      </c>
      <c r="Y63" s="53" t="s">
        <v>356</v>
      </c>
      <c r="Z63" s="53" t="s">
        <v>357</v>
      </c>
      <c r="AA63" s="114"/>
      <c r="AB63" s="53"/>
      <c r="AC63" s="114"/>
      <c r="AD63" s="53"/>
      <c r="AF63" s="53" t="s">
        <v>61</v>
      </c>
      <c r="AG63" s="253" t="s">
        <v>1248</v>
      </c>
      <c r="AH63" s="54" t="s">
        <v>63</v>
      </c>
    </row>
    <row r="64" spans="1:34" ht="13.5" customHeight="1" x14ac:dyDescent="0.3">
      <c r="D64" s="55"/>
      <c r="E64" s="55"/>
      <c r="F64" s="55" t="s">
        <v>358</v>
      </c>
      <c r="G64" s="55"/>
      <c r="H64" s="75" t="str">
        <f>IFERROR(INDEX(Rules!$F:$F,MATCH(G65,Rules!$E:$E,0)),"")</f>
        <v/>
      </c>
      <c r="I64" s="75" t="str">
        <f>IFERROR(INDEX(Rules!$G:$G,MATCH(G65,Rules!$E:$E,0)),"")</f>
        <v/>
      </c>
      <c r="J64" s="75" t="str">
        <f>IFERROR(INDEX(Rules!$H:$H,MATCH(G65,Rules!$E:$E,0)),"")</f>
        <v/>
      </c>
      <c r="K64" s="230" t="s">
        <v>1176</v>
      </c>
      <c r="L64" s="69" t="s">
        <v>359</v>
      </c>
      <c r="M64" s="69"/>
      <c r="N64" s="69"/>
      <c r="O64" s="230" t="s">
        <v>1202</v>
      </c>
      <c r="P64" s="69" t="s">
        <v>360</v>
      </c>
      <c r="Q64" s="69"/>
      <c r="R64" s="69"/>
      <c r="S64" s="69" t="s">
        <v>100</v>
      </c>
      <c r="T64" s="69" t="s">
        <v>260</v>
      </c>
      <c r="U64" s="55"/>
      <c r="W64" s="53"/>
      <c r="X64" s="53" t="s">
        <v>214</v>
      </c>
      <c r="Y64" s="53"/>
      <c r="Z64" s="53"/>
      <c r="AA64" s="114"/>
      <c r="AB64" s="53"/>
      <c r="AC64" s="114"/>
      <c r="AD64" s="53"/>
      <c r="AF64" s="53" t="s">
        <v>61</v>
      </c>
      <c r="AG64" s="253" t="s">
        <v>1248</v>
      </c>
      <c r="AH64" s="54" t="s">
        <v>63</v>
      </c>
    </row>
    <row r="65" spans="1:34" ht="13.5" customHeight="1" x14ac:dyDescent="0.3">
      <c r="D65" s="55"/>
      <c r="E65" s="55"/>
      <c r="F65" s="55" t="s">
        <v>362</v>
      </c>
      <c r="G65" s="55"/>
      <c r="H65" s="75" t="str">
        <f>IFERROR(INDEX(Rules!$F:$F,MATCH(G66,Rules!$E:$E,0)),"")</f>
        <v/>
      </c>
      <c r="I65" s="75" t="str">
        <f>IFERROR(INDEX(Rules!$G:$G,MATCH(G66,Rules!$E:$E,0)),"")</f>
        <v/>
      </c>
      <c r="J65" s="75" t="str">
        <f>IFERROR(INDEX(Rules!$H:$H,MATCH(G66,Rules!$E:$E,0)),"")</f>
        <v/>
      </c>
      <c r="K65" s="230" t="s">
        <v>363</v>
      </c>
      <c r="L65" s="69" t="s">
        <v>364</v>
      </c>
      <c r="M65" s="69"/>
      <c r="N65" s="69"/>
      <c r="O65" s="69" t="s">
        <v>365</v>
      </c>
      <c r="P65" s="69" t="s">
        <v>366</v>
      </c>
      <c r="Q65" s="69"/>
      <c r="R65" s="69"/>
      <c r="S65" s="69" t="s">
        <v>100</v>
      </c>
      <c r="T65" s="69" t="s">
        <v>260</v>
      </c>
      <c r="U65" s="55"/>
      <c r="W65" s="53" t="s">
        <v>361</v>
      </c>
      <c r="X65" s="53" t="s">
        <v>214</v>
      </c>
      <c r="Y65" s="53"/>
      <c r="Z65" s="53"/>
      <c r="AA65" s="114"/>
      <c r="AB65" s="53"/>
      <c r="AC65" s="114"/>
      <c r="AD65" s="53"/>
      <c r="AF65" s="53" t="s">
        <v>61</v>
      </c>
      <c r="AG65" s="253" t="s">
        <v>1248</v>
      </c>
      <c r="AH65" s="54" t="s">
        <v>63</v>
      </c>
    </row>
    <row r="66" spans="1:34" ht="13.5" customHeight="1" x14ac:dyDescent="0.3">
      <c r="D66" s="55"/>
      <c r="E66" s="55"/>
      <c r="F66" s="55" t="s">
        <v>367</v>
      </c>
      <c r="G66" s="55"/>
      <c r="H66" s="75" t="str">
        <f>IFERROR(INDEX(Rules!$F:$F,MATCH(G67,Rules!$E:$E,0)),"")</f>
        <v/>
      </c>
      <c r="I66" s="75" t="str">
        <f>IFERROR(INDEX(Rules!$G:$G,MATCH(G67,Rules!$E:$E,0)),"")</f>
        <v/>
      </c>
      <c r="J66" s="75" t="str">
        <f>IFERROR(INDEX(Rules!$H:$H,MATCH(G67,Rules!$E:$E,0)),"")</f>
        <v/>
      </c>
      <c r="K66" s="230" t="s">
        <v>368</v>
      </c>
      <c r="L66" s="69" t="s">
        <v>369</v>
      </c>
      <c r="M66" s="69"/>
      <c r="N66" s="69"/>
      <c r="O66" s="69" t="s">
        <v>370</v>
      </c>
      <c r="P66" s="69" t="s">
        <v>371</v>
      </c>
      <c r="Q66" s="69"/>
      <c r="R66" s="69"/>
      <c r="S66" s="69" t="s">
        <v>116</v>
      </c>
      <c r="T66" s="69" t="s">
        <v>117</v>
      </c>
      <c r="U66" s="55"/>
      <c r="W66" s="53"/>
      <c r="X66" s="53" t="s">
        <v>372</v>
      </c>
      <c r="Y66" s="53"/>
      <c r="Z66" s="53"/>
      <c r="AA66" s="114"/>
      <c r="AB66" s="53"/>
      <c r="AC66" s="114"/>
      <c r="AD66" s="53"/>
      <c r="AF66" s="53" t="s">
        <v>61</v>
      </c>
      <c r="AG66" s="253" t="s">
        <v>1248</v>
      </c>
      <c r="AH66" s="54" t="s">
        <v>63</v>
      </c>
    </row>
    <row r="67" spans="1:34" ht="13.5" customHeight="1" x14ac:dyDescent="0.3">
      <c r="D67" s="55"/>
      <c r="E67" s="55"/>
      <c r="F67" s="55" t="s">
        <v>373</v>
      </c>
      <c r="G67" s="55"/>
      <c r="H67" s="75" t="str">
        <f>IFERROR(INDEX(Rules!$F:$F,MATCH(G68,Rules!$E:$E,0)),"")</f>
        <v/>
      </c>
      <c r="I67" s="75" t="str">
        <f>IFERROR(INDEX(Rules!$G:$G,MATCH(G68,Rules!$E:$E,0)),"")</f>
        <v/>
      </c>
      <c r="J67" s="75" t="str">
        <f>IFERROR(INDEX(Rules!$H:$H,MATCH(G68,Rules!$E:$E,0)),"")</f>
        <v/>
      </c>
      <c r="K67" s="230" t="s">
        <v>374</v>
      </c>
      <c r="L67" s="69" t="s">
        <v>375</v>
      </c>
      <c r="M67" s="69"/>
      <c r="N67" s="69"/>
      <c r="O67" s="69" t="s">
        <v>376</v>
      </c>
      <c r="P67" s="69" t="s">
        <v>377</v>
      </c>
      <c r="Q67" s="69"/>
      <c r="R67" s="69"/>
      <c r="S67" s="69" t="s">
        <v>116</v>
      </c>
      <c r="T67" s="69" t="s">
        <v>1160</v>
      </c>
      <c r="U67" s="55"/>
      <c r="W67" s="53" t="s">
        <v>378</v>
      </c>
      <c r="X67" s="53" t="s">
        <v>229</v>
      </c>
      <c r="Y67" s="53" t="s">
        <v>436</v>
      </c>
      <c r="Z67" s="53"/>
      <c r="AA67" s="114"/>
      <c r="AB67" s="53"/>
      <c r="AC67" s="114"/>
      <c r="AD67" s="53"/>
      <c r="AF67" s="53" t="s">
        <v>61</v>
      </c>
      <c r="AG67" s="253" t="s">
        <v>1248</v>
      </c>
      <c r="AH67" s="54" t="s">
        <v>63</v>
      </c>
    </row>
    <row r="68" spans="1:34" ht="13.5" customHeight="1" x14ac:dyDescent="0.3">
      <c r="D68" s="55"/>
      <c r="E68" s="55"/>
      <c r="F68" s="55" t="s">
        <v>379</v>
      </c>
      <c r="G68" s="55"/>
      <c r="H68" s="75" t="str">
        <f>IFERROR(INDEX(Rules!$F:$F,MATCH(G69,Rules!$E:$E,0)),"")</f>
        <v/>
      </c>
      <c r="I68" s="75" t="str">
        <f>IFERROR(INDEX(Rules!$G:$G,MATCH(G69,Rules!$E:$E,0)),"")</f>
        <v/>
      </c>
      <c r="J68" s="75" t="str">
        <f>IFERROR(INDEX(Rules!$H:$H,MATCH(G69,Rules!$E:$E,0)),"")</f>
        <v/>
      </c>
      <c r="K68" s="230" t="s">
        <v>380</v>
      </c>
      <c r="L68" s="69" t="s">
        <v>381</v>
      </c>
      <c r="M68" s="69"/>
      <c r="N68" s="69"/>
      <c r="O68" s="231" t="s">
        <v>1228</v>
      </c>
      <c r="P68" s="69" t="s">
        <v>382</v>
      </c>
      <c r="Q68" s="69"/>
      <c r="R68" s="69"/>
      <c r="S68" s="55" t="s">
        <v>1040</v>
      </c>
      <c r="T68" s="55" t="s">
        <v>1051</v>
      </c>
      <c r="U68" s="55"/>
      <c r="W68" s="53"/>
      <c r="X68" s="53" t="s">
        <v>372</v>
      </c>
      <c r="Y68" s="53"/>
      <c r="Z68" s="53"/>
      <c r="AA68" s="114"/>
      <c r="AB68" s="53"/>
      <c r="AC68" s="114"/>
      <c r="AD68" s="53"/>
      <c r="AF68" s="53" t="s">
        <v>61</v>
      </c>
      <c r="AG68" s="253" t="s">
        <v>1248</v>
      </c>
      <c r="AH68" s="54" t="s">
        <v>63</v>
      </c>
    </row>
    <row r="69" spans="1:34" ht="13.5" customHeight="1" x14ac:dyDescent="0.3">
      <c r="D69" s="55"/>
      <c r="E69" s="55"/>
      <c r="F69" s="55" t="s">
        <v>383</v>
      </c>
      <c r="G69" s="55"/>
      <c r="H69" s="75" t="str">
        <f>IFERROR(INDEX(Rules!$F:$F,MATCH(G70,Rules!$E:$E,0)),"")</f>
        <v/>
      </c>
      <c r="I69" s="75" t="str">
        <f>IFERROR(INDEX(Rules!$G:$G,MATCH(G70,Rules!$E:$E,0)),"")</f>
        <v/>
      </c>
      <c r="J69" s="75" t="str">
        <f>IFERROR(INDEX(Rules!$H:$H,MATCH(G70,Rules!$E:$E,0)),"")</f>
        <v/>
      </c>
      <c r="K69" s="230" t="s">
        <v>384</v>
      </c>
      <c r="L69" s="69" t="s">
        <v>385</v>
      </c>
      <c r="M69" s="69"/>
      <c r="N69" s="69"/>
      <c r="O69" s="69" t="s">
        <v>386</v>
      </c>
      <c r="P69" s="69" t="s">
        <v>387</v>
      </c>
      <c r="Q69" s="69"/>
      <c r="R69" s="69"/>
      <c r="S69" s="69" t="s">
        <v>116</v>
      </c>
      <c r="T69" s="69" t="s">
        <v>117</v>
      </c>
      <c r="U69" s="55"/>
      <c r="W69" s="53" t="s">
        <v>1217</v>
      </c>
      <c r="X69" s="53" t="s">
        <v>1233</v>
      </c>
      <c r="Y69" s="53" t="s">
        <v>120</v>
      </c>
      <c r="Z69" s="53" t="s">
        <v>121</v>
      </c>
      <c r="AA69" s="114"/>
      <c r="AB69" s="53"/>
      <c r="AC69" s="114"/>
      <c r="AD69" s="53"/>
      <c r="AF69" s="53" t="s">
        <v>61</v>
      </c>
      <c r="AG69" s="253" t="s">
        <v>1248</v>
      </c>
      <c r="AH69" s="54" t="s">
        <v>63</v>
      </c>
    </row>
    <row r="70" spans="1:34" ht="13.5" customHeight="1" x14ac:dyDescent="0.3">
      <c r="D70" s="55"/>
      <c r="E70" s="55"/>
      <c r="F70" s="55" t="s">
        <v>388</v>
      </c>
      <c r="G70" s="55"/>
      <c r="H70" s="75" t="str">
        <f>IFERROR(INDEX(Rules!$F:$F,MATCH(G71,Rules!$E:$E,0)),"")</f>
        <v/>
      </c>
      <c r="I70" s="75" t="str">
        <f>IFERROR(INDEX(Rules!$G:$G,MATCH(G71,Rules!$E:$E,0)),"")</f>
        <v/>
      </c>
      <c r="J70" s="75" t="str">
        <f>IFERROR(INDEX(Rules!$H:$H,MATCH(G71,Rules!$E:$E,0)),"")</f>
        <v/>
      </c>
      <c r="K70" s="230" t="s">
        <v>389</v>
      </c>
      <c r="L70" s="69" t="s">
        <v>390</v>
      </c>
      <c r="M70" s="69"/>
      <c r="N70" s="69"/>
      <c r="O70" s="69" t="s">
        <v>391</v>
      </c>
      <c r="P70" s="69" t="s">
        <v>392</v>
      </c>
      <c r="Q70" s="69"/>
      <c r="R70" s="69"/>
      <c r="S70" s="55" t="s">
        <v>1040</v>
      </c>
      <c r="T70" s="55" t="s">
        <v>1051</v>
      </c>
      <c r="U70" s="55"/>
      <c r="W70" s="53"/>
      <c r="X70" s="53" t="s">
        <v>1233</v>
      </c>
      <c r="Y70" s="53"/>
      <c r="Z70" s="53"/>
      <c r="AA70" s="114"/>
      <c r="AB70" s="53"/>
      <c r="AC70" s="114"/>
      <c r="AD70" s="53"/>
      <c r="AF70" s="53" t="s">
        <v>61</v>
      </c>
      <c r="AG70" s="253" t="s">
        <v>1248</v>
      </c>
      <c r="AH70" s="54" t="s">
        <v>63</v>
      </c>
    </row>
    <row r="71" spans="1:34" ht="13.5" customHeight="1" x14ac:dyDescent="0.3">
      <c r="D71" s="55"/>
      <c r="E71" s="55"/>
      <c r="F71" s="55" t="s">
        <v>394</v>
      </c>
      <c r="G71" s="55"/>
      <c r="H71" s="75" t="str">
        <f>IFERROR(INDEX(Rules!$F:$F,MATCH(G72,Rules!$E:$E,0)),"")</f>
        <v/>
      </c>
      <c r="I71" s="75" t="str">
        <f>IFERROR(INDEX(Rules!$G:$G,MATCH(G72,Rules!$E:$E,0)),"")</f>
        <v/>
      </c>
      <c r="J71" s="75" t="str">
        <f>IFERROR(INDEX(Rules!$H:$H,MATCH(G72,Rules!$E:$E,0)),"")</f>
        <v/>
      </c>
      <c r="K71" s="230" t="s">
        <v>395</v>
      </c>
      <c r="L71" s="69" t="s">
        <v>396</v>
      </c>
      <c r="M71" s="69"/>
      <c r="N71" s="69"/>
      <c r="O71" s="69" t="s">
        <v>397</v>
      </c>
      <c r="P71" s="69" t="s">
        <v>398</v>
      </c>
      <c r="Q71" s="69"/>
      <c r="R71" s="69"/>
      <c r="S71" s="69" t="s">
        <v>58</v>
      </c>
      <c r="T71" s="69" t="s">
        <v>59</v>
      </c>
      <c r="U71" s="55"/>
      <c r="W71" s="53"/>
      <c r="X71" s="53" t="s">
        <v>214</v>
      </c>
      <c r="Y71" s="53"/>
      <c r="Z71" s="53"/>
      <c r="AA71" s="114"/>
      <c r="AB71" s="53"/>
      <c r="AC71" s="114"/>
      <c r="AD71" s="53"/>
      <c r="AF71" s="53" t="s">
        <v>61</v>
      </c>
      <c r="AG71" s="253" t="s">
        <v>1248</v>
      </c>
      <c r="AH71" s="54" t="s">
        <v>63</v>
      </c>
    </row>
    <row r="72" spans="1:34" ht="13.5" customHeight="1" x14ac:dyDescent="0.3">
      <c r="D72" s="55"/>
      <c r="E72" s="55"/>
      <c r="F72" s="55" t="s">
        <v>399</v>
      </c>
      <c r="G72" s="55"/>
      <c r="H72" s="75" t="str">
        <f>IFERROR(INDEX(Rules!$F:$F,MATCH(G73,Rules!$E:$E,0)),"")</f>
        <v/>
      </c>
      <c r="I72" s="75" t="str">
        <f>IFERROR(INDEX(Rules!$G:$G,MATCH(G73,Rules!$E:$E,0)),"")</f>
        <v/>
      </c>
      <c r="J72" s="75" t="str">
        <f>IFERROR(INDEX(Rules!$H:$H,MATCH(G73,Rules!$E:$E,0)),"")</f>
        <v/>
      </c>
      <c r="K72" s="230" t="s">
        <v>400</v>
      </c>
      <c r="L72" s="69" t="s">
        <v>401</v>
      </c>
      <c r="M72" s="69"/>
      <c r="N72" s="69"/>
      <c r="O72" s="69" t="s">
        <v>402</v>
      </c>
      <c r="P72" s="69" t="s">
        <v>403</v>
      </c>
      <c r="Q72" s="69"/>
      <c r="R72" s="69"/>
      <c r="S72" s="69" t="s">
        <v>58</v>
      </c>
      <c r="T72" s="69" t="s">
        <v>59</v>
      </c>
      <c r="U72" s="55"/>
      <c r="W72" s="53" t="s">
        <v>404</v>
      </c>
      <c r="X72" s="53" t="s">
        <v>405</v>
      </c>
      <c r="Y72" s="53"/>
      <c r="Z72" s="53"/>
      <c r="AA72" s="114"/>
      <c r="AB72" s="53"/>
      <c r="AC72" s="114"/>
      <c r="AD72" s="53"/>
      <c r="AF72" s="53" t="s">
        <v>61</v>
      </c>
      <c r="AG72" s="253" t="s">
        <v>1248</v>
      </c>
      <c r="AH72" s="54" t="s">
        <v>63</v>
      </c>
    </row>
    <row r="73" spans="1:34" ht="13.5" customHeight="1" x14ac:dyDescent="0.3">
      <c r="D73" s="55"/>
      <c r="E73" s="55"/>
      <c r="F73" s="55" t="s">
        <v>406</v>
      </c>
      <c r="G73" s="55"/>
      <c r="H73" s="75" t="str">
        <f>IFERROR(INDEX(Rules!$F:$F,MATCH(G74,Rules!$E:$E,0)),"")</f>
        <v/>
      </c>
      <c r="I73" s="75" t="str">
        <f>IFERROR(INDEX(Rules!$G:$G,MATCH(G74,Rules!$E:$E,0)),"")</f>
        <v/>
      </c>
      <c r="J73" s="75" t="str">
        <f>IFERROR(INDEX(Rules!$H:$H,MATCH(G74,Rules!$E:$E,0)),"")</f>
        <v/>
      </c>
      <c r="K73" s="230" t="s">
        <v>407</v>
      </c>
      <c r="L73" s="69" t="s">
        <v>408</v>
      </c>
      <c r="M73" s="69"/>
      <c r="N73" s="69"/>
      <c r="O73" s="69" t="s">
        <v>409</v>
      </c>
      <c r="P73" s="69" t="s">
        <v>410</v>
      </c>
      <c r="Q73" s="69"/>
      <c r="R73" s="69"/>
      <c r="S73" s="69" t="s">
        <v>58</v>
      </c>
      <c r="T73" s="69" t="s">
        <v>59</v>
      </c>
      <c r="U73" s="55"/>
      <c r="W73" s="53" t="s">
        <v>411</v>
      </c>
      <c r="X73" s="53" t="s">
        <v>405</v>
      </c>
      <c r="Y73" s="53"/>
      <c r="Z73" s="53"/>
      <c r="AA73" s="114"/>
      <c r="AB73" s="53"/>
      <c r="AC73" s="114"/>
      <c r="AD73" s="53"/>
      <c r="AF73" s="53" t="s">
        <v>61</v>
      </c>
      <c r="AG73" s="253" t="s">
        <v>1248</v>
      </c>
      <c r="AH73" s="54" t="s">
        <v>63</v>
      </c>
    </row>
    <row r="74" spans="1:34" ht="13.5" customHeight="1" x14ac:dyDescent="0.3">
      <c r="D74" s="55"/>
      <c r="E74" s="55"/>
      <c r="F74" s="55" t="s">
        <v>412</v>
      </c>
      <c r="G74" s="55"/>
      <c r="H74" s="75" t="str">
        <f>IFERROR(INDEX(Rules!$F:$F,MATCH(G75,Rules!$E:$E,0)),"")</f>
        <v/>
      </c>
      <c r="I74" s="75" t="str">
        <f>IFERROR(INDEX(Rules!$G:$G,MATCH(G75,Rules!$E:$E,0)),"")</f>
        <v/>
      </c>
      <c r="J74" s="75" t="str">
        <f>IFERROR(INDEX(Rules!$H:$H,MATCH(G75,Rules!$E:$E,0)),"")</f>
        <v/>
      </c>
      <c r="K74" s="230" t="s">
        <v>413</v>
      </c>
      <c r="L74" s="230" t="s">
        <v>414</v>
      </c>
      <c r="M74" s="69"/>
      <c r="N74" s="69"/>
      <c r="O74" s="69" t="s">
        <v>415</v>
      </c>
      <c r="P74" s="69" t="s">
        <v>416</v>
      </c>
      <c r="Q74" s="69"/>
      <c r="R74" s="69"/>
      <c r="S74" s="69" t="s">
        <v>58</v>
      </c>
      <c r="T74" s="69" t="s">
        <v>59</v>
      </c>
      <c r="U74" s="55"/>
      <c r="W74" s="53" t="s">
        <v>417</v>
      </c>
      <c r="X74" s="53" t="s">
        <v>405</v>
      </c>
      <c r="Y74" s="53"/>
      <c r="Z74" s="53"/>
      <c r="AA74" s="114"/>
      <c r="AB74" s="53"/>
      <c r="AC74" s="114"/>
      <c r="AD74" s="53"/>
      <c r="AF74" s="53" t="s">
        <v>61</v>
      </c>
      <c r="AG74" s="253" t="s">
        <v>1248</v>
      </c>
      <c r="AH74" s="54" t="s">
        <v>63</v>
      </c>
    </row>
    <row r="75" spans="1:34" ht="13.5" customHeight="1" x14ac:dyDescent="0.3">
      <c r="D75" s="55"/>
      <c r="E75" s="55"/>
      <c r="F75" s="55" t="s">
        <v>418</v>
      </c>
      <c r="G75" s="55"/>
      <c r="H75" s="75" t="str">
        <f>IFERROR(INDEX(Rules!$F:$F,MATCH(G77,Rules!$E:$E,0)),"")</f>
        <v/>
      </c>
      <c r="I75" s="75" t="str">
        <f>IFERROR(INDEX(Rules!$G:$G,MATCH(G77,Rules!$E:$E,0)),"")</f>
        <v/>
      </c>
      <c r="J75" s="75" t="str">
        <f>IFERROR(INDEX(Rules!$H:$H,MATCH(G77,Rules!$E:$E,0)),"")</f>
        <v/>
      </c>
      <c r="K75" s="230" t="s">
        <v>419</v>
      </c>
      <c r="L75" s="230" t="s">
        <v>420</v>
      </c>
      <c r="M75" s="69"/>
      <c r="N75" s="69"/>
      <c r="O75" s="251" t="s">
        <v>421</v>
      </c>
      <c r="P75" s="251" t="s">
        <v>422</v>
      </c>
      <c r="Q75" s="69"/>
      <c r="R75" s="69"/>
      <c r="S75" s="69" t="s">
        <v>116</v>
      </c>
      <c r="T75" s="55" t="s">
        <v>178</v>
      </c>
      <c r="U75" s="55"/>
      <c r="W75" s="53" t="s">
        <v>423</v>
      </c>
      <c r="X75" s="53" t="s">
        <v>424</v>
      </c>
      <c r="Y75" s="53" t="s">
        <v>1231</v>
      </c>
      <c r="Z75" s="53"/>
      <c r="AA75" s="114"/>
      <c r="AB75" s="53"/>
      <c r="AC75" s="114"/>
      <c r="AD75" s="53"/>
      <c r="AF75" s="53" t="s">
        <v>61</v>
      </c>
      <c r="AG75" s="253" t="s">
        <v>1248</v>
      </c>
      <c r="AH75" s="54" t="s">
        <v>63</v>
      </c>
    </row>
    <row r="76" spans="1:34" ht="13.5" customHeight="1" x14ac:dyDescent="0.3">
      <c r="D76" s="55"/>
      <c r="E76" s="55"/>
      <c r="F76" s="55" t="s">
        <v>437</v>
      </c>
      <c r="G76" s="55"/>
      <c r="H76" s="75" t="str">
        <f>IFERROR(INDEX(Rules!$F:$F,MATCH(G77,Rules!$E:$E,0)),"")</f>
        <v/>
      </c>
      <c r="I76" s="75" t="str">
        <f>IFERROR(INDEX(Rules!$G:$G,MATCH(G77,Rules!$E:$E,0)),"")</f>
        <v/>
      </c>
      <c r="J76" s="75" t="str">
        <f>IFERROR(INDEX(Rules!$H:$H,MATCH(G77,Rules!$E:$E,0)),"")</f>
        <v/>
      </c>
      <c r="K76" s="69" t="s">
        <v>438</v>
      </c>
      <c r="L76" s="230" t="s">
        <v>439</v>
      </c>
      <c r="M76" s="69"/>
      <c r="N76" s="69"/>
      <c r="O76" s="250" t="s">
        <v>1207</v>
      </c>
      <c r="P76" s="251" t="s">
        <v>440</v>
      </c>
      <c r="Q76" s="69"/>
      <c r="R76" s="69"/>
      <c r="S76" s="69" t="s">
        <v>116</v>
      </c>
      <c r="T76" s="69" t="s">
        <v>178</v>
      </c>
      <c r="U76" s="55"/>
      <c r="W76" s="53" t="s">
        <v>441</v>
      </c>
      <c r="X76" s="53" t="s">
        <v>229</v>
      </c>
      <c r="Y76" s="53" t="s">
        <v>442</v>
      </c>
      <c r="Z76" s="53" t="s">
        <v>443</v>
      </c>
      <c r="AA76" s="114"/>
      <c r="AB76" s="53"/>
      <c r="AC76" s="114"/>
      <c r="AD76" s="53"/>
      <c r="AF76" s="53" t="s">
        <v>61</v>
      </c>
      <c r="AG76" s="253" t="s">
        <v>1248</v>
      </c>
      <c r="AH76" s="54" t="s">
        <v>63</v>
      </c>
    </row>
    <row r="77" spans="1:34" ht="13.5" customHeight="1" x14ac:dyDescent="0.3">
      <c r="D77" s="55"/>
      <c r="E77" s="55"/>
      <c r="F77" s="55" t="s">
        <v>425</v>
      </c>
      <c r="G77" s="55"/>
      <c r="H77" s="75" t="str">
        <f>IFERROR(INDEX(Rules!$F:$F,MATCH(G79,Rules!$E:$E,0)),"")</f>
        <v/>
      </c>
      <c r="I77" s="75" t="str">
        <f>IFERROR(INDEX(Rules!$G:$G,MATCH(G79,Rules!$E:$E,0)),"")</f>
        <v/>
      </c>
      <c r="J77" s="75" t="str">
        <f>IFERROR(INDEX(Rules!$H:$H,MATCH(G79,Rules!$E:$E,0)),"")</f>
        <v/>
      </c>
      <c r="K77" s="230" t="s">
        <v>426</v>
      </c>
      <c r="L77" s="230" t="s">
        <v>427</v>
      </c>
      <c r="M77" s="69"/>
      <c r="N77" s="69"/>
      <c r="O77" s="250" t="s">
        <v>1229</v>
      </c>
      <c r="P77" s="251" t="s">
        <v>428</v>
      </c>
      <c r="Q77" s="69"/>
      <c r="R77" s="69"/>
      <c r="S77" s="55" t="s">
        <v>1040</v>
      </c>
      <c r="T77" s="55" t="s">
        <v>1051</v>
      </c>
      <c r="U77" s="55"/>
      <c r="W77" s="53"/>
      <c r="X77" s="53"/>
      <c r="Y77" s="53"/>
      <c r="Z77" s="53"/>
      <c r="AA77" s="114"/>
      <c r="AB77" s="53"/>
      <c r="AC77" s="114"/>
      <c r="AD77" s="53"/>
      <c r="AF77" s="53" t="s">
        <v>61</v>
      </c>
      <c r="AG77" s="253" t="s">
        <v>1248</v>
      </c>
      <c r="AH77" s="54" t="s">
        <v>63</v>
      </c>
    </row>
    <row r="78" spans="1:34" s="259" customFormat="1" ht="13.5" customHeight="1" x14ac:dyDescent="0.3">
      <c r="A78" s="255"/>
      <c r="B78" s="256"/>
      <c r="C78" s="257"/>
      <c r="D78" s="248"/>
      <c r="E78" s="248"/>
      <c r="F78" s="248" t="s">
        <v>1302</v>
      </c>
      <c r="G78" s="248"/>
      <c r="H78" s="249"/>
      <c r="I78" s="249"/>
      <c r="J78" s="249"/>
      <c r="K78" s="250" t="s">
        <v>1260</v>
      </c>
      <c r="L78" s="250" t="s">
        <v>1242</v>
      </c>
      <c r="M78" s="251"/>
      <c r="N78" s="250"/>
      <c r="O78" s="252" t="s">
        <v>1252</v>
      </c>
      <c r="P78" s="252" t="s">
        <v>1253</v>
      </c>
      <c r="Q78" s="251"/>
      <c r="R78" s="251"/>
      <c r="S78" s="248" t="s">
        <v>1040</v>
      </c>
      <c r="T78" s="248" t="s">
        <v>1051</v>
      </c>
      <c r="U78" s="248"/>
      <c r="V78" s="256"/>
      <c r="W78" s="53"/>
      <c r="X78" s="252" t="s">
        <v>372</v>
      </c>
      <c r="Y78" s="252"/>
      <c r="Z78" s="252"/>
      <c r="AA78" s="258"/>
      <c r="AB78" s="252"/>
      <c r="AC78" s="258"/>
      <c r="AD78" s="252"/>
      <c r="AF78" s="53" t="s">
        <v>61</v>
      </c>
      <c r="AG78" s="253" t="s">
        <v>1248</v>
      </c>
      <c r="AH78" s="54" t="s">
        <v>63</v>
      </c>
    </row>
    <row r="79" spans="1:34" s="259" customFormat="1" ht="13.5" customHeight="1" x14ac:dyDescent="0.3">
      <c r="A79" s="255"/>
      <c r="B79" s="256"/>
      <c r="C79" s="257"/>
      <c r="D79" s="248"/>
      <c r="E79" s="248"/>
      <c r="F79" s="248" t="s">
        <v>429</v>
      </c>
      <c r="G79" s="248"/>
      <c r="H79" s="249" t="str">
        <f>IFERROR(INDEX(Rules!$F:$F,MATCH(#REF!,Rules!$E:$E,0)),"")</f>
        <v/>
      </c>
      <c r="I79" s="249" t="str">
        <f>IFERROR(INDEX(Rules!$G:$G,MATCH(#REF!,Rules!$E:$E,0)),"")</f>
        <v/>
      </c>
      <c r="J79" s="249" t="str">
        <f>IFERROR(INDEX(Rules!$H:$H,MATCH(#REF!,Rules!$E:$E,0)),"")</f>
        <v/>
      </c>
      <c r="K79" s="250" t="s">
        <v>430</v>
      </c>
      <c r="L79" s="250" t="s">
        <v>1245</v>
      </c>
      <c r="M79" s="251"/>
      <c r="N79" s="250"/>
      <c r="O79" s="250" t="s">
        <v>1219</v>
      </c>
      <c r="P79" s="250" t="s">
        <v>1246</v>
      </c>
      <c r="Q79" s="251"/>
      <c r="R79" s="251"/>
      <c r="S79" s="248" t="s">
        <v>1040</v>
      </c>
      <c r="T79" s="248" t="s">
        <v>1051</v>
      </c>
      <c r="U79" s="248"/>
      <c r="V79" s="256"/>
      <c r="W79" s="53"/>
      <c r="X79" s="252" t="s">
        <v>372</v>
      </c>
      <c r="Y79" s="252"/>
      <c r="Z79" s="252"/>
      <c r="AA79" s="258"/>
      <c r="AB79" s="252"/>
      <c r="AC79" s="258"/>
      <c r="AD79" s="252"/>
      <c r="AF79" s="53" t="s">
        <v>61</v>
      </c>
      <c r="AG79" s="253" t="s">
        <v>1248</v>
      </c>
      <c r="AH79" s="54" t="s">
        <v>63</v>
      </c>
    </row>
    <row r="80" spans="1:34" s="259" customFormat="1" ht="13.5" customHeight="1" x14ac:dyDescent="0.3">
      <c r="A80" s="255"/>
      <c r="B80" s="256"/>
      <c r="C80" s="257"/>
      <c r="D80" s="248"/>
      <c r="E80" s="248"/>
      <c r="F80" s="248" t="s">
        <v>444</v>
      </c>
      <c r="G80" s="248"/>
      <c r="H80" s="249" t="str">
        <f>IFERROR(INDEX(Rules!$F:$F,MATCH(G81,Rules!$E:$E,0)),"")</f>
        <v/>
      </c>
      <c r="I80" s="249" t="str">
        <f>IFERROR(INDEX(Rules!$G:$G,MATCH(G81,Rules!$E:$E,0)),"")</f>
        <v/>
      </c>
      <c r="J80" s="249" t="str">
        <f>IFERROR(INDEX(Rules!$H:$H,MATCH(G81,Rules!$E:$E,0)),"")</f>
        <v/>
      </c>
      <c r="K80" s="250" t="s">
        <v>445</v>
      </c>
      <c r="L80" s="250" t="s">
        <v>446</v>
      </c>
      <c r="M80" s="251"/>
      <c r="N80" s="250"/>
      <c r="O80" s="251" t="s">
        <v>447</v>
      </c>
      <c r="P80" s="250" t="s">
        <v>448</v>
      </c>
      <c r="Q80" s="251"/>
      <c r="R80" s="251"/>
      <c r="S80" s="248" t="s">
        <v>1040</v>
      </c>
      <c r="T80" s="248" t="s">
        <v>1051</v>
      </c>
      <c r="U80" s="248"/>
      <c r="V80" s="256"/>
      <c r="W80" s="53"/>
      <c r="X80" s="252" t="s">
        <v>372</v>
      </c>
      <c r="Y80" s="252"/>
      <c r="Z80" s="252"/>
      <c r="AA80" s="258"/>
      <c r="AB80" s="252"/>
      <c r="AC80" s="258"/>
      <c r="AD80" s="252"/>
      <c r="AF80" s="53" t="s">
        <v>61</v>
      </c>
      <c r="AG80" s="253" t="s">
        <v>1248</v>
      </c>
      <c r="AH80" s="54" t="s">
        <v>63</v>
      </c>
    </row>
    <row r="81" spans="1:34" s="259" customFormat="1" ht="13.5" customHeight="1" x14ac:dyDescent="0.3">
      <c r="A81" s="255"/>
      <c r="B81" s="256"/>
      <c r="C81" s="257"/>
      <c r="D81" s="248"/>
      <c r="E81" s="248"/>
      <c r="F81" s="248" t="s">
        <v>449</v>
      </c>
      <c r="G81" s="248"/>
      <c r="H81" s="249" t="str">
        <f>IFERROR(INDEX(Rules!$F:$F,MATCH(#REF!,Rules!$E:$E,0)),"")</f>
        <v/>
      </c>
      <c r="I81" s="249" t="str">
        <f>IFERROR(INDEX(Rules!$G:$G,MATCH(#REF!,Rules!$E:$E,0)),"")</f>
        <v/>
      </c>
      <c r="J81" s="249" t="str">
        <f>IFERROR(INDEX(Rules!$H:$H,MATCH(#REF!,Rules!$E:$E,0)),"")</f>
        <v/>
      </c>
      <c r="K81" s="250" t="s">
        <v>450</v>
      </c>
      <c r="L81" s="251" t="s">
        <v>451</v>
      </c>
      <c r="M81" s="251"/>
      <c r="N81" s="250"/>
      <c r="O81" s="250" t="s">
        <v>452</v>
      </c>
      <c r="P81" s="250" t="s">
        <v>453</v>
      </c>
      <c r="Q81" s="251"/>
      <c r="R81" s="251"/>
      <c r="S81" s="248" t="s">
        <v>1040</v>
      </c>
      <c r="T81" s="248" t="s">
        <v>1051</v>
      </c>
      <c r="U81" s="248"/>
      <c r="V81" s="256"/>
      <c r="W81" s="53"/>
      <c r="X81" s="252" t="s">
        <v>372</v>
      </c>
      <c r="Y81" s="252"/>
      <c r="Z81" s="252"/>
      <c r="AA81" s="258"/>
      <c r="AB81" s="252"/>
      <c r="AC81" s="258"/>
      <c r="AD81" s="252"/>
      <c r="AF81" s="53" t="s">
        <v>61</v>
      </c>
      <c r="AG81" s="253" t="s">
        <v>1248</v>
      </c>
      <c r="AH81" s="54" t="s">
        <v>63</v>
      </c>
    </row>
    <row r="82" spans="1:34" s="259" customFormat="1" ht="13.5" customHeight="1" x14ac:dyDescent="0.3">
      <c r="A82" s="255"/>
      <c r="B82" s="256"/>
      <c r="C82" s="257"/>
      <c r="D82" s="248"/>
      <c r="E82" s="248"/>
      <c r="F82" s="248" t="s">
        <v>1303</v>
      </c>
      <c r="G82" s="248"/>
      <c r="H82" s="249"/>
      <c r="I82" s="249"/>
      <c r="J82" s="249"/>
      <c r="K82" s="250" t="s">
        <v>1259</v>
      </c>
      <c r="L82" s="250" t="s">
        <v>1243</v>
      </c>
      <c r="M82" s="251"/>
      <c r="N82" s="250"/>
      <c r="O82" s="252" t="s">
        <v>1258</v>
      </c>
      <c r="P82" s="252" t="s">
        <v>1254</v>
      </c>
      <c r="Q82" s="251"/>
      <c r="R82" s="251"/>
      <c r="S82" s="248" t="s">
        <v>1040</v>
      </c>
      <c r="T82" s="248" t="s">
        <v>1051</v>
      </c>
      <c r="U82" s="248"/>
      <c r="V82" s="256"/>
      <c r="W82" s="53"/>
      <c r="X82" s="252" t="s">
        <v>372</v>
      </c>
      <c r="Y82" s="252"/>
      <c r="Z82" s="252"/>
      <c r="AA82" s="258"/>
      <c r="AB82" s="252"/>
      <c r="AC82" s="258"/>
      <c r="AD82" s="252"/>
      <c r="AF82" s="53" t="s">
        <v>61</v>
      </c>
      <c r="AG82" s="253" t="s">
        <v>1248</v>
      </c>
      <c r="AH82" s="54" t="s">
        <v>63</v>
      </c>
    </row>
    <row r="83" spans="1:34" s="259" customFormat="1" ht="13.5" customHeight="1" x14ac:dyDescent="0.3">
      <c r="A83" s="255"/>
      <c r="B83" s="256"/>
      <c r="C83" s="257"/>
      <c r="D83" s="248"/>
      <c r="E83" s="248"/>
      <c r="F83" s="248" t="s">
        <v>431</v>
      </c>
      <c r="G83" s="248"/>
      <c r="H83" s="249" t="str">
        <f>IFERROR(INDEX(Rules!$F:$F,MATCH(#REF!,Rules!$E:$E,0)),"")</f>
        <v/>
      </c>
      <c r="I83" s="249" t="str">
        <f>IFERROR(INDEX(Rules!$G:$G,MATCH(#REF!,Rules!$E:$E,0)),"")</f>
        <v/>
      </c>
      <c r="J83" s="249" t="str">
        <f>IFERROR(INDEX(Rules!$H:$H,MATCH(#REF!,Rules!$E:$E,0)),"")</f>
        <v/>
      </c>
      <c r="K83" s="250" t="s">
        <v>432</v>
      </c>
      <c r="L83" s="251" t="s">
        <v>433</v>
      </c>
      <c r="M83" s="251"/>
      <c r="N83" s="250"/>
      <c r="O83" s="251" t="s">
        <v>434</v>
      </c>
      <c r="P83" s="251" t="s">
        <v>435</v>
      </c>
      <c r="Q83" s="251"/>
      <c r="R83" s="251"/>
      <c r="S83" s="248" t="s">
        <v>1040</v>
      </c>
      <c r="T83" s="248" t="s">
        <v>1051</v>
      </c>
      <c r="U83" s="248"/>
      <c r="V83" s="256"/>
      <c r="W83" s="53"/>
      <c r="X83" s="252" t="s">
        <v>372</v>
      </c>
      <c r="Z83" s="252"/>
      <c r="AA83" s="258"/>
      <c r="AB83" s="252"/>
      <c r="AC83" s="258"/>
      <c r="AD83" s="252"/>
      <c r="AF83" s="53" t="s">
        <v>61</v>
      </c>
      <c r="AG83" s="253" t="s">
        <v>1248</v>
      </c>
      <c r="AH83" s="54" t="s">
        <v>63</v>
      </c>
    </row>
    <row r="84" spans="1:34" s="259" customFormat="1" ht="13.5" customHeight="1" x14ac:dyDescent="0.3">
      <c r="A84" s="255"/>
      <c r="B84" s="256"/>
      <c r="C84" s="257"/>
      <c r="D84" s="248"/>
      <c r="E84" s="248"/>
      <c r="F84" s="248" t="s">
        <v>1304</v>
      </c>
      <c r="G84" s="248"/>
      <c r="H84" s="249"/>
      <c r="I84" s="249"/>
      <c r="J84" s="249"/>
      <c r="K84" s="250" t="s">
        <v>1257</v>
      </c>
      <c r="L84" s="250" t="s">
        <v>1244</v>
      </c>
      <c r="M84" s="251"/>
      <c r="N84" s="250"/>
      <c r="O84" s="252" t="s">
        <v>1256</v>
      </c>
      <c r="P84" s="252" t="s">
        <v>1255</v>
      </c>
      <c r="Q84" s="251"/>
      <c r="R84" s="251"/>
      <c r="S84" s="248" t="s">
        <v>1040</v>
      </c>
      <c r="T84" s="248" t="s">
        <v>1051</v>
      </c>
      <c r="U84" s="248"/>
      <c r="V84" s="256"/>
      <c r="W84" s="53"/>
      <c r="X84" s="252" t="s">
        <v>372</v>
      </c>
      <c r="Y84" s="252"/>
      <c r="Z84" s="252"/>
      <c r="AA84" s="258"/>
      <c r="AB84" s="252"/>
      <c r="AC84" s="258"/>
      <c r="AD84" s="252"/>
      <c r="AF84" s="53" t="s">
        <v>61</v>
      </c>
      <c r="AG84" s="253" t="s">
        <v>1248</v>
      </c>
      <c r="AH84" s="54" t="s">
        <v>63</v>
      </c>
    </row>
    <row r="85" spans="1:34" ht="13.5" customHeight="1" x14ac:dyDescent="0.3">
      <c r="D85" s="55"/>
      <c r="E85" s="55"/>
      <c r="F85" s="55" t="s">
        <v>454</v>
      </c>
      <c r="G85" s="55"/>
      <c r="H85" s="75" t="str">
        <f>IFERROR(INDEX(Rules!$F:$F,MATCH(G87,Rules!$E:$E,0)),"")</f>
        <v/>
      </c>
      <c r="I85" s="75" t="str">
        <f>IFERROR(INDEX(Rules!$G:$G,MATCH(G87,Rules!$E:$E,0)),"")</f>
        <v/>
      </c>
      <c r="J85" s="75" t="str">
        <f>IFERROR(INDEX(Rules!$H:$H,MATCH(G87,Rules!$E:$E,0)),"")</f>
        <v/>
      </c>
      <c r="K85" s="230" t="s">
        <v>1177</v>
      </c>
      <c r="L85" s="230" t="s">
        <v>455</v>
      </c>
      <c r="M85" s="69"/>
      <c r="N85" s="69"/>
      <c r="O85" s="230" t="s">
        <v>1206</v>
      </c>
      <c r="P85" s="69" t="s">
        <v>456</v>
      </c>
      <c r="Q85" s="69"/>
      <c r="R85" s="69"/>
      <c r="S85" s="55" t="s">
        <v>1040</v>
      </c>
      <c r="T85" s="55" t="s">
        <v>1051</v>
      </c>
      <c r="U85" s="55"/>
      <c r="W85" s="53"/>
      <c r="X85" s="53" t="s">
        <v>214</v>
      </c>
      <c r="Y85" s="53"/>
      <c r="Z85" s="53"/>
      <c r="AA85" s="114"/>
      <c r="AB85" s="53"/>
      <c r="AC85" s="114"/>
      <c r="AD85" s="53"/>
      <c r="AF85" s="53" t="s">
        <v>61</v>
      </c>
      <c r="AG85" s="253" t="s">
        <v>1248</v>
      </c>
      <c r="AH85" s="54" t="s">
        <v>63</v>
      </c>
    </row>
    <row r="86" spans="1:34" ht="13.5" customHeight="1" x14ac:dyDescent="0.3">
      <c r="D86" s="55"/>
      <c r="E86" s="55"/>
      <c r="F86" s="55" t="s">
        <v>591</v>
      </c>
      <c r="G86" s="55"/>
      <c r="H86" s="75" t="str">
        <f>IFERROR(INDEX(Rules!$F:$F,MATCH(G87,Rules!$E:$E,0)),"")</f>
        <v/>
      </c>
      <c r="I86" s="75" t="str">
        <f>IFERROR(INDEX(Rules!$G:$G,MATCH(G87,Rules!$E:$E,0)),"")</f>
        <v/>
      </c>
      <c r="J86" s="75" t="str">
        <f>IFERROR(INDEX(Rules!$H:$H,MATCH(G87,Rules!$E:$E,0)),"")</f>
        <v/>
      </c>
      <c r="K86" s="230" t="s">
        <v>1179</v>
      </c>
      <c r="L86" s="69" t="s">
        <v>592</v>
      </c>
      <c r="M86" s="69"/>
      <c r="N86" s="69"/>
      <c r="O86" s="230" t="s">
        <v>1232</v>
      </c>
      <c r="P86" s="69" t="s">
        <v>593</v>
      </c>
      <c r="Q86" s="69"/>
      <c r="R86" s="69"/>
      <c r="S86" s="55" t="s">
        <v>1040</v>
      </c>
      <c r="T86" s="55" t="s">
        <v>1051</v>
      </c>
      <c r="U86" s="55"/>
      <c r="W86" s="53"/>
      <c r="X86" s="53" t="s">
        <v>372</v>
      </c>
      <c r="Y86" s="53"/>
      <c r="Z86" s="53"/>
      <c r="AA86" s="114"/>
      <c r="AB86" s="53"/>
      <c r="AC86" s="114"/>
      <c r="AD86" s="53"/>
      <c r="AF86" s="53" t="s">
        <v>61</v>
      </c>
      <c r="AG86" s="253" t="s">
        <v>1248</v>
      </c>
      <c r="AH86" s="54" t="s">
        <v>63</v>
      </c>
    </row>
    <row r="87" spans="1:34" ht="13.5" customHeight="1" x14ac:dyDescent="0.3">
      <c r="D87" s="55"/>
      <c r="E87" s="55"/>
      <c r="F87" s="55" t="s">
        <v>457</v>
      </c>
      <c r="G87" s="55"/>
      <c r="H87" s="75" t="str">
        <f>IFERROR(INDEX(Rules!$F:$F,MATCH(G88,Rules!$E:$E,0)),"")</f>
        <v/>
      </c>
      <c r="I87" s="75" t="str">
        <f>IFERROR(INDEX(Rules!$G:$G,MATCH(G88,Rules!$E:$E,0)),"")</f>
        <v/>
      </c>
      <c r="J87" s="75" t="str">
        <f>IFERROR(INDEX(Rules!$H:$H,MATCH(G88,Rules!$E:$E,0)),"")</f>
        <v/>
      </c>
      <c r="K87" s="230" t="s">
        <v>458</v>
      </c>
      <c r="L87" s="69" t="s">
        <v>459</v>
      </c>
      <c r="M87" s="69"/>
      <c r="N87" s="69"/>
      <c r="O87" s="69" t="s">
        <v>460</v>
      </c>
      <c r="P87" s="69" t="s">
        <v>461</v>
      </c>
      <c r="Q87" s="69"/>
      <c r="R87" s="69"/>
      <c r="S87" s="69" t="s">
        <v>58</v>
      </c>
      <c r="T87" s="69" t="s">
        <v>59</v>
      </c>
      <c r="U87" s="55"/>
      <c r="W87" s="53"/>
      <c r="X87" s="53"/>
      <c r="Y87" s="114"/>
      <c r="Z87" s="53"/>
      <c r="AA87" s="114"/>
      <c r="AB87" s="53"/>
      <c r="AC87" s="114"/>
      <c r="AD87" s="53"/>
      <c r="AF87" s="53" t="s">
        <v>61</v>
      </c>
      <c r="AG87" s="253" t="s">
        <v>1248</v>
      </c>
      <c r="AH87" s="54" t="s">
        <v>63</v>
      </c>
    </row>
    <row r="88" spans="1:34" ht="13.5" customHeight="1" x14ac:dyDescent="0.3">
      <c r="D88" s="55"/>
      <c r="E88" s="55"/>
      <c r="F88" s="55" t="s">
        <v>462</v>
      </c>
      <c r="G88" s="55"/>
      <c r="H88" s="75" t="str">
        <f>IFERROR(INDEX(Rules!$F:$F,MATCH(G89,Rules!$E:$E,0)),"")</f>
        <v/>
      </c>
      <c r="I88" s="75" t="str">
        <f>IFERROR(INDEX(Rules!$G:$G,MATCH(G89,Rules!$E:$E,0)),"")</f>
        <v/>
      </c>
      <c r="J88" s="75" t="str">
        <f>IFERROR(INDEX(Rules!$H:$H,MATCH(G89,Rules!$E:$E,0)),"")</f>
        <v/>
      </c>
      <c r="K88" s="230" t="s">
        <v>1221</v>
      </c>
      <c r="L88" s="231" t="s">
        <v>1203</v>
      </c>
      <c r="M88" s="69"/>
      <c r="N88" s="69"/>
      <c r="O88" s="230" t="s">
        <v>1205</v>
      </c>
      <c r="P88" s="69" t="s">
        <v>1234</v>
      </c>
      <c r="Q88" s="69"/>
      <c r="R88" s="69"/>
      <c r="S88" s="69" t="s">
        <v>58</v>
      </c>
      <c r="T88" s="69" t="s">
        <v>59</v>
      </c>
      <c r="U88" s="55"/>
      <c r="W88" s="53" t="s">
        <v>463</v>
      </c>
      <c r="X88" s="53" t="s">
        <v>464</v>
      </c>
      <c r="Y88" s="114"/>
      <c r="Z88" s="53"/>
      <c r="AA88" s="114"/>
      <c r="AB88" s="53"/>
      <c r="AC88" s="114"/>
      <c r="AD88" s="53"/>
      <c r="AF88" s="53" t="s">
        <v>61</v>
      </c>
      <c r="AG88" s="253" t="s">
        <v>1248</v>
      </c>
      <c r="AH88" s="54" t="s">
        <v>63</v>
      </c>
    </row>
    <row r="89" spans="1:34" s="259" customFormat="1" ht="13.5" customHeight="1" x14ac:dyDescent="0.3">
      <c r="A89" s="255"/>
      <c r="B89" s="265"/>
      <c r="C89" s="266"/>
      <c r="D89" s="248"/>
      <c r="E89" s="248"/>
      <c r="F89" s="248" t="s">
        <v>465</v>
      </c>
      <c r="G89" s="248"/>
      <c r="H89" s="249" t="str">
        <f>IFERROR(INDEX(Rules!$F:$F,MATCH(G90,Rules!$E:$E,0)),"")</f>
        <v/>
      </c>
      <c r="I89" s="249" t="str">
        <f>IFERROR(INDEX(Rules!$G:$G,MATCH(G90,Rules!$E:$E,0)),"")</f>
        <v/>
      </c>
      <c r="J89" s="249" t="str">
        <f>IFERROR(INDEX(Rules!$H:$H,MATCH(G90,Rules!$E:$E,0)),"")</f>
        <v/>
      </c>
      <c r="K89" s="250" t="s">
        <v>1307</v>
      </c>
      <c r="L89" s="250" t="s">
        <v>466</v>
      </c>
      <c r="M89" s="250"/>
      <c r="N89" s="250"/>
      <c r="O89" s="250" t="s">
        <v>467</v>
      </c>
      <c r="P89" s="250" t="s">
        <v>468</v>
      </c>
      <c r="Q89" s="250"/>
      <c r="R89" s="250"/>
      <c r="S89" s="55" t="s">
        <v>1040</v>
      </c>
      <c r="T89" s="55" t="s">
        <v>1051</v>
      </c>
      <c r="U89" s="248"/>
      <c r="V89" s="265"/>
      <c r="W89" s="53" t="s">
        <v>1308</v>
      </c>
      <c r="X89" s="252"/>
      <c r="Y89" s="258"/>
      <c r="Z89" s="252"/>
      <c r="AA89" s="258"/>
      <c r="AB89" s="252"/>
      <c r="AC89" s="258"/>
      <c r="AD89" s="252"/>
      <c r="AF89" s="252" t="s">
        <v>61</v>
      </c>
      <c r="AG89" s="253" t="s">
        <v>1248</v>
      </c>
      <c r="AH89" s="253" t="s">
        <v>63</v>
      </c>
    </row>
    <row r="90" spans="1:34" ht="13.5" customHeight="1" x14ac:dyDescent="0.3">
      <c r="D90" s="55"/>
      <c r="E90" s="55"/>
      <c r="F90" s="55" t="s">
        <v>469</v>
      </c>
      <c r="G90" s="55"/>
      <c r="H90" s="75" t="str">
        <f>IFERROR(INDEX(Rules!$F:$F,MATCH(G91,Rules!$E:$E,0)),"")</f>
        <v/>
      </c>
      <c r="I90" s="75" t="str">
        <f>IFERROR(INDEX(Rules!$G:$G,MATCH(G91,Rules!$E:$E,0)),"")</f>
        <v/>
      </c>
      <c r="J90" s="75" t="str">
        <f>IFERROR(INDEX(Rules!$H:$H,MATCH(G91,Rules!$E:$E,0)),"")</f>
        <v/>
      </c>
      <c r="K90" s="230" t="s">
        <v>470</v>
      </c>
      <c r="L90" s="69" t="s">
        <v>471</v>
      </c>
      <c r="M90" s="69"/>
      <c r="N90" s="69"/>
      <c r="O90" s="69" t="s">
        <v>472</v>
      </c>
      <c r="P90" s="69" t="s">
        <v>473</v>
      </c>
      <c r="Q90" s="69"/>
      <c r="R90" s="69"/>
      <c r="S90" s="69" t="s">
        <v>58</v>
      </c>
      <c r="T90" s="69" t="s">
        <v>59</v>
      </c>
      <c r="U90" s="55"/>
      <c r="W90" s="53" t="s">
        <v>474</v>
      </c>
      <c r="X90" s="53" t="s">
        <v>155</v>
      </c>
      <c r="Y90" s="114"/>
      <c r="Z90" s="53"/>
      <c r="AA90" s="114"/>
      <c r="AB90" s="53"/>
      <c r="AC90" s="114"/>
      <c r="AD90" s="53"/>
      <c r="AF90" s="53" t="s">
        <v>61</v>
      </c>
      <c r="AG90" s="253" t="s">
        <v>1248</v>
      </c>
      <c r="AH90" s="54" t="s">
        <v>63</v>
      </c>
    </row>
    <row r="91" spans="1:34" ht="13.5" customHeight="1" x14ac:dyDescent="0.3">
      <c r="D91" s="55"/>
      <c r="E91" s="55"/>
      <c r="F91" s="55" t="s">
        <v>475</v>
      </c>
      <c r="G91" s="55"/>
      <c r="H91" s="75" t="str">
        <f>IFERROR(INDEX(Rules!$F:$F,MATCH(G92,Rules!$E:$E,0)),"")</f>
        <v/>
      </c>
      <c r="I91" s="75" t="str">
        <f>IFERROR(INDEX(Rules!$G:$G,MATCH(G92,Rules!$E:$E,0)),"")</f>
        <v/>
      </c>
      <c r="J91" s="75" t="str">
        <f>IFERROR(INDEX(Rules!$H:$H,MATCH(G92,Rules!$E:$E,0)),"")</f>
        <v/>
      </c>
      <c r="K91" s="230" t="s">
        <v>476</v>
      </c>
      <c r="L91" s="69" t="s">
        <v>477</v>
      </c>
      <c r="M91" s="69"/>
      <c r="N91" s="69"/>
      <c r="O91" s="69" t="s">
        <v>478</v>
      </c>
      <c r="P91" s="69" t="s">
        <v>479</v>
      </c>
      <c r="Q91" s="69"/>
      <c r="R91" s="69"/>
      <c r="S91" s="69" t="s">
        <v>58</v>
      </c>
      <c r="T91" s="69" t="s">
        <v>59</v>
      </c>
      <c r="U91" s="55"/>
      <c r="W91" s="53" t="s">
        <v>149</v>
      </c>
      <c r="X91" s="53"/>
      <c r="Y91" s="114"/>
      <c r="Z91" s="53"/>
      <c r="AA91" s="114"/>
      <c r="AB91" s="53"/>
      <c r="AC91" s="114"/>
      <c r="AD91" s="53"/>
      <c r="AF91" s="53" t="s">
        <v>61</v>
      </c>
      <c r="AG91" s="253" t="s">
        <v>1248</v>
      </c>
      <c r="AH91" s="54" t="s">
        <v>63</v>
      </c>
    </row>
    <row r="92" spans="1:34" ht="13.5" customHeight="1" x14ac:dyDescent="0.3">
      <c r="D92" s="55"/>
      <c r="E92" s="55"/>
      <c r="F92" s="55" t="s">
        <v>480</v>
      </c>
      <c r="G92" s="55"/>
      <c r="H92" s="75" t="str">
        <f>IFERROR(INDEX(Rules!$F:$F,MATCH(G93,Rules!$E:$E,0)),"")</f>
        <v/>
      </c>
      <c r="I92" s="75" t="str">
        <f>IFERROR(INDEX(Rules!$G:$G,MATCH(G93,Rules!$E:$E,0)),"")</f>
        <v/>
      </c>
      <c r="J92" s="75" t="str">
        <f>IFERROR(INDEX(Rules!$H:$H,MATCH(G93,Rules!$E:$E,0)),"")</f>
        <v/>
      </c>
      <c r="K92" s="230" t="s">
        <v>481</v>
      </c>
      <c r="L92" s="69" t="s">
        <v>482</v>
      </c>
      <c r="M92" s="69"/>
      <c r="N92" s="69"/>
      <c r="O92" s="69" t="s">
        <v>483</v>
      </c>
      <c r="P92" s="69" t="s">
        <v>484</v>
      </c>
      <c r="Q92" s="69"/>
      <c r="R92" s="69"/>
      <c r="S92" s="69" t="s">
        <v>58</v>
      </c>
      <c r="T92" s="69" t="s">
        <v>59</v>
      </c>
      <c r="U92" s="55"/>
      <c r="W92" s="53" t="s">
        <v>154</v>
      </c>
      <c r="X92" s="53" t="s">
        <v>155</v>
      </c>
      <c r="Y92" s="114"/>
      <c r="Z92" s="53"/>
      <c r="AA92" s="114"/>
      <c r="AB92" s="53"/>
      <c r="AC92" s="114"/>
      <c r="AD92" s="53"/>
      <c r="AF92" s="53" t="s">
        <v>61</v>
      </c>
      <c r="AG92" s="253" t="s">
        <v>1248</v>
      </c>
      <c r="AH92" s="54" t="s">
        <v>63</v>
      </c>
    </row>
    <row r="93" spans="1:34" ht="13.5" customHeight="1" x14ac:dyDescent="0.3">
      <c r="D93" s="55"/>
      <c r="E93" s="55"/>
      <c r="F93" s="55" t="s">
        <v>485</v>
      </c>
      <c r="G93" s="55"/>
      <c r="H93" s="75" t="str">
        <f>IFERROR(INDEX(Rules!$F:$F,MATCH(G94,Rules!$E:$E,0)),"")</f>
        <v/>
      </c>
      <c r="I93" s="75" t="str">
        <f>IFERROR(INDEX(Rules!$G:$G,MATCH(G94,Rules!$E:$E,0)),"")</f>
        <v/>
      </c>
      <c r="J93" s="75" t="str">
        <f>IFERROR(INDEX(Rules!$H:$H,MATCH(G94,Rules!$E:$E,0)),"")</f>
        <v/>
      </c>
      <c r="K93" s="230" t="s">
        <v>486</v>
      </c>
      <c r="L93" s="69" t="s">
        <v>487</v>
      </c>
      <c r="M93" s="69"/>
      <c r="N93" s="69"/>
      <c r="O93" s="69" t="s">
        <v>488</v>
      </c>
      <c r="P93" s="69" t="s">
        <v>489</v>
      </c>
      <c r="Q93" s="69"/>
      <c r="R93" s="69"/>
      <c r="S93" s="69" t="s">
        <v>58</v>
      </c>
      <c r="T93" s="69" t="s">
        <v>59</v>
      </c>
      <c r="U93" s="55"/>
      <c r="W93" s="53" t="s">
        <v>84</v>
      </c>
      <c r="X93" s="53"/>
      <c r="Y93" s="114"/>
      <c r="Z93" s="53"/>
      <c r="AA93" s="114"/>
      <c r="AB93" s="53"/>
      <c r="AC93" s="114"/>
      <c r="AD93" s="53"/>
      <c r="AF93" s="53" t="s">
        <v>61</v>
      </c>
      <c r="AG93" s="253" t="s">
        <v>1248</v>
      </c>
      <c r="AH93" s="54" t="s">
        <v>63</v>
      </c>
    </row>
    <row r="94" spans="1:34" ht="13.5" customHeight="1" x14ac:dyDescent="0.3">
      <c r="D94" s="55"/>
      <c r="E94" s="55"/>
      <c r="F94" s="55" t="s">
        <v>490</v>
      </c>
      <c r="G94" s="55"/>
      <c r="H94" s="75" t="str">
        <f>IFERROR(INDEX(Rules!$F:$F,MATCH(G95,Rules!$E:$E,0)),"")</f>
        <v/>
      </c>
      <c r="I94" s="75" t="str">
        <f>IFERROR(INDEX(Rules!$G:$G,MATCH(G95,Rules!$E:$E,0)),"")</f>
        <v/>
      </c>
      <c r="J94" s="75" t="str">
        <f>IFERROR(INDEX(Rules!$H:$H,MATCH(G95,Rules!$E:$E,0)),"")</f>
        <v/>
      </c>
      <c r="K94" s="230" t="s">
        <v>491</v>
      </c>
      <c r="L94" s="69" t="s">
        <v>492</v>
      </c>
      <c r="M94" s="69"/>
      <c r="N94" s="69"/>
      <c r="O94" s="69" t="s">
        <v>493</v>
      </c>
      <c r="P94" s="69" t="s">
        <v>494</v>
      </c>
      <c r="Q94" s="69"/>
      <c r="R94" s="69"/>
      <c r="S94" s="69" t="s">
        <v>58</v>
      </c>
      <c r="T94" s="69" t="s">
        <v>59</v>
      </c>
      <c r="U94" s="55"/>
      <c r="W94" s="53" t="s">
        <v>495</v>
      </c>
      <c r="X94" s="53" t="s">
        <v>155</v>
      </c>
      <c r="Y94" s="114"/>
      <c r="Z94" s="53"/>
      <c r="AA94" s="114"/>
      <c r="AB94" s="53"/>
      <c r="AC94" s="114"/>
      <c r="AD94" s="53"/>
      <c r="AF94" s="53" t="s">
        <v>61</v>
      </c>
      <c r="AG94" s="253" t="s">
        <v>1248</v>
      </c>
      <c r="AH94" s="54" t="s">
        <v>63</v>
      </c>
    </row>
    <row r="95" spans="1:34" ht="13.5" customHeight="1" x14ac:dyDescent="0.3">
      <c r="D95" s="55"/>
      <c r="E95" s="55"/>
      <c r="F95" s="55" t="s">
        <v>496</v>
      </c>
      <c r="G95" s="55"/>
      <c r="H95" s="75" t="str">
        <f>IFERROR(INDEX(Rules!$F:$F,MATCH(G96,Rules!$E:$E,0)),"")</f>
        <v/>
      </c>
      <c r="I95" s="75" t="str">
        <f>IFERROR(INDEX(Rules!$G:$G,MATCH(G96,Rules!$E:$E,0)),"")</f>
        <v/>
      </c>
      <c r="J95" s="75" t="str">
        <f>IFERROR(INDEX(Rules!$H:$H,MATCH(G96,Rules!$E:$E,0)),"")</f>
        <v/>
      </c>
      <c r="K95" s="230" t="s">
        <v>497</v>
      </c>
      <c r="L95" s="69" t="s">
        <v>498</v>
      </c>
      <c r="M95" s="69"/>
      <c r="N95" s="69"/>
      <c r="O95" s="69" t="s">
        <v>499</v>
      </c>
      <c r="P95" s="69" t="s">
        <v>500</v>
      </c>
      <c r="Q95" s="69"/>
      <c r="R95" s="69"/>
      <c r="S95" s="69" t="s">
        <v>58</v>
      </c>
      <c r="T95" s="69" t="s">
        <v>59</v>
      </c>
      <c r="U95" s="55"/>
      <c r="W95" s="53"/>
      <c r="X95" s="53" t="s">
        <v>155</v>
      </c>
      <c r="Y95" s="114"/>
      <c r="Z95" s="53"/>
      <c r="AA95" s="114"/>
      <c r="AB95" s="53"/>
      <c r="AC95" s="114"/>
      <c r="AD95" s="53"/>
      <c r="AF95" s="53" t="s">
        <v>61</v>
      </c>
      <c r="AG95" s="253" t="s">
        <v>1248</v>
      </c>
      <c r="AH95" s="54" t="s">
        <v>63</v>
      </c>
    </row>
    <row r="96" spans="1:34" ht="13.5" customHeight="1" x14ac:dyDescent="0.3">
      <c r="D96" s="55"/>
      <c r="E96" s="55"/>
      <c r="F96" s="55" t="s">
        <v>501</v>
      </c>
      <c r="G96" s="55"/>
      <c r="H96" s="75" t="str">
        <f>IFERROR(INDEX(Rules!$F:$F,MATCH(G97,Rules!$E:$E,0)),"")</f>
        <v/>
      </c>
      <c r="I96" s="75" t="str">
        <f>IFERROR(INDEX(Rules!$G:$G,MATCH(G97,Rules!$E:$E,0)),"")</f>
        <v/>
      </c>
      <c r="J96" s="75" t="str">
        <f>IFERROR(INDEX(Rules!$H:$H,MATCH(G97,Rules!$E:$E,0)),"")</f>
        <v/>
      </c>
      <c r="K96" s="230" t="s">
        <v>502</v>
      </c>
      <c r="L96" s="69" t="s">
        <v>502</v>
      </c>
      <c r="M96" s="69"/>
      <c r="N96" s="69"/>
      <c r="O96" s="69" t="s">
        <v>503</v>
      </c>
      <c r="P96" s="69" t="s">
        <v>504</v>
      </c>
      <c r="Q96" s="69"/>
      <c r="R96" s="69"/>
      <c r="S96" s="69" t="s">
        <v>58</v>
      </c>
      <c r="T96" s="69" t="s">
        <v>59</v>
      </c>
      <c r="U96" s="55"/>
      <c r="W96" s="53"/>
      <c r="X96" s="53"/>
      <c r="Y96" s="114"/>
      <c r="Z96" s="53"/>
      <c r="AA96" s="114"/>
      <c r="AB96" s="53"/>
      <c r="AC96" s="114"/>
      <c r="AD96" s="53"/>
      <c r="AF96" s="53" t="s">
        <v>61</v>
      </c>
      <c r="AG96" s="253" t="s">
        <v>1248</v>
      </c>
      <c r="AH96" s="54" t="s">
        <v>63</v>
      </c>
    </row>
    <row r="97" spans="4:34" ht="13.5" customHeight="1" x14ac:dyDescent="0.3">
      <c r="D97" s="55"/>
      <c r="E97" s="55"/>
      <c r="F97" s="55" t="s">
        <v>505</v>
      </c>
      <c r="G97" s="55"/>
      <c r="H97" s="75" t="str">
        <f>IFERROR(INDEX(Rules!$F:$F,MATCH(G98,Rules!$E:$E,0)),"")</f>
        <v/>
      </c>
      <c r="I97" s="75" t="str">
        <f>IFERROR(INDEX(Rules!$G:$G,MATCH(G98,Rules!$E:$E,0)),"")</f>
        <v/>
      </c>
      <c r="J97" s="75" t="str">
        <f>IFERROR(INDEX(Rules!$H:$H,MATCH(G98,Rules!$E:$E,0)),"")</f>
        <v/>
      </c>
      <c r="K97" s="230" t="s">
        <v>506</v>
      </c>
      <c r="L97" s="69" t="s">
        <v>507</v>
      </c>
      <c r="M97" s="69"/>
      <c r="N97" s="69"/>
      <c r="O97" s="69" t="s">
        <v>508</v>
      </c>
      <c r="P97" s="69" t="s">
        <v>509</v>
      </c>
      <c r="Q97" s="69"/>
      <c r="R97" s="69"/>
      <c r="S97" s="69" t="s">
        <v>58</v>
      </c>
      <c r="T97" s="69" t="s">
        <v>59</v>
      </c>
      <c r="U97" s="55"/>
      <c r="W97" s="53" t="s">
        <v>510</v>
      </c>
      <c r="X97" s="53" t="s">
        <v>511</v>
      </c>
      <c r="Y97" s="114"/>
      <c r="Z97" s="53"/>
      <c r="AA97" s="114"/>
      <c r="AB97" s="53"/>
      <c r="AC97" s="114"/>
      <c r="AD97" s="53"/>
      <c r="AF97" s="53" t="s">
        <v>61</v>
      </c>
      <c r="AG97" s="253" t="s">
        <v>1248</v>
      </c>
      <c r="AH97" s="54" t="s">
        <v>63</v>
      </c>
    </row>
    <row r="98" spans="4:34" ht="13.5" customHeight="1" x14ac:dyDescent="0.3">
      <c r="D98" s="55"/>
      <c r="E98" s="55"/>
      <c r="F98" s="55" t="s">
        <v>512</v>
      </c>
      <c r="G98" s="55"/>
      <c r="H98" s="75" t="str">
        <f>IFERROR(INDEX(Rules!$F:$F,MATCH(G99,Rules!$E:$E,0)),"")</f>
        <v/>
      </c>
      <c r="I98" s="75" t="str">
        <f>IFERROR(INDEX(Rules!$G:$G,MATCH(G99,Rules!$E:$E,0)),"")</f>
        <v/>
      </c>
      <c r="J98" s="75" t="str">
        <f>IFERROR(INDEX(Rules!$H:$H,MATCH(G99,Rules!$E:$E,0)),"")</f>
        <v/>
      </c>
      <c r="K98" s="230" t="s">
        <v>1204</v>
      </c>
      <c r="L98" s="69" t="s">
        <v>513</v>
      </c>
      <c r="M98" s="69"/>
      <c r="N98" s="69"/>
      <c r="O98" s="230" t="s">
        <v>1208</v>
      </c>
      <c r="P98" s="69" t="s">
        <v>514</v>
      </c>
      <c r="Q98" s="69"/>
      <c r="R98" s="69"/>
      <c r="S98" s="69" t="s">
        <v>58</v>
      </c>
      <c r="T98" s="69" t="s">
        <v>59</v>
      </c>
      <c r="U98" s="55"/>
      <c r="W98" s="53" t="s">
        <v>515</v>
      </c>
      <c r="X98" s="53"/>
      <c r="Y98" s="114"/>
      <c r="Z98" s="53"/>
      <c r="AA98" s="114"/>
      <c r="AB98" s="53"/>
      <c r="AC98" s="114"/>
      <c r="AD98" s="53"/>
      <c r="AF98" s="53" t="s">
        <v>61</v>
      </c>
      <c r="AG98" s="253" t="s">
        <v>1248</v>
      </c>
      <c r="AH98" s="54" t="s">
        <v>63</v>
      </c>
    </row>
    <row r="99" spans="4:34" ht="13.5" customHeight="1" x14ac:dyDescent="0.3">
      <c r="D99" s="55"/>
      <c r="E99" s="55"/>
      <c r="F99" s="55" t="s">
        <v>516</v>
      </c>
      <c r="G99" s="55"/>
      <c r="H99" s="75" t="str">
        <f>IFERROR(INDEX(Rules!$F:$F,MATCH(G100,Rules!$E:$E,0)),"")</f>
        <v/>
      </c>
      <c r="I99" s="75" t="str">
        <f>IFERROR(INDEX(Rules!$G:$G,MATCH(G100,Rules!$E:$E,0)),"")</f>
        <v/>
      </c>
      <c r="J99" s="75" t="str">
        <f>IFERROR(INDEX(Rules!$H:$H,MATCH(G100,Rules!$E:$E,0)),"")</f>
        <v/>
      </c>
      <c r="K99" s="69" t="s">
        <v>517</v>
      </c>
      <c r="L99" s="69" t="s">
        <v>518</v>
      </c>
      <c r="M99" s="69"/>
      <c r="N99" s="69"/>
      <c r="O99" s="69" t="s">
        <v>519</v>
      </c>
      <c r="P99" s="69" t="s">
        <v>520</v>
      </c>
      <c r="Q99" s="69"/>
      <c r="R99" s="69"/>
      <c r="S99" s="69" t="s">
        <v>116</v>
      </c>
      <c r="T99" s="69" t="s">
        <v>178</v>
      </c>
      <c r="U99" s="55"/>
      <c r="W99" s="53"/>
      <c r="X99" s="53"/>
      <c r="Y99" s="114"/>
      <c r="Z99" s="53"/>
      <c r="AA99" s="114"/>
      <c r="AB99" s="53"/>
      <c r="AC99" s="114"/>
      <c r="AD99" s="53"/>
      <c r="AF99" s="53" t="s">
        <v>61</v>
      </c>
      <c r="AG99" s="253" t="s">
        <v>1248</v>
      </c>
      <c r="AH99" s="54" t="s">
        <v>63</v>
      </c>
    </row>
    <row r="100" spans="4:34" ht="13.5" customHeight="1" x14ac:dyDescent="0.3">
      <c r="D100" s="55"/>
      <c r="E100" s="55"/>
      <c r="F100" s="55" t="s">
        <v>521</v>
      </c>
      <c r="G100" s="55"/>
      <c r="H100" s="75" t="str">
        <f>IFERROR(INDEX(Rules!$F:$F,MATCH(G101,Rules!$E:$E,0)),"")</f>
        <v/>
      </c>
      <c r="I100" s="75" t="str">
        <f>IFERROR(INDEX(Rules!$G:$G,MATCH(G101,Rules!$E:$E,0)),"")</f>
        <v/>
      </c>
      <c r="J100" s="75" t="str">
        <f>IFERROR(INDEX(Rules!$H:$H,MATCH(G101,Rules!$E:$E,0)),"")</f>
        <v/>
      </c>
      <c r="K100" s="69" t="s">
        <v>522</v>
      </c>
      <c r="L100" s="69" t="s">
        <v>523</v>
      </c>
      <c r="M100" s="69"/>
      <c r="N100" s="69"/>
      <c r="O100" s="69" t="s">
        <v>524</v>
      </c>
      <c r="P100" s="69" t="s">
        <v>525</v>
      </c>
      <c r="Q100" s="69"/>
      <c r="R100" s="69"/>
      <c r="S100" s="69" t="s">
        <v>58</v>
      </c>
      <c r="T100" s="69" t="s">
        <v>59</v>
      </c>
      <c r="U100" s="55"/>
      <c r="W100" s="53" t="s">
        <v>526</v>
      </c>
      <c r="X100" s="53"/>
      <c r="Y100" s="114"/>
      <c r="Z100" s="53"/>
      <c r="AA100" s="114"/>
      <c r="AB100" s="53"/>
      <c r="AC100" s="114"/>
      <c r="AD100" s="53"/>
      <c r="AF100" s="53" t="s">
        <v>61</v>
      </c>
      <c r="AG100" s="253" t="s">
        <v>1248</v>
      </c>
      <c r="AH100" s="54" t="s">
        <v>63</v>
      </c>
    </row>
    <row r="101" spans="4:34" ht="13.5" customHeight="1" x14ac:dyDescent="0.3">
      <c r="D101" s="55"/>
      <c r="E101" s="55"/>
      <c r="F101" s="55" t="s">
        <v>527</v>
      </c>
      <c r="G101" s="55"/>
      <c r="H101" s="75" t="str">
        <f>IFERROR(INDEX(Rules!$F:$F,MATCH(G102,Rules!$E:$E,0)),"")</f>
        <v/>
      </c>
      <c r="I101" s="75" t="str">
        <f>IFERROR(INDEX(Rules!$G:$G,MATCH(G102,Rules!$E:$E,0)),"")</f>
        <v/>
      </c>
      <c r="J101" s="75" t="str">
        <f>IFERROR(INDEX(Rules!$H:$H,MATCH(G102,Rules!$E:$E,0)),"")</f>
        <v/>
      </c>
      <c r="K101" s="230" t="s">
        <v>1178</v>
      </c>
      <c r="L101" s="69" t="s">
        <v>528</v>
      </c>
      <c r="M101" s="69"/>
      <c r="N101" s="69"/>
      <c r="O101" s="69" t="s">
        <v>529</v>
      </c>
      <c r="P101" s="69" t="s">
        <v>530</v>
      </c>
      <c r="Q101" s="69"/>
      <c r="R101" s="69"/>
      <c r="S101" s="69" t="s">
        <v>58</v>
      </c>
      <c r="T101" s="69" t="s">
        <v>59</v>
      </c>
      <c r="U101" s="55"/>
      <c r="W101" s="53"/>
      <c r="X101" s="53"/>
      <c r="Y101" s="114"/>
      <c r="Z101" s="53"/>
      <c r="AA101" s="114"/>
      <c r="AB101" s="53"/>
      <c r="AC101" s="114"/>
      <c r="AD101" s="53"/>
      <c r="AF101" s="53" t="s">
        <v>61</v>
      </c>
      <c r="AG101" s="253" t="s">
        <v>1248</v>
      </c>
      <c r="AH101" s="54" t="s">
        <v>63</v>
      </c>
    </row>
    <row r="102" spans="4:34" ht="13.5" customHeight="1" x14ac:dyDescent="0.3">
      <c r="D102" s="55"/>
      <c r="E102" s="55"/>
      <c r="F102" s="55" t="s">
        <v>531</v>
      </c>
      <c r="G102" s="55"/>
      <c r="H102" s="75" t="str">
        <f>IFERROR(INDEX(Rules!$F:$F,MATCH(G103,Rules!$E:$E,0)),"")</f>
        <v/>
      </c>
      <c r="I102" s="75" t="str">
        <f>IFERROR(INDEX(Rules!$G:$G,MATCH(G103,Rules!$E:$E,0)),"")</f>
        <v/>
      </c>
      <c r="J102" s="75" t="str">
        <f>IFERROR(INDEX(Rules!$H:$H,MATCH(G103,Rules!$E:$E,0)),"")</f>
        <v/>
      </c>
      <c r="K102" s="69" t="s">
        <v>532</v>
      </c>
      <c r="L102" s="69" t="s">
        <v>533</v>
      </c>
      <c r="M102" s="69"/>
      <c r="N102" s="69"/>
      <c r="O102" s="69" t="s">
        <v>534</v>
      </c>
      <c r="P102" s="69" t="s">
        <v>535</v>
      </c>
      <c r="Q102" s="69"/>
      <c r="R102" s="69"/>
      <c r="S102" s="69" t="s">
        <v>58</v>
      </c>
      <c r="T102" s="69" t="s">
        <v>59</v>
      </c>
      <c r="U102" s="55"/>
      <c r="W102" s="53" t="s">
        <v>536</v>
      </c>
      <c r="X102" s="53"/>
      <c r="Y102" s="114"/>
      <c r="Z102" s="53"/>
      <c r="AA102" s="114"/>
      <c r="AB102" s="53"/>
      <c r="AC102" s="114"/>
      <c r="AD102" s="53"/>
      <c r="AF102" s="53" t="s">
        <v>61</v>
      </c>
      <c r="AG102" s="253" t="s">
        <v>1248</v>
      </c>
      <c r="AH102" s="54" t="s">
        <v>63</v>
      </c>
    </row>
    <row r="103" spans="4:34" ht="13.5" customHeight="1" x14ac:dyDescent="0.3">
      <c r="D103" s="55"/>
      <c r="E103" s="55"/>
      <c r="F103" s="55" t="s">
        <v>537</v>
      </c>
      <c r="G103" s="55"/>
      <c r="H103" s="75" t="str">
        <f>IFERROR(INDEX(Rules!$F:$F,MATCH(G104,Rules!$E:$E,0)),"")</f>
        <v/>
      </c>
      <c r="I103" s="75" t="str">
        <f>IFERROR(INDEX(Rules!$G:$G,MATCH(G104,Rules!$E:$E,0)),"")</f>
        <v/>
      </c>
      <c r="J103" s="75" t="str">
        <f>IFERROR(INDEX(Rules!$H:$H,MATCH(G104,Rules!$E:$E,0)),"")</f>
        <v/>
      </c>
      <c r="K103" s="230" t="s">
        <v>538</v>
      </c>
      <c r="L103" s="69" t="s">
        <v>539</v>
      </c>
      <c r="M103" s="69"/>
      <c r="N103" s="69"/>
      <c r="O103" s="230" t="s">
        <v>1235</v>
      </c>
      <c r="P103" s="69" t="s">
        <v>540</v>
      </c>
      <c r="Q103" s="69"/>
      <c r="R103" s="69"/>
      <c r="S103" s="55" t="s">
        <v>1040</v>
      </c>
      <c r="T103" s="55" t="s">
        <v>1051</v>
      </c>
      <c r="U103" s="55"/>
      <c r="W103" s="53"/>
      <c r="X103" s="53"/>
      <c r="Y103" s="114"/>
      <c r="Z103" s="53"/>
      <c r="AA103" s="114"/>
      <c r="AB103" s="53"/>
      <c r="AC103" s="114"/>
      <c r="AD103" s="53"/>
      <c r="AF103" s="53" t="s">
        <v>61</v>
      </c>
      <c r="AG103" s="253" t="s">
        <v>1248</v>
      </c>
      <c r="AH103" s="54" t="s">
        <v>63</v>
      </c>
    </row>
    <row r="104" spans="4:34" ht="13.5" customHeight="1" x14ac:dyDescent="0.3">
      <c r="D104" s="55"/>
      <c r="E104" s="55"/>
      <c r="F104" s="55" t="s">
        <v>541</v>
      </c>
      <c r="G104" s="55"/>
      <c r="H104" s="75" t="str">
        <f>IFERROR(INDEX(Rules!$F:$F,MATCH(G105,Rules!$E:$E,0)),"")</f>
        <v/>
      </c>
      <c r="I104" s="75" t="str">
        <f>IFERROR(INDEX(Rules!$G:$G,MATCH(G105,Rules!$E:$E,0)),"")</f>
        <v/>
      </c>
      <c r="J104" s="75" t="str">
        <f>IFERROR(INDEX(Rules!$H:$H,MATCH(G105,Rules!$E:$E,0)),"")</f>
        <v/>
      </c>
      <c r="K104" s="230" t="s">
        <v>1222</v>
      </c>
      <c r="L104" s="69" t="s">
        <v>542</v>
      </c>
      <c r="M104" s="69"/>
      <c r="N104" s="69"/>
      <c r="O104" s="69" t="s">
        <v>543</v>
      </c>
      <c r="P104" s="69" t="s">
        <v>544</v>
      </c>
      <c r="Q104" s="69"/>
      <c r="R104" s="69"/>
      <c r="S104" s="69" t="s">
        <v>58</v>
      </c>
      <c r="T104" s="69" t="s">
        <v>59</v>
      </c>
      <c r="U104" s="55"/>
      <c r="W104" s="53" t="s">
        <v>545</v>
      </c>
      <c r="X104" s="53" t="s">
        <v>546</v>
      </c>
      <c r="Y104" s="114"/>
      <c r="Z104" s="53"/>
      <c r="AA104" s="114"/>
      <c r="AB104" s="53"/>
      <c r="AC104" s="114"/>
      <c r="AD104" s="53"/>
      <c r="AF104" s="53" t="s">
        <v>61</v>
      </c>
      <c r="AG104" s="253" t="s">
        <v>1248</v>
      </c>
      <c r="AH104" s="54" t="s">
        <v>63</v>
      </c>
    </row>
    <row r="105" spans="4:34" ht="13.5" customHeight="1" x14ac:dyDescent="0.3">
      <c r="D105" s="55"/>
      <c r="E105" s="55"/>
      <c r="F105" s="55" t="s">
        <v>547</v>
      </c>
      <c r="G105" s="55"/>
      <c r="H105" s="75" t="str">
        <f>IFERROR(INDEX(Rules!$F:$F,MATCH(G106,Rules!$E:$E,0)),"")</f>
        <v/>
      </c>
      <c r="I105" s="75" t="str">
        <f>IFERROR(INDEX(Rules!$G:$G,MATCH(G106,Rules!$E:$E,0)),"")</f>
        <v/>
      </c>
      <c r="J105" s="75" t="str">
        <f>IFERROR(INDEX(Rules!$H:$H,MATCH(G106,Rules!$E:$E,0)),"")</f>
        <v/>
      </c>
      <c r="K105" s="230" t="s">
        <v>548</v>
      </c>
      <c r="L105" s="69" t="s">
        <v>549</v>
      </c>
      <c r="M105" s="69"/>
      <c r="N105" s="69"/>
      <c r="O105" s="69" t="s">
        <v>550</v>
      </c>
      <c r="P105" s="69" t="s">
        <v>551</v>
      </c>
      <c r="Q105" s="69"/>
      <c r="R105" s="69"/>
      <c r="S105" s="69" t="s">
        <v>58</v>
      </c>
      <c r="T105" s="69" t="s">
        <v>59</v>
      </c>
      <c r="U105" s="55"/>
      <c r="W105" s="53"/>
      <c r="X105" s="53"/>
      <c r="Y105" s="114"/>
      <c r="Z105" s="53"/>
      <c r="AA105" s="114"/>
      <c r="AB105" s="53"/>
      <c r="AC105" s="114"/>
      <c r="AD105" s="53"/>
      <c r="AF105" s="53" t="s">
        <v>61</v>
      </c>
      <c r="AG105" s="253" t="s">
        <v>1248</v>
      </c>
      <c r="AH105" s="54" t="s">
        <v>63</v>
      </c>
    </row>
    <row r="106" spans="4:34" ht="13.5" customHeight="1" x14ac:dyDescent="0.3">
      <c r="D106" s="55"/>
      <c r="E106" s="55"/>
      <c r="F106" s="55" t="s">
        <v>552</v>
      </c>
      <c r="G106" s="55"/>
      <c r="H106" s="75" t="str">
        <f>IFERROR(INDEX(Rules!$F:$F,MATCH(G107,Rules!$E:$E,0)),"")</f>
        <v/>
      </c>
      <c r="I106" s="75" t="str">
        <f>IFERROR(INDEX(Rules!$G:$G,MATCH(G107,Rules!$E:$E,0)),"")</f>
        <v/>
      </c>
      <c r="J106" s="75" t="str">
        <f>IFERROR(INDEX(Rules!$H:$H,MATCH(G107,Rules!$E:$E,0)),"")</f>
        <v/>
      </c>
      <c r="K106" s="230" t="s">
        <v>553</v>
      </c>
      <c r="L106" s="69" t="s">
        <v>554</v>
      </c>
      <c r="M106" s="69"/>
      <c r="N106" s="69"/>
      <c r="O106" s="69" t="s">
        <v>555</v>
      </c>
      <c r="P106" s="69" t="s">
        <v>556</v>
      </c>
      <c r="Q106" s="69"/>
      <c r="R106" s="69"/>
      <c r="S106" s="69" t="s">
        <v>58</v>
      </c>
      <c r="T106" s="69" t="s">
        <v>59</v>
      </c>
      <c r="U106" s="55"/>
      <c r="W106" s="53" t="s">
        <v>557</v>
      </c>
      <c r="X106" s="53" t="s">
        <v>558</v>
      </c>
      <c r="Y106" s="114"/>
      <c r="Z106" s="53"/>
      <c r="AA106" s="114"/>
      <c r="AB106" s="53"/>
      <c r="AC106" s="114"/>
      <c r="AD106" s="53"/>
      <c r="AF106" s="53" t="s">
        <v>61</v>
      </c>
      <c r="AG106" s="253" t="s">
        <v>1248</v>
      </c>
      <c r="AH106" s="54" t="s">
        <v>63</v>
      </c>
    </row>
    <row r="107" spans="4:34" ht="13.5" customHeight="1" x14ac:dyDescent="0.3">
      <c r="D107" s="55"/>
      <c r="E107" s="55"/>
      <c r="F107" s="55" t="s">
        <v>559</v>
      </c>
      <c r="G107" s="55"/>
      <c r="H107" s="75" t="str">
        <f>IFERROR(INDEX(Rules!$F:$F,MATCH(G108,Rules!$E:$E,0)),"")</f>
        <v/>
      </c>
      <c r="I107" s="75" t="str">
        <f>IFERROR(INDEX(Rules!$G:$G,MATCH(G108,Rules!$E:$E,0)),"")</f>
        <v/>
      </c>
      <c r="J107" s="75" t="str">
        <f>IFERROR(INDEX(Rules!$H:$H,MATCH(G108,Rules!$E:$E,0)),"")</f>
        <v/>
      </c>
      <c r="K107" s="230" t="s">
        <v>560</v>
      </c>
      <c r="L107" s="69" t="s">
        <v>561</v>
      </c>
      <c r="M107" s="69"/>
      <c r="N107" s="69"/>
      <c r="O107" s="69" t="s">
        <v>562</v>
      </c>
      <c r="P107" s="69" t="s">
        <v>563</v>
      </c>
      <c r="Q107" s="69"/>
      <c r="R107" s="69"/>
      <c r="S107" s="69" t="s">
        <v>58</v>
      </c>
      <c r="T107" s="69" t="s">
        <v>59</v>
      </c>
      <c r="U107" s="55"/>
      <c r="W107" s="53" t="s">
        <v>564</v>
      </c>
      <c r="X107" s="53" t="s">
        <v>565</v>
      </c>
      <c r="Y107" s="114"/>
      <c r="Z107" s="53"/>
      <c r="AA107" s="114"/>
      <c r="AB107" s="53"/>
      <c r="AC107" s="114"/>
      <c r="AD107" s="53"/>
      <c r="AF107" s="53" t="s">
        <v>61</v>
      </c>
      <c r="AG107" s="253" t="s">
        <v>1248</v>
      </c>
      <c r="AH107" s="54" t="s">
        <v>63</v>
      </c>
    </row>
    <row r="108" spans="4:34" ht="13.5" customHeight="1" x14ac:dyDescent="0.3">
      <c r="D108" s="55"/>
      <c r="E108" s="55"/>
      <c r="F108" s="55" t="s">
        <v>566</v>
      </c>
      <c r="G108" s="55"/>
      <c r="H108" s="75" t="str">
        <f>IFERROR(INDEX(Rules!$F:$F,MATCH(G109,Rules!$E:$E,0)),"")</f>
        <v/>
      </c>
      <c r="I108" s="75" t="str">
        <f>IFERROR(INDEX(Rules!$G:$G,MATCH(G109,Rules!$E:$E,0)),"")</f>
        <v/>
      </c>
      <c r="J108" s="75" t="str">
        <f>IFERROR(INDEX(Rules!$H:$H,MATCH(G109,Rules!$E:$E,0)),"")</f>
        <v/>
      </c>
      <c r="K108" s="230" t="s">
        <v>567</v>
      </c>
      <c r="L108" s="69" t="s">
        <v>568</v>
      </c>
      <c r="M108" s="69"/>
      <c r="N108" s="69"/>
      <c r="O108" s="69" t="s">
        <v>569</v>
      </c>
      <c r="P108" s="69" t="s">
        <v>570</v>
      </c>
      <c r="Q108" s="69"/>
      <c r="R108" s="69"/>
      <c r="S108" s="69" t="s">
        <v>58</v>
      </c>
      <c r="T108" s="69" t="s">
        <v>59</v>
      </c>
      <c r="U108" s="55"/>
      <c r="W108" s="53" t="s">
        <v>1236</v>
      </c>
      <c r="X108" s="53" t="s">
        <v>1237</v>
      </c>
      <c r="Y108" s="114"/>
      <c r="Z108" s="53"/>
      <c r="AA108" s="114"/>
      <c r="AB108" s="53"/>
      <c r="AC108" s="114"/>
      <c r="AD108" s="53"/>
      <c r="AF108" s="53" t="s">
        <v>61</v>
      </c>
      <c r="AG108" s="253" t="s">
        <v>1248</v>
      </c>
      <c r="AH108" s="54" t="s">
        <v>63</v>
      </c>
    </row>
    <row r="109" spans="4:34" ht="13.5" customHeight="1" x14ac:dyDescent="0.3">
      <c r="D109" s="55"/>
      <c r="E109" s="55"/>
      <c r="F109" s="55" t="s">
        <v>571</v>
      </c>
      <c r="G109" s="55"/>
      <c r="H109" s="75" t="str">
        <f>IFERROR(INDEX(Rules!$F:$F,MATCH(G110,Rules!$E:$E,0)),"")</f>
        <v/>
      </c>
      <c r="I109" s="75" t="str">
        <f>IFERROR(INDEX(Rules!$G:$G,MATCH(G110,Rules!$E:$E,0)),"")</f>
        <v/>
      </c>
      <c r="J109" s="75" t="str">
        <f>IFERROR(INDEX(Rules!$H:$H,MATCH(G110,Rules!$E:$E,0)),"")</f>
        <v/>
      </c>
      <c r="K109" s="230" t="s">
        <v>572</v>
      </c>
      <c r="L109" s="69" t="s">
        <v>573</v>
      </c>
      <c r="M109" s="69"/>
      <c r="N109" s="69"/>
      <c r="O109" s="69" t="s">
        <v>574</v>
      </c>
      <c r="P109" s="69" t="s">
        <v>575</v>
      </c>
      <c r="Q109" s="69"/>
      <c r="R109" s="69"/>
      <c r="S109" s="69" t="s">
        <v>58</v>
      </c>
      <c r="T109" s="69" t="s">
        <v>59</v>
      </c>
      <c r="U109" s="55"/>
      <c r="W109" s="53" t="s">
        <v>1238</v>
      </c>
      <c r="X109" s="53" t="s">
        <v>1237</v>
      </c>
      <c r="Y109" s="114"/>
      <c r="Z109" s="53"/>
      <c r="AA109" s="114"/>
      <c r="AB109" s="53"/>
      <c r="AC109" s="114"/>
      <c r="AD109" s="53"/>
      <c r="AF109" s="53" t="s">
        <v>61</v>
      </c>
      <c r="AG109" s="253" t="s">
        <v>1248</v>
      </c>
      <c r="AH109" s="54" t="s">
        <v>63</v>
      </c>
    </row>
    <row r="110" spans="4:34" ht="13.5" customHeight="1" x14ac:dyDescent="0.3">
      <c r="D110" s="55"/>
      <c r="E110" s="55"/>
      <c r="F110" s="55" t="s">
        <v>576</v>
      </c>
      <c r="G110" s="55"/>
      <c r="H110" s="75" t="str">
        <f>IFERROR(INDEX(Rules!$F:$F,MATCH(G111,Rules!$E:$E,0)),"")</f>
        <v/>
      </c>
      <c r="I110" s="75" t="str">
        <f>IFERROR(INDEX(Rules!$G:$G,MATCH(G111,Rules!$E:$E,0)),"")</f>
        <v/>
      </c>
      <c r="J110" s="75" t="str">
        <f>IFERROR(INDEX(Rules!$H:$H,MATCH(G111,Rules!$E:$E,0)),"")</f>
        <v/>
      </c>
      <c r="K110" s="230" t="s">
        <v>577</v>
      </c>
      <c r="L110" s="230" t="s">
        <v>578</v>
      </c>
      <c r="M110" s="69"/>
      <c r="N110" s="69"/>
      <c r="O110" s="69" t="s">
        <v>579</v>
      </c>
      <c r="P110" s="69" t="s">
        <v>580</v>
      </c>
      <c r="Q110" s="69"/>
      <c r="R110" s="69"/>
      <c r="S110" s="69" t="s">
        <v>116</v>
      </c>
      <c r="T110" s="69" t="s">
        <v>178</v>
      </c>
      <c r="U110" s="55"/>
      <c r="W110" s="53" t="s">
        <v>349</v>
      </c>
      <c r="X110" s="53"/>
      <c r="Y110" s="53" t="s">
        <v>350</v>
      </c>
      <c r="Z110" s="53"/>
      <c r="AA110" s="114"/>
      <c r="AB110" s="53"/>
      <c r="AC110" s="114"/>
      <c r="AD110" s="53"/>
      <c r="AF110" s="53" t="s">
        <v>61</v>
      </c>
      <c r="AG110" s="253" t="s">
        <v>1248</v>
      </c>
      <c r="AH110" s="54" t="s">
        <v>63</v>
      </c>
    </row>
    <row r="111" spans="4:34" ht="13.5" customHeight="1" x14ac:dyDescent="0.3">
      <c r="D111" s="55"/>
      <c r="E111" s="55"/>
      <c r="F111" s="55" t="s">
        <v>581</v>
      </c>
      <c r="G111" s="55"/>
      <c r="H111" s="75" t="str">
        <f>IFERROR(INDEX(Rules!$F:$F,MATCH(G112,Rules!$E:$E,0)),"")</f>
        <v/>
      </c>
      <c r="I111" s="75" t="str">
        <f>IFERROR(INDEX(Rules!$G:$G,MATCH(G112,Rules!$E:$E,0)),"")</f>
        <v/>
      </c>
      <c r="J111" s="75" t="str">
        <f>IFERROR(INDEX(Rules!$H:$H,MATCH(G112,Rules!$E:$E,0)),"")</f>
        <v/>
      </c>
      <c r="K111" s="230" t="s">
        <v>582</v>
      </c>
      <c r="L111" s="69" t="s">
        <v>583</v>
      </c>
      <c r="M111" s="69"/>
      <c r="N111" s="69"/>
      <c r="O111" s="69" t="s">
        <v>584</v>
      </c>
      <c r="P111" s="69" t="s">
        <v>585</v>
      </c>
      <c r="Q111" s="69"/>
      <c r="R111" s="69"/>
      <c r="S111" s="69" t="s">
        <v>58</v>
      </c>
      <c r="T111" s="69" t="s">
        <v>59</v>
      </c>
      <c r="U111" s="55"/>
      <c r="W111" s="53" t="s">
        <v>1216</v>
      </c>
      <c r="X111" s="53" t="s">
        <v>1233</v>
      </c>
      <c r="Y111" s="114"/>
      <c r="Z111" s="53"/>
      <c r="AA111" s="114"/>
      <c r="AB111" s="53"/>
      <c r="AC111" s="114"/>
      <c r="AD111" s="53"/>
      <c r="AF111" s="53" t="s">
        <v>61</v>
      </c>
      <c r="AG111" s="253" t="s">
        <v>1248</v>
      </c>
      <c r="AH111" s="54" t="s">
        <v>63</v>
      </c>
    </row>
    <row r="112" spans="4:34" ht="13.5" customHeight="1" x14ac:dyDescent="0.3">
      <c r="D112" s="55"/>
      <c r="E112" s="55"/>
      <c r="F112" s="55" t="s">
        <v>586</v>
      </c>
      <c r="G112" s="55"/>
      <c r="H112" s="75" t="str">
        <f>IFERROR(INDEX(Rules!$F:$F,MATCH(G113,Rules!$E:$E,0)),"")</f>
        <v/>
      </c>
      <c r="I112" s="75" t="str">
        <f>IFERROR(INDEX(Rules!$G:$G,MATCH(G113,Rules!$E:$E,0)),"")</f>
        <v/>
      </c>
      <c r="J112" s="75" t="str">
        <f>IFERROR(INDEX(Rules!$H:$H,MATCH(G113,Rules!$E:$E,0)),"")</f>
        <v/>
      </c>
      <c r="K112" s="230" t="s">
        <v>587</v>
      </c>
      <c r="L112" s="69" t="s">
        <v>588</v>
      </c>
      <c r="M112" s="69"/>
      <c r="N112" s="69"/>
      <c r="O112" s="69" t="s">
        <v>589</v>
      </c>
      <c r="P112" s="69" t="s">
        <v>590</v>
      </c>
      <c r="Q112" s="69"/>
      <c r="R112" s="69"/>
      <c r="S112" s="69" t="s">
        <v>58</v>
      </c>
      <c r="T112" s="69" t="s">
        <v>59</v>
      </c>
      <c r="U112" s="55"/>
      <c r="W112" s="53" t="s">
        <v>393</v>
      </c>
      <c r="X112" s="53"/>
      <c r="Y112" s="114"/>
      <c r="Z112" s="53"/>
      <c r="AA112" s="114"/>
      <c r="AB112" s="53"/>
      <c r="AC112" s="114"/>
      <c r="AD112" s="53"/>
      <c r="AF112" s="53" t="s">
        <v>61</v>
      </c>
      <c r="AG112" s="253" t="s">
        <v>1248</v>
      </c>
      <c r="AH112" s="54" t="s">
        <v>63</v>
      </c>
    </row>
    <row r="113" spans="7:33" ht="13.5" customHeight="1" x14ac:dyDescent="0.35">
      <c r="G113" s="209"/>
      <c r="H113" s="184" t="str">
        <f>IFERROR(INDEX(Rules!$F:$F,MATCH(G114,Rules!$E:$E,0)),"")</f>
        <v/>
      </c>
      <c r="I113" s="184" t="str">
        <f>IFERROR(INDEX(Rules!$G:$G,MATCH(G114,Rules!$E:$E,0)),"")</f>
        <v/>
      </c>
      <c r="J113" s="184" t="str">
        <f>IFERROR(INDEX(Rules!$H:$H,MATCH(G114,Rules!$E:$E,0)),"")</f>
        <v/>
      </c>
      <c r="K113" s="71"/>
      <c r="L113" s="184"/>
      <c r="O113" s="184"/>
      <c r="P113" s="71"/>
      <c r="Q113" s="184"/>
      <c r="R113" s="184"/>
      <c r="Y113" s="184"/>
      <c r="Z113" s="184"/>
      <c r="AA113" s="184"/>
      <c r="AB113" s="184"/>
      <c r="AC113" s="184"/>
      <c r="AD113" s="184"/>
      <c r="AG113" s="259"/>
    </row>
    <row r="114" spans="7:33" ht="13.5" customHeight="1" x14ac:dyDescent="0.35">
      <c r="G114" s="209"/>
      <c r="H114" s="184" t="str">
        <f>IFERROR(INDEX(Rules!$F:$F,MATCH(G115,Rules!$E:$E,0)),"")</f>
        <v/>
      </c>
      <c r="I114" s="184" t="str">
        <f>IFERROR(INDEX(Rules!$G:$G,MATCH(G115,Rules!$E:$E,0)),"")</f>
        <v/>
      </c>
      <c r="J114" s="184" t="str">
        <f>IFERROR(INDEX(Rules!$H:$H,MATCH(G115,Rules!$E:$E,0)),"")</f>
        <v/>
      </c>
      <c r="K114" s="71"/>
      <c r="L114" s="184"/>
      <c r="O114" s="184"/>
      <c r="P114" s="71"/>
      <c r="Q114" s="184"/>
      <c r="R114" s="184"/>
      <c r="Y114" s="184"/>
      <c r="Z114" s="184"/>
      <c r="AA114" s="184"/>
      <c r="AB114" s="184"/>
      <c r="AC114" s="184"/>
      <c r="AD114" s="184"/>
      <c r="AG114" s="259"/>
    </row>
    <row r="115" spans="7:33" ht="13.5" customHeight="1" x14ac:dyDescent="0.35">
      <c r="G115" s="209"/>
      <c r="H115" s="184" t="str">
        <f>IFERROR(INDEX(Rules!$F:$F,MATCH(G116,Rules!$E:$E,0)),"")</f>
        <v/>
      </c>
      <c r="I115" s="184" t="str">
        <f>IFERROR(INDEX(Rules!$G:$G,MATCH(G116,Rules!$E:$E,0)),"")</f>
        <v/>
      </c>
      <c r="J115" s="184" t="str">
        <f>IFERROR(INDEX(Rules!$H:$H,MATCH(G116,Rules!$E:$E,0)),"")</f>
        <v/>
      </c>
      <c r="K115" s="71"/>
      <c r="L115" s="184"/>
      <c r="O115" s="184"/>
      <c r="P115" s="71"/>
      <c r="Q115" s="184"/>
      <c r="R115" s="184"/>
      <c r="Y115" s="184"/>
      <c r="Z115" s="184"/>
      <c r="AA115" s="184"/>
      <c r="AB115" s="184"/>
      <c r="AC115" s="184"/>
      <c r="AD115" s="184"/>
      <c r="AG115" s="259"/>
    </row>
    <row r="116" spans="7:33" ht="13.5" customHeight="1" x14ac:dyDescent="0.35">
      <c r="G116" s="209"/>
      <c r="H116" s="184" t="str">
        <f>IFERROR(INDEX(Rules!$F:$F,MATCH(G117,Rules!$E:$E,0)),"")</f>
        <v/>
      </c>
      <c r="I116" s="184" t="str">
        <f>IFERROR(INDEX(Rules!$G:$G,MATCH(G117,Rules!$E:$E,0)),"")</f>
        <v/>
      </c>
      <c r="J116" s="184" t="str">
        <f>IFERROR(INDEX(Rules!$H:$H,MATCH(G117,Rules!$E:$E,0)),"")</f>
        <v/>
      </c>
      <c r="K116" s="71"/>
      <c r="L116" s="184"/>
      <c r="O116" s="184"/>
      <c r="P116" s="71"/>
      <c r="Q116" s="184"/>
      <c r="R116" s="184"/>
      <c r="Y116" s="184"/>
      <c r="Z116" s="184"/>
      <c r="AA116" s="184"/>
      <c r="AB116" s="184"/>
      <c r="AC116" s="184"/>
      <c r="AD116" s="184"/>
      <c r="AG116" s="259"/>
    </row>
    <row r="117" spans="7:33" ht="13.5" customHeight="1" x14ac:dyDescent="0.35">
      <c r="G117" s="209"/>
      <c r="H117" s="184" t="str">
        <f>IFERROR(INDEX(Rules!$F:$F,MATCH(G118,Rules!$E:$E,0)),"")</f>
        <v/>
      </c>
      <c r="I117" s="184" t="str">
        <f>IFERROR(INDEX(Rules!$G:$G,MATCH(G118,Rules!$E:$E,0)),"")</f>
        <v/>
      </c>
      <c r="J117" s="184" t="str">
        <f>IFERROR(INDEX(Rules!$H:$H,MATCH(G118,Rules!$E:$E,0)),"")</f>
        <v/>
      </c>
      <c r="K117" s="71"/>
      <c r="L117" s="184"/>
      <c r="O117" s="184"/>
      <c r="P117" s="71"/>
      <c r="Q117" s="184"/>
      <c r="R117" s="184"/>
      <c r="Y117" s="184"/>
      <c r="Z117" s="184"/>
      <c r="AA117" s="184"/>
      <c r="AB117" s="184"/>
      <c r="AC117" s="184"/>
      <c r="AD117" s="184"/>
    </row>
    <row r="118" spans="7:33" ht="13.5" customHeight="1" x14ac:dyDescent="0.35">
      <c r="G118" s="209"/>
      <c r="H118" s="184" t="str">
        <f>IFERROR(INDEX(Rules!$F:$F,MATCH(G119,Rules!$E:$E,0)),"")</f>
        <v/>
      </c>
      <c r="I118" s="184" t="str">
        <f>IFERROR(INDEX(Rules!$G:$G,MATCH(G119,Rules!$E:$E,0)),"")</f>
        <v/>
      </c>
      <c r="J118" s="184" t="str">
        <f>IFERROR(INDEX(Rules!$H:$H,MATCH(G119,Rules!$E:$E,0)),"")</f>
        <v/>
      </c>
      <c r="K118" s="71"/>
      <c r="L118" s="184"/>
      <c r="O118" s="184"/>
      <c r="P118" s="71"/>
      <c r="Q118" s="184"/>
      <c r="R118" s="184"/>
      <c r="Y118" s="184"/>
      <c r="Z118" s="184"/>
      <c r="AA118" s="184"/>
      <c r="AB118" s="184"/>
      <c r="AC118" s="184"/>
      <c r="AD118" s="184"/>
    </row>
    <row r="119" spans="7:33" ht="13.5" customHeight="1" x14ac:dyDescent="0.35">
      <c r="G119" s="209"/>
      <c r="H119" s="184" t="str">
        <f>IFERROR(INDEX(Rules!$F:$F,MATCH(G120,Rules!$E:$E,0)),"")</f>
        <v/>
      </c>
      <c r="I119" s="184" t="str">
        <f>IFERROR(INDEX(Rules!$G:$G,MATCH(G120,Rules!$E:$E,0)),"")</f>
        <v/>
      </c>
      <c r="J119" s="184" t="str">
        <f>IFERROR(INDEX(Rules!$H:$H,MATCH(G120,Rules!$E:$E,0)),"")</f>
        <v/>
      </c>
      <c r="K119" s="71"/>
      <c r="L119" s="184"/>
      <c r="O119" s="184"/>
      <c r="P119" s="71"/>
      <c r="Q119" s="184"/>
      <c r="R119" s="184"/>
      <c r="Y119" s="184"/>
      <c r="Z119" s="184"/>
      <c r="AA119" s="184"/>
      <c r="AB119" s="184"/>
      <c r="AC119" s="184"/>
      <c r="AD119" s="184"/>
    </row>
    <row r="120" spans="7:33" ht="13.5" customHeight="1" x14ac:dyDescent="0.35">
      <c r="G120" s="209"/>
      <c r="H120" s="184" t="str">
        <f>IFERROR(INDEX(Rules!$F:$F,MATCH(G121,Rules!$E:$E,0)),"")</f>
        <v/>
      </c>
      <c r="I120" s="184" t="str">
        <f>IFERROR(INDEX(Rules!$G:$G,MATCH(G121,Rules!$E:$E,0)),"")</f>
        <v/>
      </c>
      <c r="J120" s="184" t="str">
        <f>IFERROR(INDEX(Rules!$H:$H,MATCH(G121,Rules!$E:$E,0)),"")</f>
        <v/>
      </c>
      <c r="K120" s="71"/>
      <c r="L120" s="184"/>
      <c r="O120" s="184"/>
      <c r="P120" s="71"/>
      <c r="Q120" s="184"/>
      <c r="R120" s="184"/>
      <c r="Y120" s="184"/>
      <c r="Z120" s="184"/>
      <c r="AA120" s="184"/>
      <c r="AB120" s="184"/>
      <c r="AC120" s="184"/>
      <c r="AD120" s="184"/>
    </row>
    <row r="121" spans="7:33" ht="13.5" customHeight="1" x14ac:dyDescent="0.35">
      <c r="G121" s="209"/>
      <c r="H121" s="184" t="str">
        <f>IFERROR(INDEX(Rules!$F:$F,MATCH(G122,Rules!$E:$E,0)),"")</f>
        <v/>
      </c>
      <c r="I121" s="184" t="str">
        <f>IFERROR(INDEX(Rules!$G:$G,MATCH(G122,Rules!$E:$E,0)),"")</f>
        <v/>
      </c>
      <c r="J121" s="184" t="str">
        <f>IFERROR(INDEX(Rules!$H:$H,MATCH(G122,Rules!$E:$E,0)),"")</f>
        <v/>
      </c>
      <c r="K121" s="71"/>
      <c r="L121" s="184"/>
      <c r="O121" s="184"/>
      <c r="P121" s="71"/>
      <c r="Q121" s="184"/>
      <c r="R121" s="184"/>
      <c r="Y121" s="184"/>
      <c r="Z121" s="184"/>
      <c r="AA121" s="184"/>
      <c r="AB121" s="184"/>
      <c r="AC121" s="184"/>
      <c r="AD121" s="184"/>
    </row>
    <row r="122" spans="7:33" ht="13.5" customHeight="1" x14ac:dyDescent="0.35">
      <c r="G122" s="209"/>
      <c r="H122" s="184" t="str">
        <f>IFERROR(INDEX(Rules!$F:$F,MATCH(G123,Rules!$E:$E,0)),"")</f>
        <v/>
      </c>
      <c r="I122" s="184" t="str">
        <f>IFERROR(INDEX(Rules!$G:$G,MATCH(G123,Rules!$E:$E,0)),"")</f>
        <v/>
      </c>
      <c r="J122" s="184" t="str">
        <f>IFERROR(INDEX(Rules!$H:$H,MATCH(G123,Rules!$E:$E,0)),"")</f>
        <v/>
      </c>
      <c r="K122" s="71"/>
      <c r="L122" s="184"/>
      <c r="O122" s="184"/>
      <c r="P122" s="71"/>
      <c r="Q122" s="184"/>
      <c r="R122" s="184"/>
      <c r="Y122" s="184"/>
      <c r="Z122" s="184"/>
      <c r="AA122" s="184"/>
      <c r="AB122" s="184"/>
      <c r="AC122" s="184"/>
      <c r="AD122" s="184"/>
    </row>
    <row r="123" spans="7:33" ht="13.5" customHeight="1" x14ac:dyDescent="0.35">
      <c r="G123" s="209"/>
      <c r="H123" s="184" t="str">
        <f>IFERROR(INDEX(Rules!$F:$F,MATCH(G124,Rules!$E:$E,0)),"")</f>
        <v/>
      </c>
      <c r="I123" s="184" t="str">
        <f>IFERROR(INDEX(Rules!$G:$G,MATCH(G124,Rules!$E:$E,0)),"")</f>
        <v/>
      </c>
      <c r="J123" s="184" t="str">
        <f>IFERROR(INDEX(Rules!$H:$H,MATCH(G124,Rules!$E:$E,0)),"")</f>
        <v/>
      </c>
      <c r="K123" s="71"/>
      <c r="L123" s="184"/>
      <c r="O123" s="184"/>
      <c r="P123" s="71"/>
      <c r="Q123" s="184"/>
      <c r="R123" s="184"/>
      <c r="Y123" s="184"/>
      <c r="Z123" s="184"/>
      <c r="AA123" s="184"/>
      <c r="AB123" s="184"/>
      <c r="AC123" s="184"/>
      <c r="AD123" s="184"/>
    </row>
    <row r="124" spans="7:33" ht="13.5" customHeight="1" x14ac:dyDescent="0.35">
      <c r="G124" s="209"/>
      <c r="H124" s="184" t="str">
        <f>IFERROR(INDEX(Rules!$F:$F,MATCH(G125,Rules!$E:$E,0)),"")</f>
        <v/>
      </c>
      <c r="I124" s="184" t="str">
        <f>IFERROR(INDEX(Rules!$G:$G,MATCH(G125,Rules!$E:$E,0)),"")</f>
        <v/>
      </c>
      <c r="J124" s="184" t="str">
        <f>IFERROR(INDEX(Rules!$H:$H,MATCH(G125,Rules!$E:$E,0)),"")</f>
        <v/>
      </c>
      <c r="K124" s="71"/>
      <c r="L124" s="184"/>
      <c r="O124" s="184"/>
      <c r="P124" s="71"/>
      <c r="Q124" s="184"/>
      <c r="R124" s="184"/>
      <c r="Y124" s="184"/>
      <c r="Z124" s="184"/>
      <c r="AA124" s="184"/>
      <c r="AB124" s="184"/>
      <c r="AC124" s="184"/>
      <c r="AD124" s="184"/>
    </row>
    <row r="125" spans="7:33" ht="13.5" customHeight="1" x14ac:dyDescent="0.35">
      <c r="G125" s="209"/>
      <c r="H125" s="184" t="str">
        <f>IFERROR(INDEX(Rules!$F:$F,MATCH(G126,Rules!$E:$E,0)),"")</f>
        <v/>
      </c>
      <c r="I125" s="184" t="str">
        <f>IFERROR(INDEX(Rules!$G:$G,MATCH(G126,Rules!$E:$E,0)),"")</f>
        <v/>
      </c>
      <c r="J125" s="184" t="str">
        <f>IFERROR(INDEX(Rules!$H:$H,MATCH(G126,Rules!$E:$E,0)),"")</f>
        <v/>
      </c>
      <c r="K125" s="71"/>
      <c r="L125" s="184"/>
      <c r="O125" s="184"/>
      <c r="P125" s="71"/>
      <c r="Q125" s="184"/>
      <c r="R125" s="184"/>
      <c r="Y125" s="184"/>
      <c r="Z125" s="184"/>
      <c r="AA125" s="184"/>
      <c r="AB125" s="184"/>
      <c r="AC125" s="184"/>
      <c r="AD125" s="184"/>
    </row>
    <row r="126" spans="7:33" ht="13.5" customHeight="1" x14ac:dyDescent="0.35">
      <c r="G126" s="209"/>
      <c r="H126" s="184" t="str">
        <f>IFERROR(INDEX(Rules!$F:$F,MATCH(G127,Rules!$E:$E,0)),"")</f>
        <v/>
      </c>
      <c r="I126" s="184" t="str">
        <f>IFERROR(INDEX(Rules!$G:$G,MATCH(G127,Rules!$E:$E,0)),"")</f>
        <v/>
      </c>
      <c r="J126" s="184" t="str">
        <f>IFERROR(INDEX(Rules!$H:$H,MATCH(G127,Rules!$E:$E,0)),"")</f>
        <v/>
      </c>
      <c r="K126" s="71"/>
      <c r="L126" s="184"/>
      <c r="O126" s="184"/>
      <c r="P126" s="71"/>
      <c r="Q126" s="184"/>
      <c r="R126" s="184"/>
      <c r="Y126" s="184"/>
      <c r="Z126" s="184"/>
      <c r="AA126" s="184"/>
      <c r="AB126" s="184"/>
      <c r="AC126" s="184"/>
      <c r="AD126" s="184"/>
    </row>
    <row r="127" spans="7:33" ht="13.5" customHeight="1" x14ac:dyDescent="0.35">
      <c r="G127" s="209"/>
      <c r="H127" s="184" t="str">
        <f>IFERROR(INDEX(Rules!$F:$F,MATCH(G128,Rules!$E:$E,0)),"")</f>
        <v/>
      </c>
      <c r="I127" s="184" t="str">
        <f>IFERROR(INDEX(Rules!$G:$G,MATCH(G128,Rules!$E:$E,0)),"")</f>
        <v/>
      </c>
      <c r="J127" s="184" t="str">
        <f>IFERROR(INDEX(Rules!$H:$H,MATCH(G128,Rules!$E:$E,0)),"")</f>
        <v/>
      </c>
      <c r="K127" s="71"/>
      <c r="L127" s="184"/>
      <c r="O127" s="184"/>
      <c r="P127" s="71"/>
      <c r="Q127" s="184"/>
      <c r="R127" s="184"/>
      <c r="Y127" s="184"/>
      <c r="Z127" s="184"/>
      <c r="AA127" s="184"/>
      <c r="AB127" s="184"/>
      <c r="AC127" s="184"/>
      <c r="AD127" s="184"/>
    </row>
    <row r="128" spans="7:33" ht="13.5" customHeight="1" x14ac:dyDescent="0.35">
      <c r="G128" s="209"/>
      <c r="H128" s="184" t="str">
        <f>IFERROR(INDEX(Rules!$F:$F,MATCH(G129,Rules!$E:$E,0)),"")</f>
        <v/>
      </c>
      <c r="I128" s="184" t="str">
        <f>IFERROR(INDEX(Rules!$G:$G,MATCH(G129,Rules!$E:$E,0)),"")</f>
        <v/>
      </c>
      <c r="J128" s="184" t="str">
        <f>IFERROR(INDEX(Rules!$H:$H,MATCH(G129,Rules!$E:$E,0)),"")</f>
        <v/>
      </c>
      <c r="K128" s="71"/>
      <c r="L128" s="184"/>
      <c r="O128" s="184"/>
      <c r="P128" s="71"/>
      <c r="Q128" s="184"/>
      <c r="R128" s="184"/>
      <c r="Y128" s="184"/>
      <c r="Z128" s="184"/>
      <c r="AA128" s="184"/>
      <c r="AB128" s="184"/>
      <c r="AC128" s="184"/>
      <c r="AD128" s="184"/>
    </row>
    <row r="129" spans="7:30" ht="13.5" customHeight="1" x14ac:dyDescent="0.35">
      <c r="G129" s="209"/>
      <c r="H129" s="184" t="str">
        <f>IFERROR(INDEX(Rules!$F:$F,MATCH(G130,Rules!$E:$E,0)),"")</f>
        <v/>
      </c>
      <c r="I129" s="184" t="str">
        <f>IFERROR(INDEX(Rules!$G:$G,MATCH(G130,Rules!$E:$E,0)),"")</f>
        <v/>
      </c>
      <c r="J129" s="184" t="str">
        <f>IFERROR(INDEX(Rules!$H:$H,MATCH(G130,Rules!$E:$E,0)),"")</f>
        <v/>
      </c>
      <c r="K129" s="71"/>
      <c r="L129" s="184"/>
      <c r="O129" s="184"/>
      <c r="P129" s="71"/>
      <c r="Q129" s="184"/>
      <c r="R129" s="184"/>
      <c r="Y129" s="184"/>
      <c r="Z129" s="184"/>
      <c r="AA129" s="184"/>
      <c r="AB129" s="184"/>
      <c r="AC129" s="184"/>
      <c r="AD129" s="184"/>
    </row>
    <row r="130" spans="7:30" ht="13.5" customHeight="1" x14ac:dyDescent="0.35">
      <c r="G130" s="209"/>
      <c r="H130" s="184" t="str">
        <f>IFERROR(INDEX(Rules!$F:$F,MATCH(G131,Rules!$E:$E,0)),"")</f>
        <v/>
      </c>
      <c r="I130" s="184" t="str">
        <f>IFERROR(INDEX(Rules!$G:$G,MATCH(G131,Rules!$E:$E,0)),"")</f>
        <v/>
      </c>
      <c r="J130" s="184" t="str">
        <f>IFERROR(INDEX(Rules!$H:$H,MATCH(G131,Rules!$E:$E,0)),"")</f>
        <v/>
      </c>
      <c r="K130" s="71"/>
      <c r="L130" s="184"/>
      <c r="O130" s="184"/>
      <c r="P130" s="71"/>
      <c r="Q130" s="184"/>
      <c r="R130" s="184"/>
      <c r="Y130" s="184"/>
      <c r="Z130" s="184"/>
      <c r="AA130" s="184"/>
      <c r="AB130" s="184"/>
      <c r="AC130" s="184"/>
      <c r="AD130" s="184"/>
    </row>
    <row r="131" spans="7:30" ht="13.5" customHeight="1" x14ac:dyDescent="0.35">
      <c r="G131" s="209"/>
      <c r="H131" s="184" t="str">
        <f>IFERROR(INDEX(Rules!$F:$F,MATCH(G132,Rules!$E:$E,0)),"")</f>
        <v/>
      </c>
      <c r="I131" s="184" t="str">
        <f>IFERROR(INDEX(Rules!$G:$G,MATCH(G132,Rules!$E:$E,0)),"")</f>
        <v/>
      </c>
      <c r="J131" s="184" t="str">
        <f>IFERROR(INDEX(Rules!$H:$H,MATCH(G132,Rules!$E:$E,0)),"")</f>
        <v/>
      </c>
      <c r="K131" s="71"/>
      <c r="L131" s="184"/>
      <c r="O131" s="184"/>
      <c r="P131" s="71"/>
      <c r="Q131" s="184"/>
      <c r="R131" s="184"/>
      <c r="Y131" s="184"/>
      <c r="Z131" s="184"/>
      <c r="AA131" s="184"/>
      <c r="AB131" s="184"/>
      <c r="AC131" s="184"/>
      <c r="AD131" s="184"/>
    </row>
    <row r="132" spans="7:30" ht="13.5" customHeight="1" x14ac:dyDescent="0.35">
      <c r="G132" s="209"/>
      <c r="H132" s="184" t="str">
        <f>IFERROR(INDEX(Rules!$F:$F,MATCH(G133,Rules!$E:$E,0)),"")</f>
        <v/>
      </c>
      <c r="I132" s="184" t="str">
        <f>IFERROR(INDEX(Rules!$G:$G,MATCH(G133,Rules!$E:$E,0)),"")</f>
        <v/>
      </c>
      <c r="J132" s="184" t="str">
        <f>IFERROR(INDEX(Rules!$H:$H,MATCH(G133,Rules!$E:$E,0)),"")</f>
        <v/>
      </c>
      <c r="K132" s="71"/>
      <c r="L132" s="184"/>
      <c r="O132" s="184"/>
      <c r="P132" s="71"/>
      <c r="Q132" s="184"/>
      <c r="R132" s="184"/>
      <c r="Y132" s="184"/>
      <c r="Z132" s="184"/>
      <c r="AA132" s="184"/>
      <c r="AB132" s="184"/>
      <c r="AC132" s="184"/>
      <c r="AD132" s="184"/>
    </row>
    <row r="133" spans="7:30" ht="13.5" customHeight="1" x14ac:dyDescent="0.35">
      <c r="G133" s="209"/>
      <c r="H133" s="184" t="str">
        <f>IFERROR(INDEX(Rules!$F:$F,MATCH(G134,Rules!$E:$E,0)),"")</f>
        <v/>
      </c>
      <c r="I133" s="184" t="str">
        <f>IFERROR(INDEX(Rules!$G:$G,MATCH(G134,Rules!$E:$E,0)),"")</f>
        <v/>
      </c>
      <c r="J133" s="184" t="str">
        <f>IFERROR(INDEX(Rules!$H:$H,MATCH(G134,Rules!$E:$E,0)),"")</f>
        <v/>
      </c>
      <c r="K133" s="71"/>
      <c r="L133" s="184"/>
      <c r="O133" s="184"/>
      <c r="P133" s="71"/>
      <c r="Q133" s="184"/>
      <c r="R133" s="184"/>
      <c r="Y133" s="184"/>
      <c r="Z133" s="184"/>
      <c r="AA133" s="184"/>
      <c r="AB133" s="184"/>
      <c r="AC133" s="184"/>
      <c r="AD133" s="184"/>
    </row>
    <row r="134" spans="7:30" ht="13.5" customHeight="1" x14ac:dyDescent="0.35">
      <c r="G134" s="209"/>
      <c r="H134" s="184" t="str">
        <f>IFERROR(INDEX(Rules!$F:$F,MATCH(G135,Rules!$E:$E,0)),"")</f>
        <v/>
      </c>
      <c r="I134" s="184" t="str">
        <f>IFERROR(INDEX(Rules!$G:$G,MATCH(G135,Rules!$E:$E,0)),"")</f>
        <v/>
      </c>
      <c r="J134" s="184" t="str">
        <f>IFERROR(INDEX(Rules!$H:$H,MATCH(G135,Rules!$E:$E,0)),"")</f>
        <v/>
      </c>
      <c r="K134" s="71"/>
      <c r="L134" s="184"/>
      <c r="O134" s="184"/>
      <c r="P134" s="71"/>
      <c r="Q134" s="184"/>
      <c r="R134" s="184"/>
      <c r="Y134" s="184"/>
      <c r="Z134" s="184"/>
      <c r="AA134" s="184"/>
      <c r="AB134" s="184"/>
      <c r="AC134" s="184"/>
      <c r="AD134" s="184"/>
    </row>
    <row r="135" spans="7:30" ht="13.5" customHeight="1" x14ac:dyDescent="0.35">
      <c r="G135" s="209"/>
      <c r="H135" s="184" t="str">
        <f>IFERROR(INDEX(Rules!$F:$F,MATCH(G136,Rules!$E:$E,0)),"")</f>
        <v/>
      </c>
      <c r="I135" s="184" t="str">
        <f>IFERROR(INDEX(Rules!$G:$G,MATCH(G136,Rules!$E:$E,0)),"")</f>
        <v/>
      </c>
      <c r="J135" s="184" t="str">
        <f>IFERROR(INDEX(Rules!$H:$H,MATCH(G136,Rules!$E:$E,0)),"")</f>
        <v/>
      </c>
      <c r="K135" s="71"/>
      <c r="L135" s="184"/>
      <c r="O135" s="184"/>
      <c r="P135" s="71"/>
      <c r="Q135" s="184"/>
      <c r="R135" s="184"/>
      <c r="Y135" s="184"/>
      <c r="Z135" s="184"/>
      <c r="AA135" s="184"/>
      <c r="AB135" s="184"/>
      <c r="AC135" s="184"/>
      <c r="AD135" s="184"/>
    </row>
    <row r="136" spans="7:30" ht="13.5" customHeight="1" x14ac:dyDescent="0.35">
      <c r="G136" s="209"/>
      <c r="H136" s="184" t="str">
        <f>IFERROR(INDEX(Rules!$F:$F,MATCH(G137,Rules!$E:$E,0)),"")</f>
        <v/>
      </c>
      <c r="I136" s="184" t="str">
        <f>IFERROR(INDEX(Rules!$G:$G,MATCH(G137,Rules!$E:$E,0)),"")</f>
        <v/>
      </c>
      <c r="J136" s="184" t="str">
        <f>IFERROR(INDEX(Rules!$H:$H,MATCH(G137,Rules!$E:$E,0)),"")</f>
        <v/>
      </c>
      <c r="K136" s="71"/>
      <c r="L136" s="184"/>
      <c r="O136" s="184"/>
      <c r="P136" s="71"/>
      <c r="Q136" s="184"/>
      <c r="R136" s="184"/>
      <c r="Y136" s="184"/>
      <c r="Z136" s="184"/>
      <c r="AA136" s="184"/>
      <c r="AB136" s="184"/>
      <c r="AC136" s="184"/>
      <c r="AD136" s="184"/>
    </row>
    <row r="137" spans="7:30" ht="13.5" customHeight="1" x14ac:dyDescent="0.35">
      <c r="G137" s="209"/>
      <c r="H137" s="184" t="str">
        <f>IFERROR(INDEX(Rules!$F:$F,MATCH(G138,Rules!$E:$E,0)),"")</f>
        <v/>
      </c>
      <c r="I137" s="184" t="str">
        <f>IFERROR(INDEX(Rules!$G:$G,MATCH(G138,Rules!$E:$E,0)),"")</f>
        <v/>
      </c>
      <c r="J137" s="184" t="str">
        <f>IFERROR(INDEX(Rules!$H:$H,MATCH(G138,Rules!$E:$E,0)),"")</f>
        <v/>
      </c>
      <c r="K137" s="71"/>
      <c r="L137" s="184"/>
      <c r="O137" s="184"/>
      <c r="P137" s="71"/>
      <c r="Q137" s="184"/>
      <c r="R137" s="184"/>
      <c r="Y137" s="184"/>
      <c r="Z137" s="184"/>
      <c r="AA137" s="184"/>
      <c r="AB137" s="184"/>
      <c r="AC137" s="184"/>
      <c r="AD137" s="184"/>
    </row>
    <row r="138" spans="7:30" ht="13.5" customHeight="1" x14ac:dyDescent="0.35">
      <c r="G138" s="209"/>
      <c r="H138" s="184" t="str">
        <f>IFERROR(INDEX(Rules!$F:$F,MATCH(G139,Rules!$E:$E,0)),"")</f>
        <v/>
      </c>
      <c r="I138" s="184" t="str">
        <f>IFERROR(INDEX(Rules!$G:$G,MATCH(G139,Rules!$E:$E,0)),"")</f>
        <v/>
      </c>
      <c r="J138" s="184" t="str">
        <f>IFERROR(INDEX(Rules!$H:$H,MATCH(G139,Rules!$E:$E,0)),"")</f>
        <v/>
      </c>
      <c r="K138" s="71"/>
      <c r="L138" s="184"/>
      <c r="O138" s="184"/>
      <c r="P138" s="71"/>
      <c r="Q138" s="184"/>
      <c r="R138" s="184"/>
      <c r="Y138" s="184"/>
      <c r="Z138" s="184"/>
      <c r="AA138" s="184"/>
      <c r="AB138" s="184"/>
      <c r="AC138" s="184"/>
      <c r="AD138" s="184"/>
    </row>
    <row r="139" spans="7:30" ht="13.5" customHeight="1" x14ac:dyDescent="0.35">
      <c r="G139" s="209"/>
      <c r="H139" s="184" t="str">
        <f>IFERROR(INDEX(Rules!$F:$F,MATCH(G140,Rules!$E:$E,0)),"")</f>
        <v/>
      </c>
      <c r="I139" s="184" t="str">
        <f>IFERROR(INDEX(Rules!$G:$G,MATCH(G140,Rules!$E:$E,0)),"")</f>
        <v/>
      </c>
      <c r="J139" s="184" t="str">
        <f>IFERROR(INDEX(Rules!$H:$H,MATCH(G140,Rules!$E:$E,0)),"")</f>
        <v/>
      </c>
      <c r="K139" s="71"/>
      <c r="L139" s="184"/>
      <c r="O139" s="184"/>
      <c r="P139" s="71"/>
      <c r="Q139" s="184"/>
      <c r="R139" s="184"/>
      <c r="Y139" s="184"/>
      <c r="Z139" s="184"/>
      <c r="AA139" s="184"/>
      <c r="AB139" s="184"/>
      <c r="AC139" s="184"/>
      <c r="AD139" s="184"/>
    </row>
    <row r="140" spans="7:30" ht="13.5" customHeight="1" x14ac:dyDescent="0.35">
      <c r="G140" s="209"/>
      <c r="H140" s="184" t="str">
        <f>IFERROR(INDEX(Rules!$F:$F,MATCH(G141,Rules!$E:$E,0)),"")</f>
        <v/>
      </c>
      <c r="I140" s="184" t="str">
        <f>IFERROR(INDEX(Rules!$G:$G,MATCH(G141,Rules!$E:$E,0)),"")</f>
        <v/>
      </c>
      <c r="J140" s="184" t="str">
        <f>IFERROR(INDEX(Rules!$H:$H,MATCH(G141,Rules!$E:$E,0)),"")</f>
        <v/>
      </c>
      <c r="K140" s="71"/>
      <c r="L140" s="184"/>
      <c r="O140" s="184"/>
      <c r="P140" s="71"/>
      <c r="Q140" s="184"/>
      <c r="R140" s="184"/>
      <c r="Y140" s="184"/>
      <c r="Z140" s="184"/>
      <c r="AA140" s="184"/>
      <c r="AB140" s="184"/>
      <c r="AC140" s="184"/>
      <c r="AD140" s="184"/>
    </row>
    <row r="141" spans="7:30" ht="13.5" customHeight="1" x14ac:dyDescent="0.35">
      <c r="G141" s="209"/>
      <c r="H141" s="184" t="str">
        <f>IFERROR(INDEX(Rules!$F:$F,MATCH(G142,Rules!$E:$E,0)),"")</f>
        <v/>
      </c>
      <c r="I141" s="184" t="str">
        <f>IFERROR(INDEX(Rules!$G:$G,MATCH(G142,Rules!$E:$E,0)),"")</f>
        <v/>
      </c>
      <c r="J141" s="184" t="str">
        <f>IFERROR(INDEX(Rules!$H:$H,MATCH(G142,Rules!$E:$E,0)),"")</f>
        <v/>
      </c>
      <c r="K141" s="71"/>
      <c r="L141" s="184"/>
      <c r="O141" s="184"/>
      <c r="P141" s="71"/>
      <c r="Q141" s="184"/>
      <c r="R141" s="184"/>
      <c r="Y141" s="184"/>
      <c r="Z141" s="184"/>
      <c r="AA141" s="184"/>
      <c r="AB141" s="184"/>
      <c r="AC141" s="184"/>
      <c r="AD141" s="184"/>
    </row>
    <row r="142" spans="7:30" ht="13.5" customHeight="1" x14ac:dyDescent="0.35">
      <c r="G142" s="209"/>
      <c r="H142" s="184" t="str">
        <f>IFERROR(INDEX(Rules!$F:$F,MATCH(G143,Rules!$E:$E,0)),"")</f>
        <v/>
      </c>
      <c r="I142" s="184" t="str">
        <f>IFERROR(INDEX(Rules!$G:$G,MATCH(G143,Rules!$E:$E,0)),"")</f>
        <v/>
      </c>
      <c r="J142" s="184" t="str">
        <f>IFERROR(INDEX(Rules!$H:$H,MATCH(G143,Rules!$E:$E,0)),"")</f>
        <v/>
      </c>
      <c r="K142" s="71"/>
      <c r="L142" s="184"/>
      <c r="O142" s="184"/>
      <c r="P142" s="71"/>
      <c r="Q142" s="184"/>
      <c r="R142" s="184"/>
      <c r="Y142" s="184"/>
      <c r="Z142" s="184"/>
      <c r="AA142" s="184"/>
      <c r="AB142" s="184"/>
      <c r="AC142" s="184"/>
      <c r="AD142" s="184"/>
    </row>
    <row r="143" spans="7:30" ht="13.5" customHeight="1" x14ac:dyDescent="0.35">
      <c r="G143" s="209"/>
      <c r="H143" s="184" t="str">
        <f>IFERROR(INDEX(Rules!$F:$F,MATCH(G144,Rules!$E:$E,0)),"")</f>
        <v/>
      </c>
      <c r="I143" s="184" t="str">
        <f>IFERROR(INDEX(Rules!$G:$G,MATCH(G144,Rules!$E:$E,0)),"")</f>
        <v/>
      </c>
      <c r="J143" s="184" t="str">
        <f>IFERROR(INDEX(Rules!$H:$H,MATCH(G144,Rules!$E:$E,0)),"")</f>
        <v/>
      </c>
      <c r="K143" s="71"/>
      <c r="L143" s="184"/>
      <c r="O143" s="184"/>
      <c r="P143" s="71"/>
      <c r="Q143" s="184"/>
      <c r="R143" s="184"/>
      <c r="Y143" s="184"/>
      <c r="Z143" s="184"/>
      <c r="AA143" s="184"/>
      <c r="AB143" s="184"/>
      <c r="AC143" s="184"/>
      <c r="AD143" s="184"/>
    </row>
    <row r="144" spans="7:30" ht="13.5" customHeight="1" x14ac:dyDescent="0.35">
      <c r="G144" s="209"/>
      <c r="H144" s="184" t="str">
        <f>IFERROR(INDEX(Rules!$F:$F,MATCH(G145,Rules!$E:$E,0)),"")</f>
        <v/>
      </c>
      <c r="I144" s="184" t="str">
        <f>IFERROR(INDEX(Rules!$G:$G,MATCH(G145,Rules!$E:$E,0)),"")</f>
        <v/>
      </c>
      <c r="J144" s="184" t="str">
        <f>IFERROR(INDEX(Rules!$H:$H,MATCH(G145,Rules!$E:$E,0)),"")</f>
        <v/>
      </c>
      <c r="K144" s="71"/>
      <c r="L144" s="184"/>
      <c r="O144" s="184"/>
      <c r="P144" s="71"/>
      <c r="Q144" s="184"/>
      <c r="R144" s="184"/>
      <c r="Y144" s="184"/>
      <c r="Z144" s="184"/>
      <c r="AA144" s="184"/>
      <c r="AB144" s="184"/>
      <c r="AC144" s="184"/>
      <c r="AD144" s="184"/>
    </row>
    <row r="145" spans="7:30" ht="13.5" customHeight="1" x14ac:dyDescent="0.35">
      <c r="G145" s="209"/>
      <c r="H145" s="184" t="str">
        <f>IFERROR(INDEX(Rules!$F:$F,MATCH(G146,Rules!$E:$E,0)),"")</f>
        <v/>
      </c>
      <c r="I145" s="184" t="str">
        <f>IFERROR(INDEX(Rules!$G:$G,MATCH(G146,Rules!$E:$E,0)),"")</f>
        <v/>
      </c>
      <c r="J145" s="184" t="str">
        <f>IFERROR(INDEX(Rules!$H:$H,MATCH(G146,Rules!$E:$E,0)),"")</f>
        <v/>
      </c>
      <c r="K145" s="71"/>
      <c r="L145" s="184"/>
      <c r="O145" s="184"/>
      <c r="P145" s="71"/>
      <c r="Q145" s="184"/>
      <c r="R145" s="184"/>
      <c r="Y145" s="184"/>
      <c r="Z145" s="184"/>
      <c r="AA145" s="184"/>
      <c r="AB145" s="184"/>
      <c r="AC145" s="184"/>
      <c r="AD145" s="184"/>
    </row>
    <row r="146" spans="7:30" ht="13.5" customHeight="1" x14ac:dyDescent="0.35">
      <c r="G146" s="209"/>
      <c r="H146" s="184" t="str">
        <f>IFERROR(INDEX(Rules!$F:$F,MATCH(G147,Rules!$E:$E,0)),"")</f>
        <v/>
      </c>
      <c r="I146" s="184" t="str">
        <f>IFERROR(INDEX(Rules!$G:$G,MATCH(G147,Rules!$E:$E,0)),"")</f>
        <v/>
      </c>
      <c r="J146" s="184" t="str">
        <f>IFERROR(INDEX(Rules!$H:$H,MATCH(G147,Rules!$E:$E,0)),"")</f>
        <v/>
      </c>
      <c r="K146" s="71"/>
      <c r="L146" s="184"/>
      <c r="O146" s="184"/>
      <c r="P146" s="71"/>
      <c r="Q146" s="184"/>
      <c r="R146" s="184"/>
      <c r="Y146" s="184"/>
      <c r="Z146" s="184"/>
      <c r="AA146" s="184"/>
      <c r="AB146" s="184"/>
      <c r="AC146" s="184"/>
      <c r="AD146" s="184"/>
    </row>
    <row r="147" spans="7:30" ht="13.5" customHeight="1" x14ac:dyDescent="0.35">
      <c r="G147" s="209"/>
      <c r="H147" s="184" t="str">
        <f>IFERROR(INDEX(Rules!$F:$F,MATCH(G148,Rules!$E:$E,0)),"")</f>
        <v/>
      </c>
      <c r="I147" s="184" t="str">
        <f>IFERROR(INDEX(Rules!$G:$G,MATCH(G148,Rules!$E:$E,0)),"")</f>
        <v/>
      </c>
      <c r="J147" s="184" t="str">
        <f>IFERROR(INDEX(Rules!$H:$H,MATCH(G148,Rules!$E:$E,0)),"")</f>
        <v/>
      </c>
      <c r="K147" s="71"/>
      <c r="L147" s="184"/>
      <c r="O147" s="184"/>
      <c r="P147" s="71"/>
      <c r="Q147" s="184"/>
      <c r="R147" s="184"/>
      <c r="Y147" s="184"/>
      <c r="Z147" s="184"/>
      <c r="AA147" s="184"/>
      <c r="AB147" s="184"/>
      <c r="AC147" s="184"/>
      <c r="AD147" s="184"/>
    </row>
    <row r="148" spans="7:30" ht="13.5" customHeight="1" x14ac:dyDescent="0.35">
      <c r="G148" s="209"/>
      <c r="H148" s="184" t="str">
        <f>IFERROR(INDEX(Rules!$F:$F,MATCH(G149,Rules!$E:$E,0)),"")</f>
        <v/>
      </c>
      <c r="I148" s="184" t="str">
        <f>IFERROR(INDEX(Rules!$G:$G,MATCH(G149,Rules!$E:$E,0)),"")</f>
        <v/>
      </c>
      <c r="J148" s="184" t="str">
        <f>IFERROR(INDEX(Rules!$H:$H,MATCH(G149,Rules!$E:$E,0)),"")</f>
        <v/>
      </c>
      <c r="K148" s="71"/>
      <c r="L148" s="184"/>
      <c r="O148" s="184"/>
      <c r="P148" s="71"/>
      <c r="Q148" s="184"/>
      <c r="R148" s="184"/>
      <c r="Y148" s="184"/>
      <c r="Z148" s="184"/>
      <c r="AA148" s="184"/>
      <c r="AB148" s="184"/>
      <c r="AC148" s="184"/>
      <c r="AD148" s="184"/>
    </row>
    <row r="149" spans="7:30" ht="13.5" customHeight="1" x14ac:dyDescent="0.35">
      <c r="G149" s="209"/>
      <c r="H149" s="184" t="str">
        <f>IFERROR(INDEX(Rules!$F:$F,MATCH(G150,Rules!$E:$E,0)),"")</f>
        <v/>
      </c>
      <c r="I149" s="184" t="str">
        <f>IFERROR(INDEX(Rules!$G:$G,MATCH(G150,Rules!$E:$E,0)),"")</f>
        <v/>
      </c>
      <c r="J149" s="184" t="str">
        <f>IFERROR(INDEX(Rules!$H:$H,MATCH(G150,Rules!$E:$E,0)),"")</f>
        <v/>
      </c>
      <c r="K149" s="71"/>
      <c r="L149" s="184"/>
      <c r="O149" s="184"/>
      <c r="P149" s="71"/>
      <c r="Q149" s="184"/>
      <c r="R149" s="184"/>
      <c r="Y149" s="184"/>
      <c r="Z149" s="184"/>
      <c r="AA149" s="184"/>
      <c r="AB149" s="184"/>
      <c r="AC149" s="184"/>
      <c r="AD149" s="184"/>
    </row>
    <row r="150" spans="7:30" ht="13.5" customHeight="1" x14ac:dyDescent="0.35">
      <c r="G150" s="209"/>
      <c r="H150" s="184" t="str">
        <f>IFERROR(INDEX(Rules!$F:$F,MATCH(G151,Rules!$E:$E,0)),"")</f>
        <v/>
      </c>
      <c r="I150" s="184" t="str">
        <f>IFERROR(INDEX(Rules!$G:$G,MATCH(G151,Rules!$E:$E,0)),"")</f>
        <v/>
      </c>
      <c r="J150" s="184" t="str">
        <f>IFERROR(INDEX(Rules!$H:$H,MATCH(G151,Rules!$E:$E,0)),"")</f>
        <v/>
      </c>
      <c r="K150" s="71"/>
      <c r="L150" s="184"/>
      <c r="O150" s="184"/>
      <c r="P150" s="71"/>
      <c r="Q150" s="184"/>
      <c r="R150" s="184"/>
      <c r="Y150" s="184"/>
      <c r="Z150" s="184"/>
      <c r="AA150" s="184"/>
      <c r="AB150" s="184"/>
      <c r="AC150" s="184"/>
      <c r="AD150" s="184"/>
    </row>
    <row r="151" spans="7:30" ht="13.5" customHeight="1" x14ac:dyDescent="0.35">
      <c r="G151" s="209"/>
      <c r="H151" s="184" t="str">
        <f>IFERROR(INDEX(Rules!$F:$F,MATCH(G152,Rules!$E:$E,0)),"")</f>
        <v/>
      </c>
      <c r="I151" s="184" t="str">
        <f>IFERROR(INDEX(Rules!$G:$G,MATCH(G152,Rules!$E:$E,0)),"")</f>
        <v/>
      </c>
      <c r="J151" s="184" t="str">
        <f>IFERROR(INDEX(Rules!$H:$H,MATCH(G152,Rules!$E:$E,0)),"")</f>
        <v/>
      </c>
      <c r="K151" s="71"/>
      <c r="L151" s="184"/>
      <c r="O151" s="184"/>
      <c r="P151" s="71"/>
      <c r="Q151" s="184"/>
      <c r="R151" s="184"/>
      <c r="Y151" s="184"/>
      <c r="Z151" s="184"/>
      <c r="AA151" s="184"/>
      <c r="AB151" s="184"/>
      <c r="AC151" s="184"/>
      <c r="AD151" s="184"/>
    </row>
    <row r="152" spans="7:30" ht="13.5" customHeight="1" x14ac:dyDescent="0.35">
      <c r="G152" s="209"/>
      <c r="H152" s="184" t="str">
        <f>IFERROR(INDEX(Rules!$F:$F,MATCH(G153,Rules!$E:$E,0)),"")</f>
        <v/>
      </c>
      <c r="I152" s="184" t="str">
        <f>IFERROR(INDEX(Rules!$G:$G,MATCH(G153,Rules!$E:$E,0)),"")</f>
        <v/>
      </c>
      <c r="J152" s="184" t="str">
        <f>IFERROR(INDEX(Rules!$H:$H,MATCH(G153,Rules!$E:$E,0)),"")</f>
        <v/>
      </c>
      <c r="K152" s="71"/>
      <c r="L152" s="184"/>
      <c r="O152" s="184"/>
      <c r="P152" s="71"/>
      <c r="Q152" s="184"/>
      <c r="R152" s="184"/>
      <c r="Y152" s="184"/>
      <c r="Z152" s="184"/>
      <c r="AA152" s="184"/>
      <c r="AB152" s="184"/>
      <c r="AC152" s="184"/>
      <c r="AD152" s="184"/>
    </row>
    <row r="153" spans="7:30" ht="13.5" customHeight="1" x14ac:dyDescent="0.35">
      <c r="G153" s="209"/>
      <c r="H153" s="184" t="str">
        <f>IFERROR(INDEX(Rules!$F:$F,MATCH(G154,Rules!$E:$E,0)),"")</f>
        <v/>
      </c>
      <c r="I153" s="184" t="str">
        <f>IFERROR(INDEX(Rules!$G:$G,MATCH(G154,Rules!$E:$E,0)),"")</f>
        <v/>
      </c>
      <c r="J153" s="184" t="str">
        <f>IFERROR(INDEX(Rules!$H:$H,MATCH(G154,Rules!$E:$E,0)),"")</f>
        <v/>
      </c>
      <c r="K153" s="71"/>
      <c r="L153" s="184"/>
      <c r="O153" s="184"/>
      <c r="P153" s="71"/>
      <c r="Q153" s="184"/>
      <c r="R153" s="184"/>
      <c r="Y153" s="184"/>
      <c r="Z153" s="184"/>
      <c r="AA153" s="184"/>
      <c r="AB153" s="184"/>
      <c r="AC153" s="184"/>
      <c r="AD153" s="184"/>
    </row>
    <row r="154" spans="7:30" ht="13.5" customHeight="1" x14ac:dyDescent="0.35">
      <c r="G154" s="209"/>
      <c r="H154" s="184" t="str">
        <f>IFERROR(INDEX(Rules!$F:$F,MATCH(G155,Rules!$E:$E,0)),"")</f>
        <v/>
      </c>
      <c r="I154" s="184" t="str">
        <f>IFERROR(INDEX(Rules!$G:$G,MATCH(G155,Rules!$E:$E,0)),"")</f>
        <v/>
      </c>
      <c r="J154" s="184" t="str">
        <f>IFERROR(INDEX(Rules!$H:$H,MATCH(G155,Rules!$E:$E,0)),"")</f>
        <v/>
      </c>
      <c r="K154" s="71"/>
      <c r="L154" s="184"/>
      <c r="O154" s="184"/>
      <c r="P154" s="71"/>
      <c r="Q154" s="184"/>
      <c r="R154" s="184"/>
      <c r="Y154" s="184"/>
      <c r="Z154" s="184"/>
      <c r="AA154" s="184"/>
      <c r="AB154" s="184"/>
      <c r="AC154" s="184"/>
      <c r="AD154" s="184"/>
    </row>
    <row r="155" spans="7:30" ht="13.5" customHeight="1" x14ac:dyDescent="0.35">
      <c r="G155" s="209"/>
      <c r="H155" s="184" t="str">
        <f>IFERROR(INDEX(Rules!$F:$F,MATCH(G156,Rules!$E:$E,0)),"")</f>
        <v/>
      </c>
      <c r="I155" s="184" t="str">
        <f>IFERROR(INDEX(Rules!$G:$G,MATCH(G156,Rules!$E:$E,0)),"")</f>
        <v/>
      </c>
      <c r="J155" s="184" t="str">
        <f>IFERROR(INDEX(Rules!$H:$H,MATCH(G156,Rules!$E:$E,0)),"")</f>
        <v/>
      </c>
      <c r="K155" s="71"/>
      <c r="L155" s="184"/>
      <c r="O155" s="184"/>
      <c r="P155" s="71"/>
      <c r="Q155" s="184"/>
      <c r="R155" s="184"/>
      <c r="Y155" s="184"/>
      <c r="Z155" s="184"/>
      <c r="AA155" s="184"/>
      <c r="AB155" s="184"/>
      <c r="AC155" s="184"/>
      <c r="AD155" s="184"/>
    </row>
    <row r="156" spans="7:30" ht="13.5" customHeight="1" x14ac:dyDescent="0.35">
      <c r="G156" s="209"/>
      <c r="H156" s="184" t="str">
        <f>IFERROR(INDEX(Rules!$F:$F,MATCH(G157,Rules!$E:$E,0)),"")</f>
        <v/>
      </c>
      <c r="I156" s="184" t="str">
        <f>IFERROR(INDEX(Rules!$G:$G,MATCH(G157,Rules!$E:$E,0)),"")</f>
        <v/>
      </c>
      <c r="J156" s="184" t="str">
        <f>IFERROR(INDEX(Rules!$H:$H,MATCH(G157,Rules!$E:$E,0)),"")</f>
        <v/>
      </c>
      <c r="K156" s="71"/>
      <c r="L156" s="184"/>
      <c r="O156" s="184"/>
      <c r="P156" s="71"/>
      <c r="Q156" s="184"/>
      <c r="R156" s="184"/>
      <c r="Y156" s="184"/>
      <c r="Z156" s="184"/>
      <c r="AA156" s="184"/>
      <c r="AB156" s="184"/>
      <c r="AC156" s="184"/>
      <c r="AD156" s="184"/>
    </row>
    <row r="157" spans="7:30" ht="13.5" customHeight="1" x14ac:dyDescent="0.35">
      <c r="G157" s="209"/>
      <c r="H157" s="184" t="str">
        <f>IFERROR(INDEX(Rules!$F:$F,MATCH(G158,Rules!$E:$E,0)),"")</f>
        <v/>
      </c>
      <c r="I157" s="184" t="str">
        <f>IFERROR(INDEX(Rules!$G:$G,MATCH(G158,Rules!$E:$E,0)),"")</f>
        <v/>
      </c>
      <c r="J157" s="184" t="str">
        <f>IFERROR(INDEX(Rules!$H:$H,MATCH(G158,Rules!$E:$E,0)),"")</f>
        <v/>
      </c>
      <c r="K157" s="71"/>
      <c r="L157" s="184"/>
      <c r="O157" s="184"/>
      <c r="P157" s="71"/>
      <c r="Q157" s="184"/>
      <c r="R157" s="184"/>
      <c r="Y157" s="184"/>
      <c r="Z157" s="184"/>
      <c r="AA157" s="184"/>
      <c r="AB157" s="184"/>
      <c r="AC157" s="184"/>
      <c r="AD157" s="184"/>
    </row>
    <row r="158" spans="7:30" ht="13.5" customHeight="1" x14ac:dyDescent="0.35">
      <c r="G158" s="209"/>
      <c r="H158" s="184" t="str">
        <f>IFERROR(INDEX(Rules!$F:$F,MATCH(G159,Rules!$E:$E,0)),"")</f>
        <v/>
      </c>
      <c r="I158" s="184" t="str">
        <f>IFERROR(INDEX(Rules!$G:$G,MATCH(G159,Rules!$E:$E,0)),"")</f>
        <v/>
      </c>
      <c r="J158" s="184" t="str">
        <f>IFERROR(INDEX(Rules!$H:$H,MATCH(G159,Rules!$E:$E,0)),"")</f>
        <v/>
      </c>
      <c r="K158" s="71"/>
      <c r="L158" s="184"/>
      <c r="O158" s="184"/>
      <c r="P158" s="71"/>
      <c r="Q158" s="184"/>
      <c r="R158" s="184"/>
      <c r="Y158" s="184"/>
      <c r="Z158" s="184"/>
      <c r="AA158" s="184"/>
      <c r="AB158" s="184"/>
      <c r="AC158" s="184"/>
      <c r="AD158" s="184"/>
    </row>
    <row r="159" spans="7:30" ht="13.5" customHeight="1" x14ac:dyDescent="0.35">
      <c r="G159" s="209"/>
      <c r="H159" s="184" t="str">
        <f>IFERROR(INDEX(Rules!$F:$F,MATCH(G160,Rules!$E:$E,0)),"")</f>
        <v/>
      </c>
      <c r="I159" s="184" t="str">
        <f>IFERROR(INDEX(Rules!$G:$G,MATCH(G160,Rules!$E:$E,0)),"")</f>
        <v/>
      </c>
      <c r="J159" s="184" t="str">
        <f>IFERROR(INDEX(Rules!$H:$H,MATCH(G160,Rules!$E:$E,0)),"")</f>
        <v/>
      </c>
      <c r="K159" s="71"/>
      <c r="L159" s="184"/>
      <c r="O159" s="184"/>
      <c r="P159" s="71"/>
      <c r="Q159" s="184"/>
      <c r="R159" s="184"/>
      <c r="Y159" s="184"/>
      <c r="Z159" s="184"/>
      <c r="AA159" s="184"/>
      <c r="AB159" s="184"/>
      <c r="AC159" s="184"/>
      <c r="AD159" s="184"/>
    </row>
    <row r="160" spans="7:30" ht="13.5" customHeight="1" x14ac:dyDescent="0.35">
      <c r="G160" s="209"/>
      <c r="H160" s="184" t="str">
        <f>IFERROR(INDEX(Rules!$F:$F,MATCH(G161,Rules!$E:$E,0)),"")</f>
        <v/>
      </c>
      <c r="I160" s="184" t="str">
        <f>IFERROR(INDEX(Rules!$G:$G,MATCH(G161,Rules!$E:$E,0)),"")</f>
        <v/>
      </c>
      <c r="J160" s="184" t="str">
        <f>IFERROR(INDEX(Rules!$H:$H,MATCH(G161,Rules!$E:$E,0)),"")</f>
        <v/>
      </c>
      <c r="K160" s="71"/>
      <c r="L160" s="184"/>
      <c r="O160" s="184"/>
      <c r="P160" s="71"/>
      <c r="Q160" s="184"/>
      <c r="R160" s="184"/>
      <c r="Y160" s="184"/>
      <c r="Z160" s="184"/>
      <c r="AA160" s="184"/>
      <c r="AB160" s="184"/>
      <c r="AC160" s="184"/>
      <c r="AD160" s="184"/>
    </row>
    <row r="161" spans="7:30" ht="13.5" customHeight="1" x14ac:dyDescent="0.35">
      <c r="G161" s="209"/>
      <c r="H161" s="184" t="str">
        <f>IFERROR(INDEX(Rules!$F:$F,MATCH(G162,Rules!$E:$E,0)),"")</f>
        <v/>
      </c>
      <c r="I161" s="184" t="str">
        <f>IFERROR(INDEX(Rules!$G:$G,MATCH(G162,Rules!$E:$E,0)),"")</f>
        <v/>
      </c>
      <c r="J161" s="184" t="str">
        <f>IFERROR(INDEX(Rules!$H:$H,MATCH(G162,Rules!$E:$E,0)),"")</f>
        <v/>
      </c>
      <c r="K161" s="71"/>
      <c r="L161" s="184"/>
      <c r="O161" s="184"/>
      <c r="P161" s="71"/>
      <c r="Q161" s="184"/>
      <c r="R161" s="184"/>
      <c r="Y161" s="184"/>
      <c r="Z161" s="184"/>
      <c r="AA161" s="184"/>
      <c r="AB161" s="184"/>
      <c r="AC161" s="184"/>
      <c r="AD161" s="184"/>
    </row>
    <row r="162" spans="7:30" ht="13.5" customHeight="1" x14ac:dyDescent="0.35">
      <c r="G162" s="209"/>
      <c r="H162" s="184" t="str">
        <f>IFERROR(INDEX(Rules!$F:$F,MATCH(G163,Rules!$E:$E,0)),"")</f>
        <v/>
      </c>
      <c r="I162" s="184" t="str">
        <f>IFERROR(INDEX(Rules!$G:$G,MATCH(G163,Rules!$E:$E,0)),"")</f>
        <v/>
      </c>
      <c r="J162" s="184" t="str">
        <f>IFERROR(INDEX(Rules!$H:$H,MATCH(G163,Rules!$E:$E,0)),"")</f>
        <v/>
      </c>
      <c r="K162" s="71"/>
      <c r="L162" s="184"/>
      <c r="O162" s="184"/>
      <c r="P162" s="71"/>
      <c r="Q162" s="184"/>
      <c r="R162" s="184"/>
      <c r="Y162" s="184"/>
      <c r="Z162" s="184"/>
      <c r="AA162" s="184"/>
      <c r="AB162" s="184"/>
      <c r="AC162" s="184"/>
      <c r="AD162" s="184"/>
    </row>
    <row r="163" spans="7:30" ht="13.5" customHeight="1" x14ac:dyDescent="0.35">
      <c r="G163" s="209"/>
      <c r="H163" s="184" t="str">
        <f>IFERROR(INDEX(Rules!$F:$F,MATCH(G164,Rules!$E:$E,0)),"")</f>
        <v/>
      </c>
      <c r="I163" s="184" t="str">
        <f>IFERROR(INDEX(Rules!$G:$G,MATCH(G164,Rules!$E:$E,0)),"")</f>
        <v/>
      </c>
      <c r="J163" s="184" t="str">
        <f>IFERROR(INDEX(Rules!$H:$H,MATCH(G164,Rules!$E:$E,0)),"")</f>
        <v/>
      </c>
      <c r="K163" s="71"/>
      <c r="L163" s="184"/>
      <c r="O163" s="184"/>
      <c r="P163" s="71"/>
      <c r="Q163" s="184"/>
      <c r="R163" s="184"/>
      <c r="Y163" s="184"/>
      <c r="Z163" s="184"/>
      <c r="AA163" s="184"/>
      <c r="AB163" s="184"/>
      <c r="AC163" s="184"/>
      <c r="AD163" s="184"/>
    </row>
    <row r="164" spans="7:30" ht="13.5" customHeight="1" x14ac:dyDescent="0.35">
      <c r="G164" s="209"/>
      <c r="H164" s="184" t="str">
        <f>IFERROR(INDEX(Rules!$F:$F,MATCH(G165,Rules!$E:$E,0)),"")</f>
        <v/>
      </c>
      <c r="I164" s="184" t="str">
        <f>IFERROR(INDEX(Rules!$G:$G,MATCH(G165,Rules!$E:$E,0)),"")</f>
        <v/>
      </c>
      <c r="J164" s="184" t="str">
        <f>IFERROR(INDEX(Rules!$H:$H,MATCH(G165,Rules!$E:$E,0)),"")</f>
        <v/>
      </c>
      <c r="K164" s="71"/>
      <c r="L164" s="184"/>
      <c r="O164" s="184"/>
      <c r="P164" s="71"/>
      <c r="Q164" s="184"/>
      <c r="R164" s="184"/>
      <c r="Y164" s="184"/>
      <c r="Z164" s="184"/>
      <c r="AA164" s="184"/>
      <c r="AB164" s="184"/>
      <c r="AC164" s="184"/>
      <c r="AD164" s="184"/>
    </row>
    <row r="165" spans="7:30" ht="13.5" customHeight="1" x14ac:dyDescent="0.35">
      <c r="G165" s="209"/>
      <c r="H165" s="184" t="str">
        <f>IFERROR(INDEX(Rules!$F:$F,MATCH(G166,Rules!$E:$E,0)),"")</f>
        <v/>
      </c>
      <c r="I165" s="184" t="str">
        <f>IFERROR(INDEX(Rules!$G:$G,MATCH(G166,Rules!$E:$E,0)),"")</f>
        <v/>
      </c>
      <c r="J165" s="184" t="str">
        <f>IFERROR(INDEX(Rules!$H:$H,MATCH(G166,Rules!$E:$E,0)),"")</f>
        <v/>
      </c>
      <c r="K165" s="71"/>
      <c r="L165" s="184"/>
      <c r="O165" s="184"/>
      <c r="P165" s="71"/>
      <c r="Q165" s="184"/>
      <c r="R165" s="184"/>
      <c r="Y165" s="184"/>
      <c r="Z165" s="184"/>
      <c r="AA165" s="184"/>
      <c r="AB165" s="184"/>
      <c r="AC165" s="184"/>
      <c r="AD165" s="184"/>
    </row>
    <row r="166" spans="7:30" ht="13.5" customHeight="1" x14ac:dyDescent="0.35">
      <c r="G166" s="209"/>
      <c r="H166" s="184" t="str">
        <f>IFERROR(INDEX(Rules!$F:$F,MATCH(G167,Rules!$E:$E,0)),"")</f>
        <v/>
      </c>
      <c r="I166" s="184" t="str">
        <f>IFERROR(INDEX(Rules!$G:$G,MATCH(G167,Rules!$E:$E,0)),"")</f>
        <v/>
      </c>
      <c r="J166" s="184" t="str">
        <f>IFERROR(INDEX(Rules!$H:$H,MATCH(G167,Rules!$E:$E,0)),"")</f>
        <v/>
      </c>
      <c r="K166" s="71"/>
      <c r="L166" s="184"/>
      <c r="O166" s="184"/>
      <c r="P166" s="71"/>
      <c r="Q166" s="184"/>
      <c r="R166" s="184"/>
      <c r="Y166" s="184"/>
      <c r="Z166" s="184"/>
      <c r="AA166" s="184"/>
      <c r="AB166" s="184"/>
      <c r="AC166" s="184"/>
      <c r="AD166" s="184"/>
    </row>
    <row r="167" spans="7:30" ht="13.5" customHeight="1" x14ac:dyDescent="0.35">
      <c r="G167" s="209"/>
      <c r="H167" s="184" t="str">
        <f>IFERROR(INDEX(Rules!$F:$F,MATCH(G168,Rules!$E:$E,0)),"")</f>
        <v/>
      </c>
      <c r="I167" s="184" t="str">
        <f>IFERROR(INDEX(Rules!$G:$G,MATCH(G168,Rules!$E:$E,0)),"")</f>
        <v/>
      </c>
      <c r="J167" s="184" t="str">
        <f>IFERROR(INDEX(Rules!$H:$H,MATCH(G168,Rules!$E:$E,0)),"")</f>
        <v/>
      </c>
      <c r="K167" s="71"/>
      <c r="L167" s="184"/>
      <c r="O167" s="184"/>
      <c r="P167" s="71"/>
      <c r="Q167" s="184"/>
      <c r="R167" s="184"/>
      <c r="Y167" s="184"/>
      <c r="Z167" s="184"/>
      <c r="AA167" s="184"/>
      <c r="AB167" s="184"/>
      <c r="AC167" s="184"/>
      <c r="AD167" s="184"/>
    </row>
    <row r="168" spans="7:30" ht="13.5" customHeight="1" x14ac:dyDescent="0.35">
      <c r="G168" s="209"/>
      <c r="H168" s="184" t="str">
        <f>IFERROR(INDEX(Rules!$F:$F,MATCH(G169,Rules!$E:$E,0)),"")</f>
        <v/>
      </c>
      <c r="I168" s="184" t="str">
        <f>IFERROR(INDEX(Rules!$G:$G,MATCH(G169,Rules!$E:$E,0)),"")</f>
        <v/>
      </c>
      <c r="J168" s="184" t="str">
        <f>IFERROR(INDEX(Rules!$H:$H,MATCH(G169,Rules!$E:$E,0)),"")</f>
        <v/>
      </c>
      <c r="K168" s="71"/>
      <c r="L168" s="184"/>
      <c r="O168" s="184"/>
      <c r="P168" s="71"/>
      <c r="Q168" s="184"/>
      <c r="R168" s="184"/>
      <c r="Y168" s="184"/>
      <c r="Z168" s="184"/>
      <c r="AA168" s="184"/>
      <c r="AB168" s="184"/>
      <c r="AC168" s="184"/>
      <c r="AD168" s="184"/>
    </row>
    <row r="169" spans="7:30" ht="13.5" customHeight="1" x14ac:dyDescent="0.35">
      <c r="G169" s="209"/>
      <c r="H169" s="184" t="str">
        <f>IFERROR(INDEX(Rules!$F:$F,MATCH(G170,Rules!$E:$E,0)),"")</f>
        <v/>
      </c>
      <c r="I169" s="184" t="str">
        <f>IFERROR(INDEX(Rules!$G:$G,MATCH(G170,Rules!$E:$E,0)),"")</f>
        <v/>
      </c>
      <c r="J169" s="184" t="str">
        <f>IFERROR(INDEX(Rules!$H:$H,MATCH(G170,Rules!$E:$E,0)),"")</f>
        <v/>
      </c>
      <c r="K169" s="71"/>
      <c r="L169" s="184"/>
      <c r="O169" s="184"/>
      <c r="P169" s="71"/>
      <c r="Q169" s="184"/>
      <c r="R169" s="184"/>
      <c r="Y169" s="184"/>
      <c r="Z169" s="184"/>
      <c r="AA169" s="184"/>
      <c r="AB169" s="184"/>
      <c r="AC169" s="184"/>
      <c r="AD169" s="184"/>
    </row>
    <row r="170" spans="7:30" ht="13.5" customHeight="1" x14ac:dyDescent="0.35">
      <c r="G170" s="209"/>
      <c r="H170" s="184" t="str">
        <f>IFERROR(INDEX(Rules!$F:$F,MATCH(G171,Rules!$E:$E,0)),"")</f>
        <v/>
      </c>
      <c r="I170" s="184" t="str">
        <f>IFERROR(INDEX(Rules!$G:$G,MATCH(G171,Rules!$E:$E,0)),"")</f>
        <v/>
      </c>
      <c r="J170" s="184" t="str">
        <f>IFERROR(INDEX(Rules!$H:$H,MATCH(G171,Rules!$E:$E,0)),"")</f>
        <v/>
      </c>
      <c r="K170" s="71"/>
      <c r="L170" s="184"/>
      <c r="O170" s="184"/>
      <c r="P170" s="71"/>
      <c r="Q170" s="184"/>
      <c r="R170" s="184"/>
      <c r="Y170" s="184"/>
      <c r="Z170" s="184"/>
      <c r="AA170" s="184"/>
      <c r="AB170" s="184"/>
      <c r="AC170" s="184"/>
      <c r="AD170" s="184"/>
    </row>
    <row r="171" spans="7:30" ht="13.5" customHeight="1" x14ac:dyDescent="0.35">
      <c r="G171" s="209"/>
      <c r="H171" s="184" t="str">
        <f>IFERROR(INDEX(Rules!$F:$F,MATCH(G172,Rules!$E:$E,0)),"")</f>
        <v/>
      </c>
      <c r="I171" s="184" t="str">
        <f>IFERROR(INDEX(Rules!$G:$G,MATCH(G172,Rules!$E:$E,0)),"")</f>
        <v/>
      </c>
      <c r="J171" s="184" t="str">
        <f>IFERROR(INDEX(Rules!$H:$H,MATCH(G172,Rules!$E:$E,0)),"")</f>
        <v/>
      </c>
      <c r="K171" s="71"/>
      <c r="L171" s="184"/>
      <c r="O171" s="184"/>
      <c r="P171" s="71"/>
      <c r="Q171" s="184"/>
      <c r="R171" s="184"/>
      <c r="Y171" s="184"/>
      <c r="Z171" s="184"/>
      <c r="AA171" s="184"/>
      <c r="AB171" s="184"/>
      <c r="AC171" s="184"/>
      <c r="AD171" s="184"/>
    </row>
    <row r="172" spans="7:30" ht="13.5" customHeight="1" x14ac:dyDescent="0.35">
      <c r="G172" s="209"/>
      <c r="H172" s="184" t="str">
        <f>IFERROR(INDEX(Rules!$F:$F,MATCH(G173,Rules!$E:$E,0)),"")</f>
        <v/>
      </c>
      <c r="I172" s="184" t="str">
        <f>IFERROR(INDEX(Rules!$G:$G,MATCH(G173,Rules!$E:$E,0)),"")</f>
        <v/>
      </c>
      <c r="J172" s="184" t="str">
        <f>IFERROR(INDEX(Rules!$H:$H,MATCH(G173,Rules!$E:$E,0)),"")</f>
        <v/>
      </c>
      <c r="K172" s="71"/>
      <c r="L172" s="184"/>
      <c r="O172" s="184"/>
      <c r="P172" s="71"/>
      <c r="Q172" s="184"/>
      <c r="R172" s="184"/>
      <c r="Y172" s="184"/>
      <c r="Z172" s="184"/>
      <c r="AA172" s="184"/>
      <c r="AB172" s="184"/>
      <c r="AC172" s="184"/>
      <c r="AD172" s="184"/>
    </row>
    <row r="173" spans="7:30" ht="13.5" customHeight="1" x14ac:dyDescent="0.35">
      <c r="G173" s="209"/>
      <c r="H173" s="184" t="str">
        <f>IFERROR(INDEX(Rules!$F:$F,MATCH(G174,Rules!$E:$E,0)),"")</f>
        <v/>
      </c>
      <c r="I173" s="184" t="str">
        <f>IFERROR(INDEX(Rules!$G:$G,MATCH(G174,Rules!$E:$E,0)),"")</f>
        <v/>
      </c>
      <c r="J173" s="184" t="str">
        <f>IFERROR(INDEX(Rules!$H:$H,MATCH(G174,Rules!$E:$E,0)),"")</f>
        <v/>
      </c>
      <c r="K173" s="71"/>
      <c r="L173" s="184"/>
      <c r="O173" s="184"/>
      <c r="P173" s="71"/>
      <c r="Q173" s="184"/>
      <c r="R173" s="184"/>
      <c r="Y173" s="184"/>
      <c r="Z173" s="184"/>
      <c r="AA173" s="184"/>
      <c r="AB173" s="184"/>
      <c r="AC173" s="184"/>
      <c r="AD173" s="184"/>
    </row>
    <row r="174" spans="7:30" ht="13.5" customHeight="1" x14ac:dyDescent="0.35">
      <c r="G174" s="209"/>
      <c r="H174" s="184" t="str">
        <f>IFERROR(INDEX(Rules!$F:$F,MATCH(G175,Rules!$E:$E,0)),"")</f>
        <v/>
      </c>
      <c r="I174" s="184" t="str">
        <f>IFERROR(INDEX(Rules!$G:$G,MATCH(G175,Rules!$E:$E,0)),"")</f>
        <v/>
      </c>
      <c r="J174" s="184" t="str">
        <f>IFERROR(INDEX(Rules!$H:$H,MATCH(G175,Rules!$E:$E,0)),"")</f>
        <v/>
      </c>
      <c r="K174" s="71"/>
      <c r="L174" s="184"/>
      <c r="O174" s="184"/>
      <c r="P174" s="71"/>
      <c r="Q174" s="184"/>
      <c r="R174" s="184"/>
      <c r="Y174" s="184"/>
      <c r="Z174" s="184"/>
      <c r="AA174" s="184"/>
      <c r="AB174" s="184"/>
      <c r="AC174" s="184"/>
      <c r="AD174" s="184"/>
    </row>
    <row r="175" spans="7:30" ht="13.5" customHeight="1" x14ac:dyDescent="0.35">
      <c r="G175" s="209"/>
      <c r="H175" s="184" t="str">
        <f>IFERROR(INDEX(Rules!$F:$F,MATCH(G176,Rules!$E:$E,0)),"")</f>
        <v/>
      </c>
      <c r="I175" s="184" t="str">
        <f>IFERROR(INDEX(Rules!$G:$G,MATCH(G176,Rules!$E:$E,0)),"")</f>
        <v/>
      </c>
      <c r="J175" s="184" t="str">
        <f>IFERROR(INDEX(Rules!$H:$H,MATCH(G176,Rules!$E:$E,0)),"")</f>
        <v/>
      </c>
      <c r="K175" s="71"/>
      <c r="L175" s="184"/>
      <c r="O175" s="184"/>
      <c r="P175" s="71"/>
      <c r="Q175" s="184"/>
      <c r="R175" s="184"/>
      <c r="Y175" s="184"/>
      <c r="Z175" s="184"/>
      <c r="AA175" s="184"/>
      <c r="AB175" s="184"/>
      <c r="AC175" s="184"/>
      <c r="AD175" s="184"/>
    </row>
    <row r="176" spans="7:30" ht="13.5" customHeight="1" x14ac:dyDescent="0.35">
      <c r="G176" s="209"/>
      <c r="H176" s="184" t="str">
        <f>IFERROR(INDEX(Rules!$F:$F,MATCH(G177,Rules!$E:$E,0)),"")</f>
        <v/>
      </c>
      <c r="I176" s="184" t="str">
        <f>IFERROR(INDEX(Rules!$G:$G,MATCH(G177,Rules!$E:$E,0)),"")</f>
        <v/>
      </c>
      <c r="J176" s="184" t="str">
        <f>IFERROR(INDEX(Rules!$H:$H,MATCH(G177,Rules!$E:$E,0)),"")</f>
        <v/>
      </c>
      <c r="K176" s="71"/>
      <c r="L176" s="184"/>
      <c r="O176" s="184"/>
      <c r="P176" s="71"/>
      <c r="Q176" s="184"/>
      <c r="R176" s="184"/>
      <c r="Y176" s="184"/>
      <c r="Z176" s="184"/>
      <c r="AA176" s="184"/>
      <c r="AB176" s="184"/>
      <c r="AC176" s="184"/>
      <c r="AD176" s="184"/>
    </row>
    <row r="177" spans="7:30" ht="13.5" customHeight="1" x14ac:dyDescent="0.35">
      <c r="G177" s="209"/>
      <c r="H177" s="184" t="str">
        <f>IFERROR(INDEX(Rules!$F:$F,MATCH(G178,Rules!$E:$E,0)),"")</f>
        <v/>
      </c>
      <c r="I177" s="184" t="str">
        <f>IFERROR(INDEX(Rules!$G:$G,MATCH(G178,Rules!$E:$E,0)),"")</f>
        <v/>
      </c>
      <c r="J177" s="184" t="str">
        <f>IFERROR(INDEX(Rules!$H:$H,MATCH(G178,Rules!$E:$E,0)),"")</f>
        <v/>
      </c>
      <c r="K177" s="71"/>
      <c r="L177" s="184"/>
      <c r="O177" s="184"/>
      <c r="P177" s="71"/>
      <c r="Q177" s="184"/>
      <c r="R177" s="184"/>
      <c r="Y177" s="184"/>
      <c r="Z177" s="184"/>
      <c r="AA177" s="184"/>
      <c r="AB177" s="184"/>
      <c r="AC177" s="184"/>
      <c r="AD177" s="184"/>
    </row>
    <row r="178" spans="7:30" ht="13.5" customHeight="1" x14ac:dyDescent="0.35">
      <c r="G178" s="209"/>
      <c r="H178" s="184" t="str">
        <f>IFERROR(INDEX(Rules!$F:$F,MATCH(G179,Rules!$E:$E,0)),"")</f>
        <v/>
      </c>
      <c r="I178" s="184" t="str">
        <f>IFERROR(INDEX(Rules!$G:$G,MATCH(G179,Rules!$E:$E,0)),"")</f>
        <v/>
      </c>
      <c r="J178" s="184" t="str">
        <f>IFERROR(INDEX(Rules!$H:$H,MATCH(G179,Rules!$E:$E,0)),"")</f>
        <v/>
      </c>
      <c r="K178" s="71"/>
      <c r="L178" s="184"/>
      <c r="O178" s="184"/>
      <c r="P178" s="71"/>
      <c r="Q178" s="184"/>
      <c r="R178" s="184"/>
      <c r="Y178" s="184"/>
      <c r="Z178" s="184"/>
      <c r="AA178" s="184"/>
      <c r="AB178" s="184"/>
      <c r="AC178" s="184"/>
      <c r="AD178" s="184"/>
    </row>
    <row r="179" spans="7:30" ht="13.5" customHeight="1" x14ac:dyDescent="0.35">
      <c r="G179" s="209"/>
      <c r="H179" s="184" t="str">
        <f>IFERROR(INDEX(Rules!$F:$F,MATCH(G180,Rules!$E:$E,0)),"")</f>
        <v/>
      </c>
      <c r="I179" s="184" t="str">
        <f>IFERROR(INDEX(Rules!$G:$G,MATCH(G180,Rules!$E:$E,0)),"")</f>
        <v/>
      </c>
      <c r="J179" s="184" t="str">
        <f>IFERROR(INDEX(Rules!$H:$H,MATCH(G180,Rules!$E:$E,0)),"")</f>
        <v/>
      </c>
      <c r="K179" s="71"/>
      <c r="L179" s="184"/>
      <c r="O179" s="184"/>
      <c r="P179" s="71"/>
      <c r="Q179" s="184"/>
      <c r="R179" s="184"/>
      <c r="Y179" s="184"/>
      <c r="Z179" s="184"/>
      <c r="AA179" s="184"/>
      <c r="AB179" s="184"/>
      <c r="AC179" s="184"/>
      <c r="AD179" s="184"/>
    </row>
    <row r="180" spans="7:30" ht="13.5" customHeight="1" x14ac:dyDescent="0.35">
      <c r="G180" s="209"/>
      <c r="H180" s="184" t="str">
        <f>IFERROR(INDEX(Rules!$F:$F,MATCH(G181,Rules!$E:$E,0)),"")</f>
        <v/>
      </c>
      <c r="I180" s="184" t="str">
        <f>IFERROR(INDEX(Rules!$G:$G,MATCH(G181,Rules!$E:$E,0)),"")</f>
        <v/>
      </c>
      <c r="J180" s="184" t="str">
        <f>IFERROR(INDEX(Rules!$H:$H,MATCH(G181,Rules!$E:$E,0)),"")</f>
        <v/>
      </c>
      <c r="K180" s="71"/>
      <c r="L180" s="184"/>
      <c r="O180" s="184"/>
      <c r="P180" s="71"/>
      <c r="Q180" s="184"/>
      <c r="R180" s="184"/>
      <c r="Y180" s="184"/>
      <c r="Z180" s="184"/>
      <c r="AA180" s="184"/>
      <c r="AB180" s="184"/>
      <c r="AC180" s="184"/>
      <c r="AD180" s="184"/>
    </row>
    <row r="181" spans="7:30" ht="13.5" customHeight="1" x14ac:dyDescent="0.35">
      <c r="G181" s="209"/>
      <c r="H181" s="184" t="str">
        <f>IFERROR(INDEX(Rules!$F:$F,MATCH(G182,Rules!$E:$E,0)),"")</f>
        <v/>
      </c>
      <c r="I181" s="184" t="str">
        <f>IFERROR(INDEX(Rules!$G:$G,MATCH(G182,Rules!$E:$E,0)),"")</f>
        <v/>
      </c>
      <c r="J181" s="184" t="str">
        <f>IFERROR(INDEX(Rules!$H:$H,MATCH(G182,Rules!$E:$E,0)),"")</f>
        <v/>
      </c>
      <c r="K181" s="71"/>
      <c r="L181" s="184"/>
      <c r="O181" s="184"/>
      <c r="P181" s="71"/>
      <c r="Q181" s="184"/>
      <c r="R181" s="184"/>
      <c r="Y181" s="184"/>
      <c r="Z181" s="184"/>
      <c r="AA181" s="184"/>
      <c r="AB181" s="184"/>
      <c r="AC181" s="184"/>
      <c r="AD181" s="184"/>
    </row>
    <row r="182" spans="7:30" ht="13.5" customHeight="1" x14ac:dyDescent="0.35">
      <c r="G182" s="209"/>
      <c r="H182" s="184" t="str">
        <f>IFERROR(INDEX(Rules!$F:$F,MATCH(G183,Rules!$E:$E,0)),"")</f>
        <v/>
      </c>
      <c r="I182" s="184" t="str">
        <f>IFERROR(INDEX(Rules!$G:$G,MATCH(G183,Rules!$E:$E,0)),"")</f>
        <v/>
      </c>
      <c r="J182" s="184" t="str">
        <f>IFERROR(INDEX(Rules!$H:$H,MATCH(G183,Rules!$E:$E,0)),"")</f>
        <v/>
      </c>
      <c r="K182" s="71"/>
      <c r="L182" s="184"/>
      <c r="O182" s="184"/>
      <c r="P182" s="71"/>
      <c r="Q182" s="184"/>
      <c r="R182" s="184"/>
      <c r="Y182" s="184"/>
      <c r="Z182" s="184"/>
      <c r="AA182" s="184"/>
      <c r="AB182" s="184"/>
      <c r="AC182" s="184"/>
      <c r="AD182" s="184"/>
    </row>
    <row r="183" spans="7:30" ht="13.5" customHeight="1" x14ac:dyDescent="0.35">
      <c r="G183" s="209"/>
      <c r="H183" s="184" t="str">
        <f>IFERROR(INDEX(Rules!$F:$F,MATCH(G184,Rules!$E:$E,0)),"")</f>
        <v/>
      </c>
      <c r="I183" s="184" t="str">
        <f>IFERROR(INDEX(Rules!$G:$G,MATCH(G184,Rules!$E:$E,0)),"")</f>
        <v/>
      </c>
      <c r="J183" s="184" t="str">
        <f>IFERROR(INDEX(Rules!$H:$H,MATCH(G184,Rules!$E:$E,0)),"")</f>
        <v/>
      </c>
      <c r="K183" s="71"/>
      <c r="L183" s="184"/>
      <c r="O183" s="184"/>
      <c r="P183" s="71"/>
      <c r="Q183" s="184"/>
      <c r="R183" s="184"/>
      <c r="Y183" s="184"/>
      <c r="Z183" s="184"/>
      <c r="AA183" s="184"/>
      <c r="AB183" s="184"/>
      <c r="AC183" s="184"/>
      <c r="AD183" s="184"/>
    </row>
    <row r="184" spans="7:30" ht="13.5" customHeight="1" x14ac:dyDescent="0.35"/>
    <row r="185" spans="7:30" ht="13.5" customHeight="1" x14ac:dyDescent="0.35"/>
    <row r="186" spans="7:30" ht="13.5" customHeight="1" x14ac:dyDescent="0.35"/>
    <row r="187" spans="7:30" ht="13.5" customHeight="1" x14ac:dyDescent="0.35"/>
    <row r="188" spans="7:30" ht="13.5" customHeight="1" x14ac:dyDescent="0.35"/>
    <row r="189" spans="7:30" ht="13.5" customHeight="1" x14ac:dyDescent="0.35"/>
    <row r="190" spans="7:30" ht="13.5" customHeight="1" x14ac:dyDescent="0.35"/>
    <row r="191" spans="7:30" ht="13.5" customHeight="1" x14ac:dyDescent="0.35"/>
    <row r="192" spans="7:30" ht="13.5" customHeight="1" x14ac:dyDescent="0.35"/>
    <row r="193" ht="13.5" customHeight="1" x14ac:dyDescent="0.35"/>
    <row r="194" ht="13.5" customHeight="1" x14ac:dyDescent="0.35"/>
    <row r="195" ht="13.5" customHeight="1" x14ac:dyDescent="0.35"/>
    <row r="196" ht="13.5" customHeight="1" x14ac:dyDescent="0.35"/>
    <row r="197" ht="13.5" customHeight="1" x14ac:dyDescent="0.35"/>
    <row r="198" ht="13.5" customHeight="1" x14ac:dyDescent="0.35"/>
    <row r="199" ht="13.5" customHeight="1" x14ac:dyDescent="0.35"/>
    <row r="200" ht="13.5" customHeight="1" x14ac:dyDescent="0.35"/>
    <row r="201" ht="13.5" customHeight="1" x14ac:dyDescent="0.35"/>
    <row r="202" ht="13.5" customHeight="1" x14ac:dyDescent="0.35"/>
    <row r="203" ht="13.5" customHeight="1" x14ac:dyDescent="0.35"/>
    <row r="204" ht="13.5" customHeight="1" x14ac:dyDescent="0.35"/>
    <row r="205" ht="13.5" customHeight="1" x14ac:dyDescent="0.35"/>
    <row r="206" ht="13.5" customHeight="1" x14ac:dyDescent="0.35"/>
    <row r="207" ht="13.5" customHeight="1" x14ac:dyDescent="0.35"/>
    <row r="208" ht="13.5" customHeight="1" x14ac:dyDescent="0.35"/>
    <row r="209" ht="13.5" customHeight="1" x14ac:dyDescent="0.35"/>
    <row r="210" ht="13.5" customHeight="1" x14ac:dyDescent="0.35"/>
    <row r="211" ht="13.5" customHeight="1" x14ac:dyDescent="0.35"/>
    <row r="212" ht="13.5" customHeight="1" x14ac:dyDescent="0.35"/>
    <row r="213" ht="13.5" customHeight="1" x14ac:dyDescent="0.35"/>
    <row r="214" ht="13.5" customHeight="1" x14ac:dyDescent="0.35"/>
    <row r="215" ht="13.5" customHeight="1" x14ac:dyDescent="0.35"/>
    <row r="216" ht="13.5" customHeight="1" x14ac:dyDescent="0.35"/>
    <row r="217" ht="13.5" customHeight="1" x14ac:dyDescent="0.35"/>
    <row r="218" ht="13.5" customHeight="1" x14ac:dyDescent="0.35"/>
    <row r="219" ht="13.5" customHeight="1" x14ac:dyDescent="0.35"/>
    <row r="220" ht="13.5" customHeight="1" x14ac:dyDescent="0.35"/>
    <row r="221" ht="13.5" customHeight="1" x14ac:dyDescent="0.35"/>
    <row r="222" ht="13.5" customHeight="1" x14ac:dyDescent="0.35"/>
    <row r="223" ht="13.5" customHeight="1" x14ac:dyDescent="0.35"/>
    <row r="224" ht="13.5" customHeight="1" x14ac:dyDescent="0.35"/>
    <row r="225" ht="13.5" customHeight="1" x14ac:dyDescent="0.35"/>
    <row r="226" ht="13.5" customHeight="1" x14ac:dyDescent="0.35"/>
    <row r="227" ht="13.5" customHeight="1" x14ac:dyDescent="0.35"/>
    <row r="228" ht="13.5" customHeight="1" x14ac:dyDescent="0.35"/>
    <row r="229" ht="13.5" customHeight="1" x14ac:dyDescent="0.35"/>
    <row r="230" ht="13.5" customHeight="1" x14ac:dyDescent="0.35"/>
    <row r="231" ht="13.5" customHeight="1" x14ac:dyDescent="0.35"/>
    <row r="232" ht="13.5" customHeight="1" x14ac:dyDescent="0.35"/>
    <row r="233" ht="13.5" customHeight="1" x14ac:dyDescent="0.35"/>
    <row r="234" ht="13.5" customHeight="1" x14ac:dyDescent="0.35"/>
    <row r="235" ht="13.5" customHeight="1" x14ac:dyDescent="0.35"/>
    <row r="236" ht="13.5" customHeight="1" x14ac:dyDescent="0.35"/>
    <row r="237" ht="13.5" customHeight="1" x14ac:dyDescent="0.35"/>
    <row r="238" ht="13.5" customHeight="1" x14ac:dyDescent="0.35"/>
    <row r="239" ht="13.5" customHeight="1" x14ac:dyDescent="0.35"/>
    <row r="240" ht="13.5" customHeight="1" x14ac:dyDescent="0.35"/>
    <row r="241" ht="13.5" customHeight="1" x14ac:dyDescent="0.35"/>
    <row r="242" ht="13.5" customHeight="1" x14ac:dyDescent="0.35"/>
    <row r="243" ht="13.5" customHeight="1" x14ac:dyDescent="0.35"/>
    <row r="244" ht="13.5" customHeight="1" x14ac:dyDescent="0.35"/>
    <row r="245" ht="13.5" customHeight="1" x14ac:dyDescent="0.35"/>
    <row r="246" ht="13.5" customHeight="1" x14ac:dyDescent="0.35"/>
    <row r="247" ht="13.5" customHeight="1" x14ac:dyDescent="0.35"/>
    <row r="248" ht="13.5" customHeight="1" x14ac:dyDescent="0.35"/>
    <row r="249" ht="13.5" customHeight="1" x14ac:dyDescent="0.35"/>
    <row r="250" ht="13.5" customHeight="1" x14ac:dyDescent="0.35"/>
    <row r="251" ht="13.5" customHeight="1" x14ac:dyDescent="0.35"/>
    <row r="252" ht="13.5" customHeight="1" x14ac:dyDescent="0.35"/>
    <row r="253" ht="13.5" customHeight="1" x14ac:dyDescent="0.35"/>
    <row r="254" ht="13.5" customHeight="1" x14ac:dyDescent="0.35"/>
    <row r="255" ht="13.5" customHeight="1" x14ac:dyDescent="0.35"/>
    <row r="256" ht="13.5" customHeight="1" x14ac:dyDescent="0.35"/>
    <row r="257" ht="13.5" customHeight="1" x14ac:dyDescent="0.35"/>
    <row r="258" ht="13.5" customHeight="1" x14ac:dyDescent="0.35"/>
    <row r="259" ht="13.5" customHeight="1" x14ac:dyDescent="0.35"/>
    <row r="260" ht="13.5" customHeight="1" x14ac:dyDescent="0.35"/>
    <row r="261" ht="13.5" customHeight="1" x14ac:dyDescent="0.35"/>
    <row r="262" ht="13.5" customHeight="1" x14ac:dyDescent="0.35"/>
    <row r="263" ht="13.5" customHeight="1" x14ac:dyDescent="0.35"/>
    <row r="264" ht="13.5" customHeight="1" x14ac:dyDescent="0.35"/>
    <row r="265" ht="13.5" customHeight="1" x14ac:dyDescent="0.35"/>
    <row r="266" ht="13.5" customHeight="1" x14ac:dyDescent="0.35"/>
    <row r="267" ht="13.5" customHeight="1" x14ac:dyDescent="0.35"/>
    <row r="268" ht="13.5" customHeight="1" x14ac:dyDescent="0.35"/>
    <row r="269" ht="13.5" customHeight="1" x14ac:dyDescent="0.35"/>
    <row r="270" ht="13.5" customHeight="1" x14ac:dyDescent="0.35"/>
    <row r="271" ht="13.5" customHeight="1" x14ac:dyDescent="0.35"/>
    <row r="272" ht="13.5" customHeight="1" x14ac:dyDescent="0.35"/>
    <row r="273" ht="13.5" customHeight="1" x14ac:dyDescent="0.35"/>
    <row r="274" ht="13.5" customHeight="1" x14ac:dyDescent="0.35"/>
    <row r="275" ht="13.5" customHeight="1" x14ac:dyDescent="0.35"/>
    <row r="276" ht="13.5" customHeight="1" x14ac:dyDescent="0.35"/>
    <row r="277" ht="13.5" customHeight="1" x14ac:dyDescent="0.35"/>
    <row r="278" ht="13.5" customHeight="1" x14ac:dyDescent="0.35"/>
    <row r="279" ht="13.5" customHeight="1" x14ac:dyDescent="0.35"/>
    <row r="280" ht="13.5" customHeight="1" x14ac:dyDescent="0.35"/>
    <row r="281" ht="13.5" customHeight="1" x14ac:dyDescent="0.35"/>
    <row r="282" ht="13.5" customHeight="1" x14ac:dyDescent="0.35"/>
    <row r="283" ht="13.5" customHeight="1" x14ac:dyDescent="0.35"/>
    <row r="284" ht="13.5" customHeight="1" x14ac:dyDescent="0.35"/>
    <row r="285" ht="13.5" customHeight="1" x14ac:dyDescent="0.35"/>
    <row r="286" ht="13.5" customHeight="1" x14ac:dyDescent="0.35"/>
    <row r="287" ht="13.5" customHeight="1" x14ac:dyDescent="0.35"/>
    <row r="288" ht="13.5" customHeight="1" x14ac:dyDescent="0.35"/>
    <row r="289" ht="13.5" customHeight="1" x14ac:dyDescent="0.35"/>
    <row r="290" ht="13.5" customHeight="1" x14ac:dyDescent="0.35"/>
    <row r="291" ht="13.5" customHeight="1" x14ac:dyDescent="0.35"/>
    <row r="292" ht="13.5" customHeight="1" x14ac:dyDescent="0.35"/>
    <row r="293" ht="13.5" customHeight="1" x14ac:dyDescent="0.35"/>
    <row r="294" ht="13.5" customHeight="1" x14ac:dyDescent="0.35"/>
    <row r="295" ht="13.5" customHeight="1" x14ac:dyDescent="0.35"/>
    <row r="296" ht="13.5" customHeight="1" x14ac:dyDescent="0.35"/>
    <row r="297" ht="13.5" customHeight="1" x14ac:dyDescent="0.35"/>
    <row r="298" ht="13.5" customHeight="1" x14ac:dyDescent="0.35"/>
    <row r="299" ht="13.5" customHeight="1" x14ac:dyDescent="0.35"/>
    <row r="300" ht="13.5" customHeight="1" x14ac:dyDescent="0.35"/>
    <row r="301" ht="13.5" customHeight="1" x14ac:dyDescent="0.35"/>
    <row r="302" ht="13.5" customHeight="1" x14ac:dyDescent="0.35"/>
    <row r="303" ht="13.5" customHeight="1" x14ac:dyDescent="0.35"/>
    <row r="304" ht="13.5" customHeight="1" x14ac:dyDescent="0.35"/>
    <row r="305" ht="13.5" customHeight="1" x14ac:dyDescent="0.35"/>
    <row r="306" ht="13.5" customHeight="1" x14ac:dyDescent="0.35"/>
    <row r="307" ht="13.5" customHeight="1" x14ac:dyDescent="0.35"/>
    <row r="308" ht="13.5" customHeight="1" x14ac:dyDescent="0.35"/>
    <row r="309" ht="13.5" customHeight="1" x14ac:dyDescent="0.35"/>
    <row r="310" ht="13.5" customHeight="1" x14ac:dyDescent="0.35"/>
    <row r="311" ht="13.5" customHeight="1" x14ac:dyDescent="0.35"/>
    <row r="312" ht="13.5" customHeight="1" x14ac:dyDescent="0.35"/>
    <row r="313" ht="13.5" customHeight="1" x14ac:dyDescent="0.35"/>
    <row r="314" ht="13.5" customHeight="1" x14ac:dyDescent="0.35"/>
    <row r="315" ht="13.5" customHeight="1" x14ac:dyDescent="0.35"/>
    <row r="316" ht="13.5" customHeight="1" x14ac:dyDescent="0.35"/>
    <row r="317" ht="13.5" customHeight="1" x14ac:dyDescent="0.35"/>
    <row r="318" ht="13.5" customHeight="1" x14ac:dyDescent="0.35"/>
    <row r="319" ht="13.5" customHeight="1" x14ac:dyDescent="0.35"/>
    <row r="320" ht="13.5" customHeight="1" x14ac:dyDescent="0.35"/>
    <row r="321" ht="13.5" customHeight="1" x14ac:dyDescent="0.35"/>
    <row r="322" ht="13.5" customHeight="1" x14ac:dyDescent="0.35"/>
    <row r="323" ht="13.5" customHeight="1" x14ac:dyDescent="0.35"/>
    <row r="324" ht="13.5" customHeight="1" x14ac:dyDescent="0.35"/>
    <row r="325" ht="13.5" customHeight="1" x14ac:dyDescent="0.35"/>
    <row r="326" ht="13.5" customHeight="1" x14ac:dyDescent="0.35"/>
    <row r="327" ht="13.5" customHeight="1" x14ac:dyDescent="0.35"/>
    <row r="328" ht="13.5" customHeight="1" x14ac:dyDescent="0.35"/>
    <row r="329" ht="13.5" customHeight="1" x14ac:dyDescent="0.35"/>
    <row r="330" ht="13.5" customHeight="1" x14ac:dyDescent="0.35"/>
    <row r="331" ht="13.5" customHeight="1" x14ac:dyDescent="0.35"/>
    <row r="332" ht="13.5" customHeight="1" x14ac:dyDescent="0.35"/>
    <row r="333" ht="13.5" customHeight="1" x14ac:dyDescent="0.35"/>
    <row r="334" ht="13.5" customHeight="1" x14ac:dyDescent="0.35"/>
    <row r="335" ht="13.5" customHeight="1" x14ac:dyDescent="0.35"/>
    <row r="336" ht="13.5" customHeight="1" x14ac:dyDescent="0.35"/>
    <row r="337" ht="13.5" customHeight="1" x14ac:dyDescent="0.35"/>
    <row r="338" ht="13.5" customHeight="1" x14ac:dyDescent="0.35"/>
    <row r="339" ht="13.5" customHeight="1" x14ac:dyDescent="0.35"/>
    <row r="340" ht="13.5" customHeight="1" x14ac:dyDescent="0.35"/>
    <row r="341" ht="13.5" customHeight="1" x14ac:dyDescent="0.35"/>
    <row r="342" ht="13.5" customHeight="1" x14ac:dyDescent="0.35"/>
    <row r="343" ht="13.5" customHeight="1" x14ac:dyDescent="0.35"/>
    <row r="344" ht="13.5" customHeight="1" x14ac:dyDescent="0.35"/>
    <row r="345" ht="13.5" customHeight="1" x14ac:dyDescent="0.35"/>
    <row r="346" ht="13.5" customHeight="1" x14ac:dyDescent="0.35"/>
    <row r="347" ht="13.5" customHeight="1" x14ac:dyDescent="0.35"/>
    <row r="348" ht="13.5" customHeight="1" x14ac:dyDescent="0.35"/>
    <row r="349" ht="13.5" customHeight="1" x14ac:dyDescent="0.35"/>
    <row r="350" ht="13.5" customHeight="1" x14ac:dyDescent="0.35"/>
    <row r="351" ht="13.5" customHeight="1" x14ac:dyDescent="0.35"/>
    <row r="352" ht="13.5" customHeight="1" x14ac:dyDescent="0.35"/>
    <row r="353" ht="13.5" customHeight="1" x14ac:dyDescent="0.35"/>
  </sheetData>
  <sheetProtection selectLockedCells="1" selectUnlockedCells="1"/>
  <autoFilter ref="A1:AH183" xr:uid="{00000000-0001-0000-0500-000000000000}"/>
  <dataValidations disablePrompts="1" count="9">
    <dataValidation type="list" allowBlank="1" sqref="K2:K1996" xr:uid="{00000000-0002-0000-0500-000001000000}">
      <formula1>Beschreibung</formula1>
    </dataValidation>
    <dataValidation type="list" allowBlank="1" sqref="J8:J1996" xr:uid="{00000000-0002-0000-0500-000008000000}">
      <formula1>Assegnazione_della_proprieta</formula1>
    </dataValidation>
    <dataValidation type="date" allowBlank="1" showInputMessage="1" showErrorMessage="1" promptTitle="Versionsdatum" prompt="Datum im Format YYYY-MM-DD eintragen." sqref="AC8:AC1996" xr:uid="{00000000-0002-0000-0500-000000000000}">
      <formula1>DATE(2000,1,1)</formula1>
      <formula2>DATE(2100,12,31)</formula2>
    </dataValidation>
    <dataValidation type="list" allowBlank="1" sqref="S7:S1996" xr:uid="{00000000-0002-0000-0500-000002000000}">
      <formula1>DataType</formula1>
    </dataValidation>
    <dataValidation type="list" allowBlank="1" sqref="T7:T1996" xr:uid="{00000000-0002-0000-0500-000003000000}">
      <formula1>IFC_Data_Type</formula1>
    </dataValidation>
    <dataValidation type="list" allowBlank="1" sqref="AF8:AF1996" xr:uid="{00000000-0002-0000-0500-000004000000}">
      <formula1>Status</formula1>
    </dataValidation>
    <dataValidation type="list" allowBlank="1" sqref="G8:G1996" xr:uid="{00000000-0002-0000-0500-000005000000}">
      <formula1>Property_Classification</formula1>
    </dataValidation>
    <dataValidation type="list" allowBlank="1" sqref="H8:H1996" xr:uid="{00000000-0002-0000-0500-000006000000}">
      <formula1>Merkmals_Zuordnung</formula1>
    </dataValidation>
    <dataValidation type="list" allowBlank="1" sqref="I8:I1996" xr:uid="{00000000-0002-0000-0500-000007000000}">
      <formula1>Attribution_de_propriete</formula1>
    </dataValidation>
  </dataValidations>
  <hyperlinks>
    <hyperlink ref="W69" r:id="rId1" xr:uid="{7B667838-0521-423D-AEE9-3BC7A391C517}"/>
    <hyperlink ref="W111" r:id="rId2" xr:uid="{EAC611EF-3AE9-41F2-BC38-CDC6BF209668}"/>
    <hyperlink ref="W18" r:id="rId3" xr:uid="{1BD82348-B776-4322-BE99-E58C758901E3}"/>
    <hyperlink ref="W26" r:id="rId4" xr:uid="{55F779F3-206F-45A6-8ED2-C7B318CE3CDD}"/>
    <hyperlink ref="W30" r:id="rId5" xr:uid="{B9610974-C69E-456C-BF8B-44D89CCB78D5}"/>
    <hyperlink ref="W28" r:id="rId6" xr:uid="{DC337424-9794-4857-8F8E-EA89212A8EE7}"/>
    <hyperlink ref="W38" r:id="rId7" xr:uid="{62C5787C-9920-4AFA-9DDB-20FC8C1E5266}"/>
    <hyperlink ref="X40" r:id="rId8" xr:uid="{F75ADA64-B36F-4D89-A935-7D04564E80EB}"/>
    <hyperlink ref="W41" r:id="rId9" xr:uid="{2D723C05-0A24-4E5B-A380-8DFB0C26330B}"/>
    <hyperlink ref="W59" r:id="rId10" xr:uid="{2D88689D-911B-4125-AD85-E268A36F7063}"/>
    <hyperlink ref="W58" r:id="rId11" xr:uid="{F8D3DF87-03A9-45F1-A7F7-3D4BE6ADF41D}"/>
    <hyperlink ref="W67" r:id="rId12" xr:uid="{B4B057CC-3044-401F-A604-951E20987926}"/>
    <hyperlink ref="W72" r:id="rId13" xr:uid="{6B880EC7-BFA3-4BDA-A2C0-7FBEAFA7F63F}"/>
    <hyperlink ref="W75" r:id="rId14" xr:uid="{B1FE8506-FBF5-4C95-92DD-D9C3FC2CE9A7}"/>
    <hyperlink ref="X62" r:id="rId15" xr:uid="{070160D7-72EE-41D6-9857-AFAE8493FDA9}"/>
    <hyperlink ref="W109" r:id="rId16" xr:uid="{86CCB333-617B-4573-85D2-BC7E51A52206}"/>
    <hyperlink ref="W108" r:id="rId17" xr:uid="{5AF166B1-FA0D-41F5-8249-9CD913B003B0}"/>
    <hyperlink ref="X108" r:id="rId18" xr:uid="{5F9FF6F4-89C0-4551-9AC7-9D74BE94E1D4}"/>
    <hyperlink ref="X109" r:id="rId19" xr:uid="{C1FB8E50-A906-4722-B9F1-ABDD5351F119}"/>
    <hyperlink ref="W107" r:id="rId20" xr:uid="{0FC017A0-0235-469E-8669-B5CBDAA38E33}"/>
    <hyperlink ref="W106" r:id="rId21" xr:uid="{816F433F-A79B-403D-BA46-1A713EA2E866}"/>
    <hyperlink ref="W104" r:id="rId22" xr:uid="{FA8F4DED-EF93-4068-88D2-363EDEE059EC}"/>
    <hyperlink ref="W102" r:id="rId23" xr:uid="{5F2D25D1-86D9-49A4-971E-22F0438C7DC8}"/>
    <hyperlink ref="W97" r:id="rId24" xr:uid="{D04DDCD7-A8D1-4E87-AAB6-AA580E9B4F56}"/>
    <hyperlink ref="W90" r:id="rId25" xr:uid="{7E354482-4357-47F1-9E24-E51F006449B6}"/>
    <hyperlink ref="W88" r:id="rId26" xr:uid="{38767BFA-D11E-4C58-84A3-DCBC37F79B23}"/>
    <hyperlink ref="W100" r:id="rId27" xr:uid="{29386EF2-7AB8-4155-8555-6DB51C53C0BA}"/>
    <hyperlink ref="W52" r:id="rId28" xr:uid="{2B62D2AF-D095-4746-8B14-C32D62909564}"/>
    <hyperlink ref="W76" r:id="rId29" xr:uid="{EF09034E-E39A-41B7-9F9D-4D8F493DB61F}"/>
    <hyperlink ref="X76" r:id="rId30" xr:uid="{2C5B43C3-C434-46BC-9426-7EF33B724CF8}"/>
    <hyperlink ref="W42" r:id="rId31" xr:uid="{3304531D-C739-4304-B77A-E76E01783568}"/>
  </hyperlinks>
  <pageMargins left="0.70866141732283472" right="0.70866141732283472" top="0.78740157480314965" bottom="0.78740157480314965" header="0.31496062992125978" footer="0.31496062992125978"/>
  <pageSetup paperSize="9" scale="33" orientation="landscape" r:id="rId32"/>
  <headerFooter>
    <oddHeader>&amp;CBauen digital Schweiz / buildingSMART Switzerland</oddHeader>
    <oddFooter>&amp;L&amp;"Arial"&amp;7 &amp;K000000Handlungsempfehlung Datenkatalog_x000D_# C2 - Intern_x000D_&amp;1#&amp;"Arial"&amp;7 &amp;K000000 C2 - Intern&amp;CStrukturvorlage&amp;R&amp;D -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S58"/>
  <sheetViews>
    <sheetView showGridLines="0" topLeftCell="F1" zoomScale="115" zoomScaleNormal="115" workbookViewId="0">
      <pane ySplit="3" topLeftCell="A4" activePane="bottomLeft" state="frozen"/>
      <selection activeCell="M62" sqref="M62"/>
      <selection pane="bottomLeft" activeCell="M10" sqref="M10"/>
    </sheetView>
  </sheetViews>
  <sheetFormatPr baseColWidth="10" defaultColWidth="11.54296875" defaultRowHeight="14.5" outlineLevelCol="1" x14ac:dyDescent="0.35"/>
  <cols>
    <col min="1" max="1" width="3.7265625" style="50" customWidth="1"/>
    <col min="2" max="2" width="25.7265625" style="50" customWidth="1" outlineLevel="1"/>
    <col min="3" max="3" width="3.7265625" style="50" customWidth="1"/>
    <col min="4" max="5" width="20.7265625" style="64" customWidth="1" outlineLevel="1"/>
    <col min="6" max="6" width="30.1796875" style="64" customWidth="1" outlineLevel="1"/>
    <col min="7" max="7" width="20.7265625" style="64" customWidth="1" outlineLevel="1"/>
    <col min="8" max="8" width="20.81640625" bestFit="1" customWidth="1"/>
    <col min="9" max="9" width="3.54296875" bestFit="1" customWidth="1"/>
    <col min="10" max="10" width="3.08984375" style="64" bestFit="1" customWidth="1" outlineLevel="1"/>
    <col min="11" max="11" width="35.08984375" style="50" customWidth="1"/>
    <col min="12" max="12" width="33.453125" style="50" customWidth="1" outlineLevel="1"/>
    <col min="13" max="13" width="25.7265625" style="50" customWidth="1" outlineLevel="1"/>
    <col min="14" max="14" width="15.81640625" style="50" customWidth="1" outlineLevel="1"/>
    <col min="15" max="24" width="11.54296875" style="50" customWidth="1"/>
    <col min="25" max="16384" width="11.54296875" style="50"/>
  </cols>
  <sheetData>
    <row r="1" spans="1:19" s="60" customFormat="1" ht="120" customHeight="1" x14ac:dyDescent="0.35">
      <c r="A1" s="92" t="s">
        <v>0</v>
      </c>
      <c r="B1" s="90" t="s">
        <v>1</v>
      </c>
      <c r="C1" s="91" t="s">
        <v>948</v>
      </c>
      <c r="D1" s="90" t="s">
        <v>3</v>
      </c>
      <c r="E1" s="90" t="s">
        <v>949</v>
      </c>
      <c r="F1" s="90" t="s">
        <v>950</v>
      </c>
      <c r="G1" s="112" t="s">
        <v>10</v>
      </c>
      <c r="H1" s="206" t="s">
        <v>11</v>
      </c>
      <c r="I1" s="112" t="s">
        <v>12</v>
      </c>
      <c r="J1" s="112" t="s">
        <v>13</v>
      </c>
      <c r="K1" s="112" t="s">
        <v>951</v>
      </c>
      <c r="L1" s="112" t="s">
        <v>952</v>
      </c>
      <c r="M1" s="112" t="s">
        <v>953</v>
      </c>
      <c r="N1" s="112" t="s">
        <v>954</v>
      </c>
      <c r="O1" s="112" t="s">
        <v>24</v>
      </c>
      <c r="P1" s="93" t="s">
        <v>30</v>
      </c>
      <c r="Q1" s="90" t="s">
        <v>31</v>
      </c>
      <c r="R1" s="90" t="s">
        <v>32</v>
      </c>
      <c r="S1" s="90" t="s">
        <v>33</v>
      </c>
    </row>
    <row r="2" spans="1:19" s="116" customFormat="1" ht="14" x14ac:dyDescent="0.35">
      <c r="A2" s="49"/>
      <c r="B2" s="111" t="s">
        <v>34</v>
      </c>
      <c r="C2" s="49"/>
      <c r="D2" s="66"/>
      <c r="E2" s="67"/>
      <c r="F2" s="67"/>
      <c r="G2" s="67"/>
      <c r="H2" s="67"/>
      <c r="I2" s="67"/>
      <c r="J2" s="67"/>
      <c r="K2" s="66"/>
      <c r="L2" s="66"/>
      <c r="M2" s="66"/>
      <c r="N2" s="66"/>
      <c r="O2" s="66"/>
      <c r="P2" s="49"/>
      <c r="Q2" s="108"/>
      <c r="R2" s="67"/>
      <c r="S2" s="66"/>
    </row>
    <row r="3" spans="1:19" s="89" customFormat="1" ht="11.25" customHeight="1" x14ac:dyDescent="0.35">
      <c r="A3" s="49"/>
      <c r="B3" s="111" t="s">
        <v>36</v>
      </c>
      <c r="C3" s="49"/>
      <c r="D3" s="66"/>
      <c r="E3" s="67"/>
      <c r="F3" s="67"/>
      <c r="G3" s="67"/>
      <c r="H3" s="67"/>
      <c r="I3" s="67"/>
      <c r="J3" s="67"/>
      <c r="K3" s="66"/>
      <c r="L3" s="66"/>
      <c r="M3" s="66"/>
      <c r="N3" s="66"/>
      <c r="O3" s="66"/>
      <c r="P3" s="49"/>
      <c r="Q3" s="108"/>
      <c r="R3" s="67"/>
      <c r="S3" s="66"/>
    </row>
    <row r="4" spans="1:19" s="30" customFormat="1" ht="15" customHeight="1" x14ac:dyDescent="0.35">
      <c r="A4" s="49"/>
      <c r="B4" s="111" t="s">
        <v>37</v>
      </c>
      <c r="C4" s="49"/>
      <c r="D4" s="66" t="s">
        <v>38</v>
      </c>
      <c r="E4" s="67" t="s">
        <v>38</v>
      </c>
      <c r="F4" s="67" t="s">
        <v>38</v>
      </c>
      <c r="G4" s="67" t="s">
        <v>42</v>
      </c>
      <c r="H4" s="67" t="s">
        <v>39</v>
      </c>
      <c r="I4" s="67" t="s">
        <v>40</v>
      </c>
      <c r="J4" s="67" t="s">
        <v>41</v>
      </c>
      <c r="K4" s="66" t="s">
        <v>42</v>
      </c>
      <c r="L4" s="66" t="s">
        <v>39</v>
      </c>
      <c r="M4" s="66" t="s">
        <v>40</v>
      </c>
      <c r="N4" s="66" t="s">
        <v>41</v>
      </c>
      <c r="O4" s="66" t="s">
        <v>38</v>
      </c>
      <c r="P4" s="49"/>
      <c r="Q4" s="109" t="s">
        <v>38</v>
      </c>
      <c r="R4" s="66" t="s">
        <v>38</v>
      </c>
      <c r="S4" s="66" t="s">
        <v>38</v>
      </c>
    </row>
    <row r="5" spans="1:19" s="30" customFormat="1" ht="14" x14ac:dyDescent="0.35">
      <c r="A5" s="49"/>
      <c r="B5" s="111" t="s">
        <v>43</v>
      </c>
      <c r="C5" s="49"/>
      <c r="D5" s="66" t="s">
        <v>45</v>
      </c>
      <c r="E5" s="67" t="s">
        <v>45</v>
      </c>
      <c r="F5" s="67"/>
      <c r="G5" s="67"/>
      <c r="H5" s="67"/>
      <c r="I5" s="67"/>
      <c r="J5" s="67"/>
      <c r="K5" s="66"/>
      <c r="L5" s="66"/>
      <c r="M5" s="66"/>
      <c r="N5" s="66"/>
      <c r="O5" s="66"/>
      <c r="P5" s="49"/>
      <c r="Q5" s="109" t="s">
        <v>44</v>
      </c>
      <c r="R5" s="66" t="s">
        <v>44</v>
      </c>
      <c r="S5" s="66" t="s">
        <v>44</v>
      </c>
    </row>
    <row r="6" spans="1:19" s="30" customFormat="1" x14ac:dyDescent="0.35">
      <c r="A6" s="49"/>
      <c r="B6" s="111" t="s">
        <v>46</v>
      </c>
      <c r="C6" s="49"/>
      <c r="D6" s="66"/>
      <c r="E6" s="67"/>
      <c r="F6" s="67"/>
      <c r="G6" s="67"/>
      <c r="H6" s="67"/>
      <c r="I6" s="67"/>
      <c r="J6" s="67"/>
      <c r="K6" s="66"/>
      <c r="L6" s="66"/>
      <c r="M6" s="66"/>
      <c r="N6" s="66"/>
      <c r="O6" s="66"/>
      <c r="P6" s="49"/>
      <c r="Q6" s="108" t="s">
        <v>53</v>
      </c>
      <c r="R6" s="67"/>
      <c r="S6" s="110"/>
    </row>
    <row r="7" spans="1:19" s="179" customFormat="1" ht="67.5" customHeight="1" x14ac:dyDescent="0.35">
      <c r="A7" s="49"/>
      <c r="B7" s="56"/>
      <c r="C7" s="49"/>
      <c r="D7" s="55"/>
      <c r="E7" s="55"/>
      <c r="F7" s="55"/>
      <c r="G7" s="230" t="s">
        <v>92</v>
      </c>
      <c r="H7" s="230" t="s">
        <v>93</v>
      </c>
      <c r="I7" s="69"/>
      <c r="J7" s="69"/>
      <c r="K7" s="233" t="s">
        <v>1239</v>
      </c>
      <c r="L7" s="233" t="s">
        <v>1239</v>
      </c>
      <c r="M7" s="55"/>
      <c r="N7" s="55"/>
      <c r="O7" s="55"/>
      <c r="P7" s="49"/>
      <c r="Q7" s="54" t="s">
        <v>1041</v>
      </c>
      <c r="R7" s="54" t="s">
        <v>1248</v>
      </c>
      <c r="S7" s="54" t="s">
        <v>63</v>
      </c>
    </row>
    <row r="8" spans="1:19" s="179" customFormat="1" ht="67.5" customHeight="1" x14ac:dyDescent="0.35">
      <c r="A8" s="49"/>
      <c r="B8" s="56"/>
      <c r="C8" s="49"/>
      <c r="D8" s="55"/>
      <c r="E8" s="55"/>
      <c r="F8" s="55"/>
      <c r="G8" s="230" t="s">
        <v>1174</v>
      </c>
      <c r="H8" s="69" t="s">
        <v>307</v>
      </c>
      <c r="I8" s="69"/>
      <c r="J8" s="69"/>
      <c r="K8" s="55" t="s">
        <v>1210</v>
      </c>
      <c r="L8" s="55" t="s">
        <v>1211</v>
      </c>
      <c r="M8" s="55"/>
      <c r="N8" s="55"/>
      <c r="O8" s="55"/>
      <c r="P8" s="49"/>
      <c r="Q8" s="54" t="s">
        <v>1041</v>
      </c>
      <c r="R8" s="54" t="s">
        <v>1248</v>
      </c>
      <c r="S8" s="54" t="s">
        <v>63</v>
      </c>
    </row>
    <row r="9" spans="1:19" s="51" customFormat="1" ht="12.75" customHeight="1" x14ac:dyDescent="0.35">
      <c r="A9" s="49"/>
      <c r="B9" s="56"/>
      <c r="C9" s="49"/>
      <c r="D9" s="55"/>
      <c r="E9" s="55"/>
      <c r="F9" s="55"/>
      <c r="G9" s="230" t="s">
        <v>1175</v>
      </c>
      <c r="H9" s="69" t="s">
        <v>311</v>
      </c>
      <c r="I9" s="69"/>
      <c r="J9" s="69"/>
      <c r="K9" s="55" t="s">
        <v>1212</v>
      </c>
      <c r="L9" s="55" t="s">
        <v>1213</v>
      </c>
      <c r="M9" s="55"/>
      <c r="N9" s="55"/>
      <c r="O9" s="55"/>
      <c r="P9" s="49"/>
      <c r="Q9" s="54" t="s">
        <v>1041</v>
      </c>
      <c r="R9" s="54" t="s">
        <v>1248</v>
      </c>
      <c r="S9" s="54" t="s">
        <v>63</v>
      </c>
    </row>
    <row r="10" spans="1:19" s="51" customFormat="1" ht="47" customHeight="1" x14ac:dyDescent="0.35">
      <c r="A10" s="49"/>
      <c r="B10" s="56"/>
      <c r="C10" s="49"/>
      <c r="D10" s="55"/>
      <c r="E10" s="55"/>
      <c r="F10" s="55"/>
      <c r="G10" s="230" t="s">
        <v>1178</v>
      </c>
      <c r="H10" s="69" t="s">
        <v>528</v>
      </c>
      <c r="I10" s="69"/>
      <c r="J10" s="69"/>
      <c r="K10" s="55" t="s">
        <v>1240</v>
      </c>
      <c r="L10" s="55" t="s">
        <v>1240</v>
      </c>
      <c r="M10" s="55"/>
      <c r="N10" s="55"/>
      <c r="O10" s="55"/>
      <c r="P10" s="49"/>
      <c r="Q10" s="54" t="s">
        <v>1041</v>
      </c>
      <c r="R10" s="54" t="s">
        <v>1248</v>
      </c>
      <c r="S10" s="54" t="s">
        <v>63</v>
      </c>
    </row>
    <row r="11" spans="1:19" s="51" customFormat="1" ht="12.75" customHeight="1" x14ac:dyDescent="0.35">
      <c r="A11" s="49"/>
      <c r="B11" s="56"/>
      <c r="C11" s="49"/>
      <c r="D11" s="55"/>
      <c r="E11" s="55"/>
      <c r="F11" s="55"/>
      <c r="G11" s="250" t="s">
        <v>1168</v>
      </c>
      <c r="H11" s="251" t="s">
        <v>198</v>
      </c>
      <c r="I11" s="69"/>
      <c r="J11" s="69"/>
      <c r="K11" s="55" t="s">
        <v>1209</v>
      </c>
      <c r="L11" s="55" t="s">
        <v>1209</v>
      </c>
      <c r="M11" s="55"/>
      <c r="N11" s="55"/>
      <c r="O11" s="55"/>
      <c r="P11" s="49"/>
      <c r="Q11" s="54" t="s">
        <v>1041</v>
      </c>
      <c r="R11" s="54" t="s">
        <v>1248</v>
      </c>
      <c r="S11" s="54" t="s">
        <v>63</v>
      </c>
    </row>
    <row r="12" spans="1:19" s="51" customFormat="1" ht="12.75" customHeight="1" x14ac:dyDescent="0.35">
      <c r="A12" s="49"/>
      <c r="B12" s="56"/>
      <c r="C12" s="49"/>
      <c r="D12" s="55"/>
      <c r="E12" s="55"/>
      <c r="F12" s="55"/>
      <c r="G12" s="250" t="s">
        <v>1169</v>
      </c>
      <c r="H12" s="251" t="s">
        <v>201</v>
      </c>
      <c r="I12" s="69"/>
      <c r="J12" s="69"/>
      <c r="K12" s="55" t="s">
        <v>1209</v>
      </c>
      <c r="L12" s="55" t="s">
        <v>1209</v>
      </c>
      <c r="M12" s="55"/>
      <c r="N12" s="55"/>
      <c r="O12" s="55"/>
      <c r="P12" s="49"/>
      <c r="Q12" s="54" t="s">
        <v>1041</v>
      </c>
      <c r="R12" s="54" t="s">
        <v>1248</v>
      </c>
      <c r="S12" s="54" t="s">
        <v>63</v>
      </c>
    </row>
    <row r="13" spans="1:19" s="51" customFormat="1" ht="12.75" customHeight="1" x14ac:dyDescent="0.35">
      <c r="A13" s="49"/>
      <c r="B13" s="56"/>
      <c r="C13" s="49"/>
      <c r="D13" s="55"/>
      <c r="E13" s="55"/>
      <c r="F13" s="55"/>
      <c r="G13" s="250" t="s">
        <v>1170</v>
      </c>
      <c r="H13" s="250" t="s">
        <v>1241</v>
      </c>
      <c r="I13" s="69"/>
      <c r="J13" s="69"/>
      <c r="K13" s="55" t="s">
        <v>1209</v>
      </c>
      <c r="L13" s="55" t="s">
        <v>1209</v>
      </c>
      <c r="M13" s="55"/>
      <c r="N13" s="55"/>
      <c r="O13" s="55"/>
      <c r="P13" s="49"/>
      <c r="Q13" s="54" t="s">
        <v>1041</v>
      </c>
      <c r="R13" s="54" t="s">
        <v>1248</v>
      </c>
      <c r="S13" s="54" t="s">
        <v>63</v>
      </c>
    </row>
    <row r="14" spans="1:19" s="51" customFormat="1" ht="12.75" customHeight="1" x14ac:dyDescent="0.35">
      <c r="A14" s="49"/>
      <c r="B14" s="56"/>
      <c r="C14" s="49"/>
      <c r="D14" s="55"/>
      <c r="E14" s="55"/>
      <c r="F14" s="55"/>
      <c r="G14" s="230" t="s">
        <v>221</v>
      </c>
      <c r="H14" s="251" t="s">
        <v>222</v>
      </c>
      <c r="I14" s="69"/>
      <c r="J14" s="69"/>
      <c r="K14" s="55" t="s">
        <v>1209</v>
      </c>
      <c r="L14" s="55" t="s">
        <v>1209</v>
      </c>
      <c r="M14" s="55"/>
      <c r="N14" s="55"/>
      <c r="O14" s="55"/>
      <c r="P14" s="49"/>
      <c r="Q14" s="54" t="s">
        <v>1041</v>
      </c>
      <c r="R14" s="54" t="s">
        <v>1248</v>
      </c>
      <c r="S14" s="54" t="s">
        <v>63</v>
      </c>
    </row>
    <row r="15" spans="1:19" s="51" customFormat="1" ht="12.75" customHeight="1" x14ac:dyDescent="0.35">
      <c r="A15" s="49"/>
      <c r="B15" s="56"/>
      <c r="C15" s="49"/>
      <c r="D15" s="55"/>
      <c r="E15" s="55"/>
      <c r="F15" s="55"/>
      <c r="G15" s="230" t="s">
        <v>231</v>
      </c>
      <c r="H15" s="251" t="s">
        <v>232</v>
      </c>
      <c r="I15" s="69"/>
      <c r="J15" s="69"/>
      <c r="K15" s="55" t="s">
        <v>1209</v>
      </c>
      <c r="L15" s="55" t="s">
        <v>1209</v>
      </c>
      <c r="M15" s="55"/>
      <c r="N15" s="55"/>
      <c r="O15" s="55"/>
      <c r="P15" s="49"/>
      <c r="Q15" s="54" t="s">
        <v>1041</v>
      </c>
      <c r="R15" s="54" t="s">
        <v>1248</v>
      </c>
      <c r="S15" s="54" t="s">
        <v>63</v>
      </c>
    </row>
    <row r="16" spans="1:19" s="51" customFormat="1" ht="12.75" customHeight="1" x14ac:dyDescent="0.35">
      <c r="A16" s="56"/>
      <c r="B16" s="56"/>
      <c r="C16" s="56"/>
      <c r="D16" s="55"/>
      <c r="E16" s="55"/>
      <c r="F16" s="55"/>
      <c r="G16" s="230" t="s">
        <v>274</v>
      </c>
      <c r="H16" s="69" t="s">
        <v>275</v>
      </c>
      <c r="I16" s="69"/>
      <c r="J16" s="69"/>
      <c r="K16" s="55" t="s">
        <v>1209</v>
      </c>
      <c r="L16" s="55" t="s">
        <v>1209</v>
      </c>
      <c r="M16" s="55"/>
      <c r="N16" s="55"/>
      <c r="O16" s="55"/>
      <c r="P16" s="56"/>
      <c r="Q16" s="54" t="s">
        <v>1041</v>
      </c>
      <c r="R16" s="54" t="s">
        <v>1248</v>
      </c>
      <c r="S16" s="54" t="s">
        <v>63</v>
      </c>
    </row>
    <row r="17" spans="1:19" s="51" customFormat="1" ht="12.75" customHeight="1" x14ac:dyDescent="0.35">
      <c r="A17" s="56"/>
      <c r="B17" s="56"/>
      <c r="C17" s="56"/>
      <c r="D17" s="55"/>
      <c r="E17" s="55"/>
      <c r="F17" s="55"/>
      <c r="G17" s="230" t="s">
        <v>380</v>
      </c>
      <c r="H17" s="69" t="s">
        <v>381</v>
      </c>
      <c r="I17" s="69"/>
      <c r="J17" s="69"/>
      <c r="K17" s="55" t="s">
        <v>1209</v>
      </c>
      <c r="L17" s="55" t="s">
        <v>1209</v>
      </c>
      <c r="M17" s="55"/>
      <c r="N17" s="55"/>
      <c r="O17" s="55"/>
      <c r="P17" s="56"/>
      <c r="Q17" s="54" t="s">
        <v>1041</v>
      </c>
      <c r="R17" s="54" t="s">
        <v>1248</v>
      </c>
      <c r="S17" s="54" t="s">
        <v>63</v>
      </c>
    </row>
    <row r="18" spans="1:19" s="60" customFormat="1" ht="12.75" customHeight="1" x14ac:dyDescent="0.35">
      <c r="A18" s="56"/>
      <c r="B18" s="56"/>
      <c r="C18" s="56"/>
      <c r="D18" s="55"/>
      <c r="E18" s="55"/>
      <c r="F18" s="55"/>
      <c r="G18" s="230" t="s">
        <v>389</v>
      </c>
      <c r="H18" s="69" t="s">
        <v>390</v>
      </c>
      <c r="I18" s="69"/>
      <c r="J18" s="69"/>
      <c r="K18" s="55" t="s">
        <v>1209</v>
      </c>
      <c r="L18" s="55" t="s">
        <v>1209</v>
      </c>
      <c r="M18" s="55"/>
      <c r="N18" s="55"/>
      <c r="O18" s="55"/>
      <c r="P18" s="56"/>
      <c r="Q18" s="54" t="s">
        <v>1041</v>
      </c>
      <c r="R18" s="54" t="s">
        <v>1248</v>
      </c>
      <c r="S18" s="54" t="s">
        <v>63</v>
      </c>
    </row>
    <row r="19" spans="1:19" s="60" customFormat="1" ht="12.75" customHeight="1" x14ac:dyDescent="0.35">
      <c r="A19" s="56"/>
      <c r="B19" s="56"/>
      <c r="C19" s="56"/>
      <c r="D19" s="55"/>
      <c r="E19" s="55"/>
      <c r="F19" s="55"/>
      <c r="G19" s="230" t="s">
        <v>426</v>
      </c>
      <c r="H19" s="230" t="s">
        <v>427</v>
      </c>
      <c r="I19" s="69"/>
      <c r="J19" s="69"/>
      <c r="K19" s="55" t="s">
        <v>1209</v>
      </c>
      <c r="L19" s="55" t="s">
        <v>1209</v>
      </c>
      <c r="M19" s="55"/>
      <c r="N19" s="55"/>
      <c r="O19" s="55"/>
      <c r="P19" s="56"/>
      <c r="Q19" s="54" t="s">
        <v>1041</v>
      </c>
      <c r="R19" s="54" t="s">
        <v>1248</v>
      </c>
      <c r="S19" s="54" t="s">
        <v>63</v>
      </c>
    </row>
    <row r="20" spans="1:19" s="60" customFormat="1" ht="12.75" customHeight="1" x14ac:dyDescent="0.35">
      <c r="A20" s="56"/>
      <c r="B20" s="56"/>
      <c r="C20" s="56"/>
      <c r="D20" s="55"/>
      <c r="E20" s="55"/>
      <c r="F20" s="55"/>
      <c r="G20" s="250" t="s">
        <v>430</v>
      </c>
      <c r="H20" s="250" t="s">
        <v>1245</v>
      </c>
      <c r="I20" s="69"/>
      <c r="J20" s="69"/>
      <c r="K20" s="55" t="s">
        <v>1209</v>
      </c>
      <c r="L20" s="55" t="s">
        <v>1209</v>
      </c>
      <c r="M20" s="55"/>
      <c r="N20" s="55"/>
      <c r="O20" s="55"/>
      <c r="P20" s="56"/>
      <c r="Q20" s="54"/>
      <c r="R20" s="54"/>
      <c r="S20" s="54"/>
    </row>
    <row r="21" spans="1:19" s="60" customFormat="1" ht="12.75" customHeight="1" x14ac:dyDescent="0.35">
      <c r="A21" s="56"/>
      <c r="B21" s="56"/>
      <c r="C21" s="56"/>
      <c r="D21" s="55"/>
      <c r="E21" s="55"/>
      <c r="F21" s="55"/>
      <c r="G21" s="250" t="s">
        <v>1260</v>
      </c>
      <c r="H21" s="250" t="s">
        <v>1242</v>
      </c>
      <c r="I21" s="69"/>
      <c r="J21" s="69"/>
      <c r="K21" s="55" t="s">
        <v>1209</v>
      </c>
      <c r="L21" s="55" t="s">
        <v>1209</v>
      </c>
      <c r="M21" s="55"/>
      <c r="N21" s="55"/>
      <c r="O21" s="55"/>
      <c r="P21" s="56"/>
      <c r="Q21" s="54" t="s">
        <v>1041</v>
      </c>
      <c r="R21" s="54" t="s">
        <v>1248</v>
      </c>
      <c r="S21" s="54" t="s">
        <v>63</v>
      </c>
    </row>
    <row r="22" spans="1:19" s="60" customFormat="1" ht="12.75" customHeight="1" x14ac:dyDescent="0.35">
      <c r="A22" s="56"/>
      <c r="B22" s="56"/>
      <c r="C22" s="56"/>
      <c r="D22" s="55"/>
      <c r="E22" s="55"/>
      <c r="F22" s="55"/>
      <c r="G22" s="250" t="s">
        <v>445</v>
      </c>
      <c r="H22" s="250" t="s">
        <v>446</v>
      </c>
      <c r="I22" s="69"/>
      <c r="J22" s="69"/>
      <c r="K22" s="55" t="s">
        <v>1209</v>
      </c>
      <c r="L22" s="55" t="s">
        <v>1209</v>
      </c>
      <c r="M22" s="55"/>
      <c r="N22" s="55"/>
      <c r="O22" s="55"/>
      <c r="P22" s="56"/>
      <c r="Q22" s="54" t="s">
        <v>1041</v>
      </c>
      <c r="R22" s="54" t="s">
        <v>1248</v>
      </c>
      <c r="S22" s="54" t="s">
        <v>63</v>
      </c>
    </row>
    <row r="23" spans="1:19" s="60" customFormat="1" ht="12.75" customHeight="1" x14ac:dyDescent="0.35">
      <c r="A23" s="56"/>
      <c r="B23" s="56"/>
      <c r="C23" s="56"/>
      <c r="D23" s="55"/>
      <c r="E23" s="55"/>
      <c r="F23" s="55"/>
      <c r="G23" s="250" t="s">
        <v>450</v>
      </c>
      <c r="H23" s="251" t="s">
        <v>451</v>
      </c>
      <c r="I23" s="69"/>
      <c r="J23" s="69"/>
      <c r="K23" s="55" t="s">
        <v>1209</v>
      </c>
      <c r="L23" s="55" t="s">
        <v>1209</v>
      </c>
      <c r="M23" s="55"/>
      <c r="N23" s="55"/>
      <c r="O23" s="55"/>
      <c r="P23" s="56"/>
      <c r="Q23" s="54" t="s">
        <v>1041</v>
      </c>
      <c r="R23" s="54" t="s">
        <v>1248</v>
      </c>
      <c r="S23" s="54" t="s">
        <v>63</v>
      </c>
    </row>
    <row r="24" spans="1:19" s="60" customFormat="1" ht="12.75" customHeight="1" x14ac:dyDescent="0.35">
      <c r="A24" s="56"/>
      <c r="B24" s="56"/>
      <c r="C24" s="56"/>
      <c r="D24" s="55"/>
      <c r="E24" s="55"/>
      <c r="F24" s="55"/>
      <c r="G24" s="250" t="s">
        <v>1259</v>
      </c>
      <c r="H24" s="250" t="s">
        <v>1243</v>
      </c>
      <c r="I24" s="69"/>
      <c r="J24" s="69"/>
      <c r="K24" s="55" t="s">
        <v>1209</v>
      </c>
      <c r="L24" s="55" t="s">
        <v>1209</v>
      </c>
      <c r="M24" s="55"/>
      <c r="N24" s="55"/>
      <c r="O24" s="55"/>
      <c r="P24" s="56"/>
      <c r="Q24" s="54" t="s">
        <v>1041</v>
      </c>
      <c r="R24" s="54" t="s">
        <v>1248</v>
      </c>
      <c r="S24" s="54" t="s">
        <v>63</v>
      </c>
    </row>
    <row r="25" spans="1:19" s="60" customFormat="1" ht="12.75" customHeight="1" x14ac:dyDescent="0.35">
      <c r="A25" s="62"/>
      <c r="B25" s="56"/>
      <c r="C25" s="62"/>
      <c r="D25" s="55"/>
      <c r="E25" s="55"/>
      <c r="F25" s="55"/>
      <c r="G25" s="250" t="s">
        <v>432</v>
      </c>
      <c r="H25" s="251" t="s">
        <v>433</v>
      </c>
      <c r="I25" s="69"/>
      <c r="J25" s="69"/>
      <c r="K25" s="55" t="s">
        <v>1209</v>
      </c>
      <c r="L25" s="55" t="s">
        <v>1209</v>
      </c>
      <c r="M25" s="55"/>
      <c r="N25" s="55"/>
      <c r="O25" s="55"/>
      <c r="P25" s="62"/>
      <c r="Q25" s="54" t="s">
        <v>1041</v>
      </c>
      <c r="R25" s="54" t="s">
        <v>1248</v>
      </c>
      <c r="S25" s="54" t="s">
        <v>63</v>
      </c>
    </row>
    <row r="26" spans="1:19" s="60" customFormat="1" ht="12.75" customHeight="1" x14ac:dyDescent="0.35">
      <c r="A26" s="62"/>
      <c r="B26" s="56"/>
      <c r="C26" s="62"/>
      <c r="D26" s="55"/>
      <c r="E26" s="55"/>
      <c r="F26" s="55"/>
      <c r="G26" s="250" t="s">
        <v>1257</v>
      </c>
      <c r="H26" s="250" t="s">
        <v>1244</v>
      </c>
      <c r="I26" s="69"/>
      <c r="J26" s="69"/>
      <c r="K26" s="55" t="s">
        <v>1209</v>
      </c>
      <c r="L26" s="55" t="s">
        <v>1209</v>
      </c>
      <c r="M26" s="55"/>
      <c r="N26" s="55"/>
      <c r="O26" s="55"/>
      <c r="P26" s="62"/>
      <c r="Q26" s="54" t="s">
        <v>1041</v>
      </c>
      <c r="R26" s="54" t="s">
        <v>1248</v>
      </c>
      <c r="S26" s="54" t="s">
        <v>63</v>
      </c>
    </row>
    <row r="27" spans="1:19" s="63" customFormat="1" ht="12.75" customHeight="1" x14ac:dyDescent="0.35">
      <c r="A27" s="62"/>
      <c r="B27" s="56"/>
      <c r="C27" s="62"/>
      <c r="D27" s="55"/>
      <c r="E27" s="55"/>
      <c r="F27" s="55"/>
      <c r="G27" s="230" t="s">
        <v>1177</v>
      </c>
      <c r="H27" s="230" t="s">
        <v>455</v>
      </c>
      <c r="I27" s="69"/>
      <c r="J27" s="69"/>
      <c r="K27" s="55" t="s">
        <v>1209</v>
      </c>
      <c r="L27" s="55" t="s">
        <v>1209</v>
      </c>
      <c r="M27" s="55"/>
      <c r="N27" s="55"/>
      <c r="O27" s="55"/>
      <c r="P27" s="62"/>
      <c r="Q27" s="54" t="s">
        <v>1041</v>
      </c>
      <c r="R27" s="54" t="s">
        <v>1248</v>
      </c>
      <c r="S27" s="54" t="s">
        <v>63</v>
      </c>
    </row>
    <row r="28" spans="1:19" s="63" customFormat="1" ht="12.75" customHeight="1" x14ac:dyDescent="0.35">
      <c r="A28" s="56"/>
      <c r="B28" s="56"/>
      <c r="C28" s="56"/>
      <c r="D28" s="55"/>
      <c r="E28" s="55"/>
      <c r="F28" s="55"/>
      <c r="G28" s="230" t="s">
        <v>1179</v>
      </c>
      <c r="H28" s="69" t="s">
        <v>592</v>
      </c>
      <c r="I28" s="69"/>
      <c r="J28" s="69"/>
      <c r="K28" s="55" t="s">
        <v>1209</v>
      </c>
      <c r="L28" s="55" t="s">
        <v>1209</v>
      </c>
      <c r="M28" s="55"/>
      <c r="N28" s="55"/>
      <c r="O28" s="55"/>
      <c r="P28" s="56"/>
      <c r="Q28" s="54" t="s">
        <v>1041</v>
      </c>
      <c r="R28" s="54" t="s">
        <v>1248</v>
      </c>
      <c r="S28" s="54" t="s">
        <v>63</v>
      </c>
    </row>
    <row r="29" spans="1:19" s="63" customFormat="1" ht="12.75" customHeight="1" x14ac:dyDescent="0.35">
      <c r="A29" s="56"/>
      <c r="B29" s="56"/>
      <c r="C29" s="56"/>
      <c r="D29" s="55"/>
      <c r="E29" s="55"/>
      <c r="F29" s="55"/>
      <c r="G29" s="230" t="s">
        <v>538</v>
      </c>
      <c r="H29" s="69" t="s">
        <v>539</v>
      </c>
      <c r="I29" s="69"/>
      <c r="J29" s="69"/>
      <c r="K29" s="55" t="s">
        <v>1209</v>
      </c>
      <c r="L29" s="55" t="s">
        <v>1209</v>
      </c>
      <c r="M29" s="55"/>
      <c r="N29" s="55"/>
      <c r="O29" s="55"/>
      <c r="P29" s="56"/>
      <c r="Q29" s="54" t="s">
        <v>1041</v>
      </c>
      <c r="R29" s="54" t="s">
        <v>1248</v>
      </c>
      <c r="S29" s="54" t="s">
        <v>63</v>
      </c>
    </row>
    <row r="30" spans="1:19" ht="14" x14ac:dyDescent="0.35">
      <c r="A30" s="56"/>
      <c r="B30" s="56"/>
      <c r="C30" s="56"/>
      <c r="D30" s="55"/>
      <c r="E30" s="55"/>
      <c r="F30" s="55"/>
      <c r="G30" s="250" t="s">
        <v>1307</v>
      </c>
      <c r="H30" s="250" t="s">
        <v>466</v>
      </c>
      <c r="I30" s="69"/>
      <c r="J30" s="69"/>
      <c r="K30" s="55" t="s">
        <v>1209</v>
      </c>
      <c r="L30" s="55" t="s">
        <v>1209</v>
      </c>
      <c r="M30" s="55"/>
      <c r="N30" s="55"/>
      <c r="O30" s="55"/>
      <c r="P30" s="56"/>
      <c r="Q30" s="54" t="s">
        <v>1041</v>
      </c>
      <c r="R30" s="54" t="s">
        <v>1248</v>
      </c>
      <c r="S30" s="54" t="s">
        <v>63</v>
      </c>
    </row>
    <row r="31" spans="1:19" ht="14" x14ac:dyDescent="0.35">
      <c r="A31" s="56"/>
      <c r="B31" s="56"/>
      <c r="C31" s="56"/>
      <c r="D31" s="55"/>
      <c r="E31" s="55"/>
      <c r="F31" s="55"/>
      <c r="G31" s="69"/>
      <c r="H31" s="69"/>
      <c r="I31" s="69"/>
      <c r="J31" s="69"/>
      <c r="K31" s="55"/>
      <c r="L31" s="55"/>
      <c r="M31" s="55"/>
      <c r="N31" s="55"/>
      <c r="O31" s="55"/>
      <c r="P31" s="56"/>
      <c r="Q31" s="54"/>
      <c r="R31" s="54"/>
      <c r="S31" s="53"/>
    </row>
    <row r="32" spans="1:19" ht="14" x14ac:dyDescent="0.35">
      <c r="A32" s="56"/>
      <c r="B32" s="56"/>
      <c r="C32" s="56"/>
      <c r="D32" s="55"/>
      <c r="E32" s="55"/>
      <c r="F32" s="55"/>
      <c r="G32" s="69"/>
      <c r="H32" s="69"/>
      <c r="I32" s="69"/>
      <c r="J32" s="69"/>
      <c r="K32" s="55"/>
      <c r="L32" s="55"/>
      <c r="M32" s="55"/>
      <c r="N32" s="55"/>
      <c r="O32" s="55"/>
      <c r="P32" s="56"/>
      <c r="Q32" s="54"/>
      <c r="R32" s="54"/>
      <c r="S32" s="53"/>
    </row>
    <row r="33" spans="1:19" ht="14" x14ac:dyDescent="0.35">
      <c r="A33" s="56"/>
      <c r="B33" s="56"/>
      <c r="C33" s="56"/>
      <c r="D33" s="55"/>
      <c r="E33" s="55"/>
      <c r="F33" s="55"/>
      <c r="G33" s="69"/>
      <c r="H33" s="69"/>
      <c r="I33" s="69"/>
      <c r="J33" s="69"/>
      <c r="K33" s="55"/>
      <c r="L33" s="55"/>
      <c r="M33" s="55"/>
      <c r="N33" s="55"/>
      <c r="O33" s="55"/>
      <c r="P33" s="56"/>
      <c r="Q33" s="54"/>
      <c r="R33" s="54"/>
      <c r="S33" s="53"/>
    </row>
    <row r="34" spans="1:19" ht="14" x14ac:dyDescent="0.35">
      <c r="A34" s="56"/>
      <c r="B34" s="56"/>
      <c r="C34" s="56"/>
      <c r="D34" s="55"/>
      <c r="E34" s="55"/>
      <c r="F34" s="55"/>
      <c r="G34" s="69"/>
      <c r="H34" s="69"/>
      <c r="I34" s="69"/>
      <c r="J34" s="69"/>
      <c r="K34" s="55"/>
      <c r="L34" s="55"/>
      <c r="M34" s="55"/>
      <c r="N34" s="55"/>
      <c r="O34" s="55"/>
      <c r="P34" s="56"/>
      <c r="Q34" s="54"/>
      <c r="R34" s="54"/>
      <c r="S34" s="53"/>
    </row>
    <row r="35" spans="1:19" ht="14" x14ac:dyDescent="0.35">
      <c r="B35" s="56"/>
      <c r="D35" s="55"/>
      <c r="E35" s="55"/>
      <c r="F35" s="55"/>
      <c r="G35" s="69"/>
      <c r="H35" s="69"/>
      <c r="I35" s="69"/>
      <c r="J35" s="69"/>
      <c r="K35" s="55"/>
      <c r="L35" s="55"/>
      <c r="M35" s="55"/>
      <c r="N35" s="55"/>
      <c r="O35" s="55"/>
      <c r="Q35" s="54"/>
      <c r="R35" s="54"/>
      <c r="S35" s="53"/>
    </row>
    <row r="36" spans="1:19" ht="14" x14ac:dyDescent="0.35">
      <c r="B36" s="56"/>
      <c r="D36" s="55"/>
      <c r="E36" s="55"/>
      <c r="F36" s="55"/>
      <c r="G36" s="69"/>
      <c r="H36" s="69"/>
      <c r="I36" s="69"/>
      <c r="J36" s="69"/>
      <c r="K36" s="55"/>
      <c r="L36" s="55"/>
      <c r="M36" s="55"/>
      <c r="N36" s="55"/>
      <c r="O36" s="55"/>
      <c r="Q36" s="54"/>
      <c r="R36" s="54"/>
      <c r="S36" s="53"/>
    </row>
    <row r="37" spans="1:19" ht="14" x14ac:dyDescent="0.35">
      <c r="B37" s="56"/>
      <c r="D37" s="55"/>
      <c r="E37" s="55"/>
      <c r="F37" s="55"/>
      <c r="G37" s="69"/>
      <c r="H37" s="69"/>
      <c r="I37" s="69"/>
      <c r="J37" s="69"/>
      <c r="K37" s="55"/>
      <c r="L37" s="55"/>
      <c r="M37" s="55"/>
      <c r="N37" s="55"/>
      <c r="O37" s="55"/>
      <c r="Q37" s="54"/>
      <c r="R37" s="54"/>
      <c r="S37" s="53"/>
    </row>
    <row r="38" spans="1:19" ht="14" x14ac:dyDescent="0.35">
      <c r="B38" s="56"/>
      <c r="D38" s="55"/>
      <c r="E38" s="55"/>
      <c r="F38" s="55"/>
      <c r="G38" s="69"/>
      <c r="H38" s="69"/>
      <c r="I38" s="69"/>
      <c r="J38" s="69"/>
      <c r="K38" s="55"/>
      <c r="L38" s="55"/>
      <c r="M38" s="55"/>
      <c r="N38" s="55"/>
      <c r="O38" s="55"/>
      <c r="Q38" s="54"/>
      <c r="R38" s="54"/>
      <c r="S38" s="53"/>
    </row>
    <row r="39" spans="1:19" ht="14" x14ac:dyDescent="0.35">
      <c r="B39" s="56"/>
      <c r="D39" s="55"/>
      <c r="E39" s="55"/>
      <c r="F39" s="55"/>
      <c r="G39" s="69"/>
      <c r="H39" s="69"/>
      <c r="I39" s="69"/>
      <c r="J39" s="69"/>
      <c r="K39" s="55"/>
      <c r="L39" s="55"/>
      <c r="M39" s="55"/>
      <c r="N39" s="55"/>
      <c r="O39" s="55"/>
      <c r="Q39" s="54"/>
      <c r="R39" s="54"/>
      <c r="S39" s="53"/>
    </row>
    <row r="40" spans="1:19" ht="14" x14ac:dyDescent="0.35">
      <c r="B40" s="56"/>
      <c r="D40" s="55"/>
      <c r="E40" s="55"/>
      <c r="F40" s="55"/>
      <c r="G40" s="69"/>
      <c r="H40" s="69"/>
      <c r="I40" s="69"/>
      <c r="J40" s="69"/>
      <c r="K40" s="55"/>
      <c r="L40" s="55"/>
      <c r="M40" s="55"/>
      <c r="N40" s="55"/>
      <c r="O40" s="55"/>
      <c r="Q40" s="54"/>
      <c r="R40" s="54"/>
      <c r="S40" s="53"/>
    </row>
    <row r="41" spans="1:19" ht="14" x14ac:dyDescent="0.35">
      <c r="B41" s="56"/>
      <c r="D41" s="55"/>
      <c r="E41" s="55"/>
      <c r="F41" s="55"/>
      <c r="G41" s="69"/>
      <c r="H41" s="69"/>
      <c r="I41" s="69"/>
      <c r="J41" s="69"/>
      <c r="K41" s="55"/>
      <c r="L41" s="55"/>
      <c r="M41" s="55"/>
      <c r="N41" s="55"/>
      <c r="O41" s="55"/>
      <c r="Q41" s="54"/>
      <c r="R41" s="54"/>
      <c r="S41" s="53"/>
    </row>
    <row r="42" spans="1:19" ht="14" x14ac:dyDescent="0.35">
      <c r="B42" s="56"/>
      <c r="D42" s="55"/>
      <c r="E42" s="55"/>
      <c r="F42" s="55"/>
      <c r="G42" s="69"/>
      <c r="H42" s="69"/>
      <c r="I42" s="69"/>
      <c r="J42" s="69"/>
      <c r="K42" s="55"/>
      <c r="L42" s="55"/>
      <c r="M42" s="55"/>
      <c r="N42" s="55"/>
      <c r="O42" s="55"/>
      <c r="Q42" s="54"/>
      <c r="R42" s="54"/>
      <c r="S42" s="53"/>
    </row>
    <row r="43" spans="1:19" ht="14" x14ac:dyDescent="0.35">
      <c r="B43" s="56"/>
      <c r="D43" s="55"/>
      <c r="E43" s="55"/>
      <c r="F43" s="55"/>
      <c r="G43" s="69"/>
      <c r="H43" s="69"/>
      <c r="I43" s="69"/>
      <c r="J43" s="69"/>
      <c r="K43" s="55"/>
      <c r="L43" s="55"/>
      <c r="M43" s="55"/>
      <c r="N43" s="55"/>
      <c r="O43" s="55"/>
      <c r="Q43" s="54"/>
      <c r="R43" s="54"/>
      <c r="S43" s="53"/>
    </row>
    <row r="44" spans="1:19" ht="14" x14ac:dyDescent="0.35">
      <c r="B44" s="56"/>
      <c r="D44" s="55"/>
      <c r="E44" s="55"/>
      <c r="F44" s="55"/>
      <c r="G44" s="69"/>
      <c r="H44" s="69"/>
      <c r="I44" s="69"/>
      <c r="J44" s="69"/>
      <c r="K44" s="55"/>
      <c r="L44" s="55"/>
      <c r="M44" s="55"/>
      <c r="N44" s="55"/>
      <c r="O44" s="55"/>
      <c r="Q44" s="54"/>
      <c r="R44" s="54"/>
      <c r="S44" s="53"/>
    </row>
    <row r="45" spans="1:19" ht="14" x14ac:dyDescent="0.35">
      <c r="B45" s="56"/>
      <c r="D45" s="55"/>
      <c r="E45" s="55"/>
      <c r="F45" s="55"/>
      <c r="G45" s="69"/>
      <c r="H45" s="69"/>
      <c r="I45" s="69"/>
      <c r="J45" s="69"/>
      <c r="K45" s="55"/>
      <c r="L45" s="55"/>
      <c r="M45" s="55"/>
      <c r="N45" s="55"/>
      <c r="O45" s="55"/>
      <c r="Q45" s="54"/>
      <c r="R45" s="54"/>
      <c r="S45" s="53"/>
    </row>
    <row r="46" spans="1:19" ht="14" x14ac:dyDescent="0.35">
      <c r="B46" s="56"/>
      <c r="D46" s="55"/>
      <c r="E46" s="55"/>
      <c r="F46" s="55"/>
      <c r="G46" s="69"/>
      <c r="H46" s="69"/>
      <c r="I46" s="69"/>
      <c r="J46" s="69"/>
      <c r="K46" s="55"/>
      <c r="L46" s="55"/>
      <c r="M46" s="55"/>
      <c r="N46" s="55"/>
      <c r="O46" s="55"/>
      <c r="Q46" s="54"/>
      <c r="R46" s="54"/>
      <c r="S46" s="53"/>
    </row>
    <row r="47" spans="1:19" ht="14" x14ac:dyDescent="0.35">
      <c r="B47" s="56"/>
      <c r="D47" s="55"/>
      <c r="E47" s="55"/>
      <c r="F47" s="55"/>
      <c r="G47" s="69"/>
      <c r="H47" s="69"/>
      <c r="I47" s="69"/>
      <c r="J47" s="69"/>
      <c r="K47" s="55"/>
      <c r="L47" s="55"/>
      <c r="M47" s="55"/>
      <c r="N47" s="55"/>
      <c r="O47" s="55"/>
      <c r="Q47" s="54"/>
      <c r="R47" s="54"/>
      <c r="S47" s="53"/>
    </row>
    <row r="48" spans="1:19" ht="14" x14ac:dyDescent="0.35">
      <c r="B48" s="56"/>
      <c r="D48" s="55"/>
      <c r="E48" s="55"/>
      <c r="F48" s="55"/>
      <c r="G48" s="69"/>
      <c r="H48" s="69"/>
      <c r="I48" s="69"/>
      <c r="J48" s="69"/>
      <c r="K48" s="55"/>
      <c r="L48" s="55"/>
      <c r="M48" s="55"/>
      <c r="N48" s="55"/>
      <c r="O48" s="55"/>
      <c r="Q48" s="54"/>
      <c r="R48" s="54"/>
      <c r="S48" s="53"/>
    </row>
    <row r="49" spans="2:19" ht="14" x14ac:dyDescent="0.35">
      <c r="B49" s="56"/>
      <c r="D49" s="55"/>
      <c r="E49" s="55"/>
      <c r="F49" s="55"/>
      <c r="G49" s="69"/>
      <c r="H49" s="69"/>
      <c r="I49" s="69"/>
      <c r="J49" s="69"/>
      <c r="K49" s="55"/>
      <c r="L49" s="55"/>
      <c r="M49" s="55"/>
      <c r="N49" s="55"/>
      <c r="O49" s="55"/>
      <c r="Q49" s="54"/>
      <c r="R49" s="54"/>
      <c r="S49" s="53"/>
    </row>
    <row r="50" spans="2:19" ht="14" x14ac:dyDescent="0.35">
      <c r="B50" s="56"/>
      <c r="D50" s="55"/>
      <c r="E50" s="55"/>
      <c r="F50" s="55"/>
      <c r="G50" s="69"/>
      <c r="H50" s="69"/>
      <c r="I50" s="69"/>
      <c r="J50" s="69"/>
      <c r="K50" s="55"/>
      <c r="L50" s="55"/>
      <c r="M50" s="55"/>
      <c r="N50" s="55"/>
      <c r="O50" s="55"/>
      <c r="Q50" s="54"/>
      <c r="R50" s="54"/>
      <c r="S50" s="53"/>
    </row>
    <row r="51" spans="2:19" ht="14" x14ac:dyDescent="0.35">
      <c r="B51" s="56"/>
      <c r="D51" s="55"/>
      <c r="E51" s="55"/>
      <c r="F51" s="55"/>
      <c r="G51" s="69"/>
      <c r="H51" s="69"/>
      <c r="I51" s="69"/>
      <c r="J51" s="69"/>
      <c r="K51" s="55"/>
      <c r="L51" s="55"/>
      <c r="M51" s="55"/>
      <c r="N51" s="55"/>
      <c r="O51" s="55"/>
      <c r="Q51" s="54"/>
      <c r="R51" s="54"/>
      <c r="S51" s="53"/>
    </row>
    <row r="52" spans="2:19" ht="14" x14ac:dyDescent="0.35">
      <c r="B52" s="56"/>
      <c r="D52" s="55"/>
      <c r="E52" s="55"/>
      <c r="F52" s="55"/>
      <c r="G52" s="69"/>
      <c r="H52" s="69"/>
      <c r="I52" s="69"/>
      <c r="J52" s="69"/>
      <c r="K52" s="55"/>
      <c r="L52" s="55"/>
      <c r="M52" s="55"/>
      <c r="N52" s="55"/>
      <c r="O52" s="55"/>
      <c r="Q52" s="54"/>
      <c r="R52" s="54"/>
      <c r="S52" s="53"/>
    </row>
    <row r="53" spans="2:19" ht="14" x14ac:dyDescent="0.35">
      <c r="B53" s="56"/>
      <c r="D53" s="55"/>
      <c r="E53" s="55"/>
      <c r="F53" s="55"/>
      <c r="G53" s="69"/>
      <c r="H53" s="69"/>
      <c r="I53" s="69"/>
      <c r="J53" s="69"/>
      <c r="K53" s="55"/>
      <c r="L53" s="55"/>
      <c r="M53" s="55"/>
      <c r="N53" s="55"/>
      <c r="O53" s="55"/>
      <c r="Q53" s="54"/>
      <c r="R53" s="54"/>
      <c r="S53" s="53"/>
    </row>
    <row r="54" spans="2:19" ht="14" x14ac:dyDescent="0.35">
      <c r="B54" s="56"/>
      <c r="D54" s="55"/>
      <c r="E54" s="55"/>
      <c r="F54" s="55"/>
      <c r="G54" s="69"/>
      <c r="H54" s="69"/>
      <c r="I54" s="69"/>
      <c r="J54" s="69"/>
      <c r="K54" s="55"/>
      <c r="L54" s="55"/>
      <c r="M54" s="55"/>
      <c r="N54" s="55"/>
      <c r="O54" s="55"/>
      <c r="Q54" s="54"/>
      <c r="R54" s="54"/>
      <c r="S54" s="53"/>
    </row>
    <row r="55" spans="2:19" ht="14" x14ac:dyDescent="0.35">
      <c r="B55" s="56"/>
      <c r="D55" s="55"/>
      <c r="E55" s="55"/>
      <c r="F55" s="55"/>
      <c r="G55" s="69"/>
      <c r="H55" s="69"/>
      <c r="I55" s="69"/>
      <c r="J55" s="69"/>
      <c r="K55" s="55"/>
      <c r="L55" s="55"/>
      <c r="M55" s="55"/>
      <c r="N55" s="55"/>
      <c r="O55" s="55"/>
      <c r="Q55" s="54"/>
      <c r="R55" s="54"/>
      <c r="S55" s="53"/>
    </row>
    <row r="56" spans="2:19" ht="14" x14ac:dyDescent="0.35">
      <c r="B56" s="56"/>
      <c r="D56" s="55"/>
      <c r="E56" s="55"/>
      <c r="F56" s="55"/>
      <c r="G56" s="69"/>
      <c r="H56" s="69"/>
      <c r="I56" s="69"/>
      <c r="J56" s="69"/>
      <c r="K56" s="55"/>
      <c r="L56" s="55"/>
      <c r="M56" s="55"/>
      <c r="N56" s="55"/>
      <c r="O56" s="55"/>
      <c r="Q56" s="54"/>
      <c r="R56" s="54"/>
      <c r="S56" s="53"/>
    </row>
    <row r="57" spans="2:19" ht="14" x14ac:dyDescent="0.35">
      <c r="B57" s="56"/>
      <c r="D57" s="55"/>
      <c r="E57" s="55"/>
      <c r="F57" s="55"/>
      <c r="G57" s="69"/>
      <c r="H57" s="69"/>
      <c r="I57" s="69"/>
      <c r="J57" s="69"/>
      <c r="K57" s="55"/>
      <c r="L57" s="55"/>
      <c r="M57" s="55"/>
      <c r="N57" s="55"/>
      <c r="O57" s="55"/>
      <c r="Q57" s="54"/>
      <c r="R57" s="54"/>
      <c r="S57" s="53"/>
    </row>
    <row r="58" spans="2:19" ht="14" x14ac:dyDescent="0.35">
      <c r="B58" s="56"/>
      <c r="D58" s="55"/>
      <c r="E58" s="55"/>
      <c r="F58" s="55"/>
      <c r="G58" s="69"/>
      <c r="H58" s="69"/>
      <c r="I58" s="69"/>
      <c r="J58" s="69"/>
      <c r="K58" s="55"/>
      <c r="L58" s="55"/>
      <c r="M58" s="55"/>
      <c r="N58" s="55"/>
      <c r="O58" s="55"/>
      <c r="Q58" s="54"/>
      <c r="R58" s="54"/>
      <c r="S58" s="53"/>
    </row>
  </sheetData>
  <dataValidations count="2">
    <dataValidation type="list" allowBlank="1" sqref="G30 G8:G29" xr:uid="{62EAD2B8-EDAA-4B9F-A1C0-1A972A3B4D23}">
      <formula1>Beschreibung</formula1>
    </dataValidation>
    <dataValidation type="list" allowBlank="1" sqref="Q7:Q2001" xr:uid="{00000000-0002-0000-0600-000000000000}">
      <formula1>Status</formula1>
    </dataValidation>
  </dataValidation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 &amp;K000000 C2 - Intern&amp;CStrukturvorlage&amp;R&amp;D -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56"/>
  <sheetViews>
    <sheetView showGridLines="0" zoomScaleNormal="100" workbookViewId="0">
      <selection activeCell="Q7" sqref="Q7:R7"/>
    </sheetView>
  </sheetViews>
  <sheetFormatPr baseColWidth="10" defaultColWidth="11.453125" defaultRowHeight="14" outlineLevelCol="1" x14ac:dyDescent="0.3"/>
  <cols>
    <col min="1" max="1" width="5.54296875" style="36" bestFit="1" customWidth="1"/>
    <col min="2" max="2" width="24.1796875" style="36" bestFit="1" customWidth="1"/>
    <col min="3" max="3" width="3.26953125" style="36" bestFit="1" customWidth="1"/>
    <col min="4" max="6" width="25.7265625" style="178" customWidth="1"/>
    <col min="7" max="7" width="31.81640625" style="179" bestFit="1" customWidth="1"/>
    <col min="8" max="8" width="24.26953125" style="179" customWidth="1"/>
    <col min="9" max="9" width="3.54296875" style="179" bestFit="1" customWidth="1"/>
    <col min="10" max="10" width="3.08984375" style="30" bestFit="1" customWidth="1"/>
    <col min="11" max="11" width="12.26953125" style="30" customWidth="1"/>
    <col min="12" max="12" width="11.453125" style="36" customWidth="1"/>
    <col min="13" max="13" width="10.26953125" style="101" bestFit="1" customWidth="1"/>
    <col min="14" max="14" width="13.453125" style="70" bestFit="1" customWidth="1" outlineLevel="1"/>
    <col min="15" max="15" width="3.26953125" style="70" bestFit="1" customWidth="1" outlineLevel="1"/>
    <col min="16" max="16" width="11.26953125" style="70" customWidth="1" outlineLevel="1"/>
    <col min="17" max="26" width="11.453125" style="36" customWidth="1"/>
    <col min="27" max="16384" width="11.453125" style="36"/>
  </cols>
  <sheetData>
    <row r="1" spans="1:18" s="191" customFormat="1" ht="120" customHeight="1" x14ac:dyDescent="0.35">
      <c r="A1" s="92" t="s">
        <v>0</v>
      </c>
      <c r="B1" s="90" t="s">
        <v>1</v>
      </c>
      <c r="C1" s="91" t="s">
        <v>955</v>
      </c>
      <c r="D1" s="90" t="s">
        <v>3</v>
      </c>
      <c r="E1" s="90" t="s">
        <v>956</v>
      </c>
      <c r="F1" s="90" t="s">
        <v>957</v>
      </c>
      <c r="G1" s="90" t="s">
        <v>958</v>
      </c>
      <c r="H1" s="90" t="s">
        <v>11</v>
      </c>
      <c r="I1" s="90" t="s">
        <v>12</v>
      </c>
      <c r="J1" s="90" t="s">
        <v>13</v>
      </c>
      <c r="K1" s="90" t="s">
        <v>959</v>
      </c>
      <c r="L1" s="90" t="s">
        <v>960</v>
      </c>
      <c r="M1" s="90" t="s">
        <v>775</v>
      </c>
      <c r="N1" s="90" t="s">
        <v>961</v>
      </c>
      <c r="O1" s="93" t="s">
        <v>30</v>
      </c>
      <c r="P1" s="90" t="s">
        <v>31</v>
      </c>
      <c r="Q1" s="90" t="s">
        <v>32</v>
      </c>
      <c r="R1" s="90" t="s">
        <v>33</v>
      </c>
    </row>
    <row r="2" spans="1:18" s="116" customFormat="1" ht="15" customHeight="1" x14ac:dyDescent="0.35">
      <c r="A2" s="49"/>
      <c r="B2" s="111" t="s">
        <v>34</v>
      </c>
      <c r="C2" s="49"/>
      <c r="D2" s="66"/>
      <c r="E2" s="67"/>
      <c r="F2" s="67"/>
      <c r="G2" s="67"/>
      <c r="H2" s="67"/>
      <c r="I2" s="67"/>
      <c r="J2" s="66"/>
      <c r="K2" s="66"/>
      <c r="L2" s="66"/>
      <c r="M2" s="66"/>
      <c r="N2" s="66"/>
      <c r="P2" s="67"/>
      <c r="Q2" s="66"/>
      <c r="R2" s="67"/>
    </row>
    <row r="3" spans="1:18" s="89" customFormat="1" ht="15" customHeight="1" x14ac:dyDescent="0.35">
      <c r="A3" s="49"/>
      <c r="B3" s="111" t="s">
        <v>36</v>
      </c>
      <c r="C3" s="49"/>
      <c r="D3" s="66"/>
      <c r="E3" s="67"/>
      <c r="F3" s="67"/>
      <c r="G3" s="67"/>
      <c r="H3" s="67"/>
      <c r="I3" s="67"/>
      <c r="J3" s="66"/>
      <c r="K3" s="66"/>
      <c r="L3" s="66"/>
      <c r="M3" s="66"/>
      <c r="N3" s="66"/>
      <c r="P3" s="67"/>
      <c r="Q3" s="66"/>
      <c r="R3" s="67"/>
    </row>
    <row r="4" spans="1:18" s="30" customFormat="1" ht="15" customHeight="1" x14ac:dyDescent="0.35">
      <c r="A4" s="49"/>
      <c r="B4" s="111" t="s">
        <v>37</v>
      </c>
      <c r="C4" s="49"/>
      <c r="D4" s="66" t="s">
        <v>38</v>
      </c>
      <c r="E4" s="67" t="s">
        <v>38</v>
      </c>
      <c r="F4" s="67" t="s">
        <v>38</v>
      </c>
      <c r="G4" s="67" t="s">
        <v>42</v>
      </c>
      <c r="H4" s="67" t="s">
        <v>39</v>
      </c>
      <c r="I4" s="67" t="s">
        <v>40</v>
      </c>
      <c r="J4" s="66" t="s">
        <v>41</v>
      </c>
      <c r="K4" s="66" t="s">
        <v>38</v>
      </c>
      <c r="L4" s="66" t="s">
        <v>38</v>
      </c>
      <c r="M4" s="66" t="s">
        <v>38</v>
      </c>
      <c r="N4" s="66" t="s">
        <v>38</v>
      </c>
      <c r="P4" s="66" t="s">
        <v>38</v>
      </c>
      <c r="Q4" s="66" t="s">
        <v>38</v>
      </c>
      <c r="R4" s="66" t="s">
        <v>38</v>
      </c>
    </row>
    <row r="5" spans="1:18" s="30" customFormat="1" ht="15" customHeight="1" x14ac:dyDescent="0.35">
      <c r="A5" s="49"/>
      <c r="B5" s="111" t="s">
        <v>43</v>
      </c>
      <c r="C5" s="49"/>
      <c r="D5" s="66"/>
      <c r="E5" s="67" t="s">
        <v>45</v>
      </c>
      <c r="F5" s="67"/>
      <c r="G5" s="67" t="s">
        <v>44</v>
      </c>
      <c r="H5" s="67"/>
      <c r="I5" s="67"/>
      <c r="J5" s="66"/>
      <c r="K5" s="66"/>
      <c r="L5" s="66"/>
      <c r="M5" s="66" t="s">
        <v>44</v>
      </c>
      <c r="N5" s="66" t="s">
        <v>44</v>
      </c>
      <c r="P5" s="66" t="s">
        <v>44</v>
      </c>
      <c r="Q5" s="66" t="s">
        <v>44</v>
      </c>
      <c r="R5" s="66" t="s">
        <v>44</v>
      </c>
    </row>
    <row r="6" spans="1:18" s="30" customFormat="1" ht="15" customHeight="1" x14ac:dyDescent="0.35">
      <c r="A6" s="49"/>
      <c r="B6" s="111" t="s">
        <v>46</v>
      </c>
      <c r="C6" s="49"/>
      <c r="D6" s="66"/>
      <c r="E6" s="67"/>
      <c r="F6" s="67"/>
      <c r="G6" s="67"/>
      <c r="H6" s="67"/>
      <c r="I6" s="67"/>
      <c r="J6" s="66"/>
      <c r="K6" s="66" t="s">
        <v>962</v>
      </c>
      <c r="L6" s="66" t="s">
        <v>963</v>
      </c>
      <c r="M6" s="66"/>
      <c r="N6" s="66"/>
      <c r="P6" s="67" t="s">
        <v>53</v>
      </c>
      <c r="Q6" s="110"/>
      <c r="R6" s="67"/>
    </row>
    <row r="7" spans="1:18" s="179" customFormat="1" ht="56.25" customHeight="1" x14ac:dyDescent="0.35">
      <c r="D7" s="85"/>
      <c r="E7" s="195"/>
      <c r="F7" s="195"/>
      <c r="G7" s="75" t="s">
        <v>1249</v>
      </c>
      <c r="H7" s="75" t="s">
        <v>1250</v>
      </c>
      <c r="I7" s="42"/>
      <c r="J7" s="42"/>
      <c r="K7" s="75" t="s">
        <v>964</v>
      </c>
      <c r="L7" s="75" t="s">
        <v>1042</v>
      </c>
      <c r="M7" s="75">
        <v>2003</v>
      </c>
      <c r="N7" s="75" t="s">
        <v>1251</v>
      </c>
      <c r="P7" s="54" t="s">
        <v>61</v>
      </c>
      <c r="Q7" s="54" t="s">
        <v>1248</v>
      </c>
      <c r="R7" s="54" t="s">
        <v>63</v>
      </c>
    </row>
    <row r="8" spans="1:18" s="176" customFormat="1" ht="25.5" customHeight="1" x14ac:dyDescent="0.3">
      <c r="D8" s="85"/>
      <c r="E8" s="189"/>
      <c r="F8" s="189"/>
      <c r="G8" s="42"/>
      <c r="I8" s="42"/>
      <c r="J8" s="42"/>
      <c r="K8" s="42"/>
      <c r="L8" s="42"/>
      <c r="M8" s="39"/>
      <c r="N8" s="190"/>
      <c r="O8" s="100"/>
      <c r="P8" s="54"/>
      <c r="Q8" s="54"/>
      <c r="R8" s="54"/>
    </row>
    <row r="9" spans="1:18" s="177" customFormat="1" x14ac:dyDescent="0.35">
      <c r="D9" s="85"/>
      <c r="E9" s="85"/>
      <c r="F9" s="85"/>
      <c r="G9" s="42"/>
      <c r="H9" s="42"/>
      <c r="I9" s="42"/>
      <c r="J9" s="42"/>
      <c r="K9" s="42"/>
      <c r="L9" s="42"/>
      <c r="M9" s="39"/>
      <c r="N9" s="190"/>
      <c r="O9" s="100"/>
      <c r="P9" s="54"/>
      <c r="Q9" s="54"/>
      <c r="R9" s="54"/>
    </row>
    <row r="10" spans="1:18" s="32" customFormat="1" x14ac:dyDescent="0.35">
      <c r="D10" s="85"/>
      <c r="E10" s="85"/>
      <c r="F10" s="85"/>
      <c r="G10" s="42"/>
      <c r="H10" s="42"/>
      <c r="I10" s="42"/>
      <c r="J10" s="42"/>
      <c r="K10" s="42"/>
      <c r="L10" s="42"/>
      <c r="M10" s="39"/>
      <c r="N10" s="190"/>
      <c r="O10" s="100"/>
      <c r="P10" s="54"/>
      <c r="Q10" s="54"/>
      <c r="R10" s="54"/>
    </row>
    <row r="11" spans="1:18" s="32" customFormat="1" x14ac:dyDescent="0.35">
      <c r="D11" s="85"/>
      <c r="E11" s="85"/>
      <c r="F11" s="85"/>
      <c r="G11" s="42"/>
      <c r="H11" s="42"/>
      <c r="I11" s="42"/>
      <c r="J11" s="42"/>
      <c r="K11" s="42"/>
      <c r="L11" s="42"/>
      <c r="M11" s="39"/>
      <c r="N11" s="190"/>
      <c r="O11" s="100"/>
      <c r="P11" s="54"/>
      <c r="Q11" s="54"/>
      <c r="R11" s="54"/>
    </row>
    <row r="12" spans="1:18" s="32" customFormat="1" x14ac:dyDescent="0.35">
      <c r="D12" s="85"/>
      <c r="E12" s="85"/>
      <c r="F12" s="85"/>
      <c r="G12" s="42"/>
      <c r="H12" s="42"/>
      <c r="I12" s="42"/>
      <c r="J12" s="42"/>
      <c r="K12" s="42"/>
      <c r="L12" s="42"/>
      <c r="M12" s="39"/>
      <c r="N12" s="190"/>
      <c r="O12" s="100"/>
      <c r="P12" s="54"/>
      <c r="Q12" s="54"/>
      <c r="R12" s="54"/>
    </row>
    <row r="13" spans="1:18" s="32" customFormat="1" x14ac:dyDescent="0.35">
      <c r="D13" s="85"/>
      <c r="E13" s="85"/>
      <c r="F13" s="85"/>
      <c r="G13" s="42"/>
      <c r="H13" s="42"/>
      <c r="I13" s="42"/>
      <c r="J13" s="42"/>
      <c r="K13" s="42"/>
      <c r="L13" s="42"/>
      <c r="M13" s="39"/>
      <c r="N13" s="190"/>
      <c r="O13" s="100"/>
      <c r="P13" s="54"/>
      <c r="Q13" s="54"/>
      <c r="R13" s="54"/>
    </row>
    <row r="14" spans="1:18" s="32" customFormat="1" x14ac:dyDescent="0.35">
      <c r="D14" s="85"/>
      <c r="E14" s="85"/>
      <c r="F14" s="85"/>
      <c r="G14" s="42"/>
      <c r="H14" s="42"/>
      <c r="I14" s="42"/>
      <c r="J14" s="42"/>
      <c r="K14" s="42"/>
      <c r="L14" s="42"/>
      <c r="M14" s="39"/>
      <c r="N14" s="190"/>
      <c r="O14" s="100"/>
      <c r="P14" s="54"/>
      <c r="Q14" s="54"/>
      <c r="R14" s="54"/>
    </row>
    <row r="15" spans="1:18" s="32" customFormat="1" x14ac:dyDescent="0.35">
      <c r="D15" s="85"/>
      <c r="E15" s="187"/>
      <c r="F15" s="187"/>
      <c r="G15" s="187"/>
      <c r="H15" s="187"/>
      <c r="I15" s="187"/>
      <c r="J15" s="187"/>
      <c r="K15" s="187"/>
      <c r="L15" s="187"/>
      <c r="M15" s="187"/>
      <c r="N15" s="188"/>
      <c r="P15" s="54"/>
      <c r="Q15" s="54"/>
      <c r="R15" s="54"/>
    </row>
    <row r="16" spans="1:18" s="176" customFormat="1" ht="15" customHeight="1" x14ac:dyDescent="0.3">
      <c r="D16" s="85"/>
      <c r="E16" s="189"/>
      <c r="F16" s="189"/>
      <c r="G16" s="42"/>
      <c r="H16" s="42"/>
      <c r="I16" s="42"/>
      <c r="J16" s="42"/>
      <c r="K16" s="42"/>
      <c r="L16" s="42"/>
      <c r="M16" s="39"/>
      <c r="N16" s="190"/>
      <c r="O16" s="100"/>
      <c r="P16" s="54"/>
      <c r="Q16" s="54"/>
      <c r="R16" s="54"/>
    </row>
    <row r="17" spans="4:18" s="177" customFormat="1" x14ac:dyDescent="0.35">
      <c r="D17" s="85"/>
      <c r="E17" s="85"/>
      <c r="F17" s="85"/>
      <c r="G17" s="42"/>
      <c r="H17" s="42"/>
      <c r="I17" s="42"/>
      <c r="J17" s="42"/>
      <c r="K17" s="42"/>
      <c r="L17" s="42"/>
      <c r="M17" s="39"/>
      <c r="N17" s="190"/>
      <c r="O17" s="100"/>
      <c r="P17" s="54"/>
      <c r="Q17" s="54"/>
      <c r="R17" s="54"/>
    </row>
    <row r="18" spans="4:18" s="32" customFormat="1" x14ac:dyDescent="0.35">
      <c r="D18" s="85"/>
      <c r="E18" s="85"/>
      <c r="F18" s="85"/>
      <c r="G18" s="42"/>
      <c r="H18" s="42"/>
      <c r="I18" s="42"/>
      <c r="J18" s="42"/>
      <c r="K18" s="42"/>
      <c r="L18" s="42"/>
      <c r="M18" s="39"/>
      <c r="N18" s="190"/>
      <c r="O18" s="100"/>
      <c r="P18" s="54"/>
      <c r="Q18" s="54"/>
      <c r="R18" s="54"/>
    </row>
    <row r="19" spans="4:18" s="32" customFormat="1" x14ac:dyDescent="0.35">
      <c r="D19" s="85"/>
      <c r="E19" s="85"/>
      <c r="F19" s="85"/>
      <c r="G19" s="42"/>
      <c r="H19" s="42"/>
      <c r="I19" s="42"/>
      <c r="J19" s="42"/>
      <c r="K19" s="42"/>
      <c r="L19" s="42"/>
      <c r="M19" s="39"/>
      <c r="N19" s="190"/>
      <c r="O19" s="100"/>
      <c r="P19" s="54"/>
      <c r="Q19" s="54"/>
      <c r="R19" s="54"/>
    </row>
    <row r="20" spans="4:18" s="32" customFormat="1" x14ac:dyDescent="0.35">
      <c r="D20" s="85"/>
      <c r="E20" s="85"/>
      <c r="F20" s="85"/>
      <c r="G20" s="42"/>
      <c r="H20" s="42"/>
      <c r="I20" s="42"/>
      <c r="J20" s="42"/>
      <c r="K20" s="42"/>
      <c r="L20" s="42"/>
      <c r="M20" s="39"/>
      <c r="N20" s="190"/>
      <c r="O20" s="100"/>
      <c r="P20" s="54"/>
      <c r="Q20" s="54"/>
      <c r="R20" s="54"/>
    </row>
    <row r="21" spans="4:18" s="32" customFormat="1" x14ac:dyDescent="0.35">
      <c r="D21" s="85"/>
      <c r="E21" s="85"/>
      <c r="F21" s="85"/>
      <c r="G21" s="42"/>
      <c r="H21" s="42"/>
      <c r="I21" s="42"/>
      <c r="J21" s="42"/>
      <c r="K21" s="42"/>
      <c r="L21" s="42"/>
      <c r="M21" s="39"/>
      <c r="N21" s="190"/>
      <c r="O21" s="100"/>
      <c r="P21" s="54"/>
      <c r="Q21" s="54"/>
      <c r="R21" s="54"/>
    </row>
    <row r="22" spans="4:18" s="32" customFormat="1" x14ac:dyDescent="0.35">
      <c r="D22" s="85"/>
      <c r="E22" s="85"/>
      <c r="F22" s="85"/>
      <c r="G22" s="42"/>
      <c r="H22" s="42"/>
      <c r="I22" s="42"/>
      <c r="J22" s="42"/>
      <c r="K22" s="42"/>
      <c r="L22" s="42"/>
      <c r="M22" s="39"/>
      <c r="N22" s="190"/>
      <c r="O22" s="100"/>
      <c r="P22" s="54"/>
      <c r="Q22" s="54"/>
      <c r="R22" s="54"/>
    </row>
    <row r="23" spans="4:18" s="32" customFormat="1" x14ac:dyDescent="0.35">
      <c r="D23" s="85"/>
      <c r="E23" s="187"/>
      <c r="F23" s="187"/>
      <c r="G23" s="187"/>
      <c r="H23" s="187"/>
      <c r="I23" s="187"/>
      <c r="J23" s="187"/>
      <c r="K23" s="187"/>
      <c r="L23" s="187"/>
      <c r="M23" s="187"/>
      <c r="N23" s="188"/>
      <c r="P23" s="54"/>
      <c r="Q23" s="54"/>
      <c r="R23" s="54"/>
    </row>
    <row r="24" spans="4:18" s="176" customFormat="1" ht="15" customHeight="1" x14ac:dyDescent="0.3">
      <c r="D24" s="85"/>
      <c r="E24" s="189"/>
      <c r="F24" s="189"/>
      <c r="G24" s="42"/>
      <c r="H24" s="42"/>
      <c r="I24" s="42"/>
      <c r="J24" s="42"/>
      <c r="K24" s="42"/>
      <c r="L24" s="42"/>
      <c r="M24" s="39"/>
      <c r="N24" s="190"/>
      <c r="O24" s="100"/>
      <c r="P24" s="54"/>
      <c r="Q24" s="54"/>
      <c r="R24" s="54"/>
    </row>
    <row r="25" spans="4:18" s="177" customFormat="1" x14ac:dyDescent="0.35">
      <c r="D25" s="85"/>
      <c r="E25" s="85"/>
      <c r="F25" s="85"/>
      <c r="G25" s="42"/>
      <c r="H25" s="42"/>
      <c r="I25" s="42"/>
      <c r="J25" s="42"/>
      <c r="K25" s="42"/>
      <c r="L25" s="42"/>
      <c r="M25" s="39"/>
      <c r="N25" s="190"/>
      <c r="O25" s="100"/>
      <c r="P25" s="54"/>
      <c r="Q25" s="54"/>
      <c r="R25" s="54"/>
    </row>
    <row r="26" spans="4:18" s="32" customFormat="1" x14ac:dyDescent="0.35">
      <c r="D26" s="85"/>
      <c r="E26" s="85"/>
      <c r="F26" s="85"/>
      <c r="G26" s="42"/>
      <c r="H26" s="42"/>
      <c r="I26" s="42"/>
      <c r="J26" s="42"/>
      <c r="K26" s="42"/>
      <c r="L26" s="42"/>
      <c r="M26" s="39"/>
      <c r="N26" s="190"/>
      <c r="O26" s="100"/>
      <c r="P26" s="54"/>
      <c r="Q26" s="54"/>
      <c r="R26" s="54"/>
    </row>
    <row r="27" spans="4:18" s="32" customFormat="1" x14ac:dyDescent="0.35">
      <c r="D27" s="85"/>
      <c r="E27" s="85"/>
      <c r="F27" s="85"/>
      <c r="G27" s="42"/>
      <c r="H27" s="42"/>
      <c r="I27" s="42"/>
      <c r="J27" s="42"/>
      <c r="K27" s="42"/>
      <c r="L27" s="42"/>
      <c r="M27" s="39"/>
      <c r="N27" s="190"/>
      <c r="O27" s="100"/>
      <c r="P27" s="54"/>
      <c r="Q27" s="54"/>
      <c r="R27" s="54"/>
    </row>
    <row r="28" spans="4:18" s="32" customFormat="1" x14ac:dyDescent="0.35">
      <c r="D28" s="85"/>
      <c r="E28" s="85"/>
      <c r="F28" s="85"/>
      <c r="G28" s="42"/>
      <c r="H28" s="42"/>
      <c r="I28" s="42"/>
      <c r="J28" s="42"/>
      <c r="K28" s="42"/>
      <c r="L28" s="42"/>
      <c r="M28" s="39"/>
      <c r="N28" s="190"/>
      <c r="O28" s="100"/>
      <c r="P28" s="54"/>
      <c r="Q28" s="54"/>
      <c r="R28" s="54"/>
    </row>
    <row r="29" spans="4:18" s="32" customFormat="1" x14ac:dyDescent="0.35">
      <c r="D29" s="85"/>
      <c r="E29" s="85"/>
      <c r="F29" s="85"/>
      <c r="G29" s="42"/>
      <c r="H29" s="42"/>
      <c r="I29" s="42"/>
      <c r="J29" s="42"/>
      <c r="K29" s="42"/>
      <c r="L29" s="42"/>
      <c r="M29" s="39"/>
      <c r="N29" s="190"/>
      <c r="O29" s="100"/>
      <c r="P29" s="54"/>
      <c r="Q29" s="54"/>
      <c r="R29" s="54"/>
    </row>
    <row r="30" spans="4:18" s="32" customFormat="1" x14ac:dyDescent="0.35">
      <c r="D30" s="85"/>
      <c r="E30" s="85"/>
      <c r="F30" s="85"/>
      <c r="G30" s="42"/>
      <c r="H30" s="42"/>
      <c r="I30" s="42"/>
      <c r="J30" s="42"/>
      <c r="K30" s="42"/>
      <c r="L30" s="42"/>
      <c r="M30" s="39"/>
      <c r="N30" s="190"/>
      <c r="O30" s="100"/>
      <c r="P30" s="54"/>
      <c r="Q30" s="54"/>
      <c r="R30" s="54"/>
    </row>
    <row r="31" spans="4:18" s="32" customFormat="1" ht="14.5" x14ac:dyDescent="0.35">
      <c r="H31" s="184"/>
      <c r="I31" s="184"/>
      <c r="J31" s="184"/>
      <c r="O31" s="100"/>
      <c r="P31" s="54"/>
      <c r="Q31" s="54"/>
      <c r="R31" s="54"/>
    </row>
    <row r="32" spans="4:18" ht="15" customHeight="1" x14ac:dyDescent="0.35">
      <c r="H32" s="184"/>
      <c r="I32" s="184"/>
      <c r="J32" s="184"/>
      <c r="O32" s="100"/>
      <c r="P32" s="54"/>
      <c r="Q32" s="54"/>
      <c r="R32" s="54"/>
    </row>
    <row r="33" spans="8:18" ht="15" customHeight="1" x14ac:dyDescent="0.35">
      <c r="H33" s="184"/>
      <c r="I33" s="184"/>
      <c r="J33" s="184"/>
      <c r="O33" s="100"/>
      <c r="P33" s="54"/>
      <c r="Q33" s="54"/>
      <c r="R33" s="54"/>
    </row>
    <row r="34" spans="8:18" ht="15" customHeight="1" x14ac:dyDescent="0.35">
      <c r="H34" s="184"/>
      <c r="I34" s="184"/>
      <c r="J34" s="184"/>
      <c r="O34" s="100"/>
      <c r="P34" s="54"/>
      <c r="Q34" s="54"/>
      <c r="R34" s="54"/>
    </row>
    <row r="35" spans="8:18" ht="15" customHeight="1" x14ac:dyDescent="0.35">
      <c r="H35" s="184"/>
      <c r="I35" s="184"/>
      <c r="J35" s="184"/>
      <c r="O35" s="100"/>
      <c r="P35" s="54"/>
      <c r="Q35" s="54"/>
      <c r="R35" s="54"/>
    </row>
    <row r="36" spans="8:18" ht="15" customHeight="1" x14ac:dyDescent="0.35">
      <c r="H36" s="184"/>
      <c r="I36" s="184"/>
      <c r="J36" s="184"/>
      <c r="O36" s="100"/>
      <c r="P36" s="54"/>
      <c r="Q36" s="54"/>
      <c r="R36" s="54"/>
    </row>
    <row r="37" spans="8:18" ht="15" customHeight="1" x14ac:dyDescent="0.35">
      <c r="H37" s="184"/>
      <c r="I37" s="184"/>
      <c r="J37" s="184"/>
      <c r="O37" s="100"/>
      <c r="P37" s="54"/>
      <c r="Q37" s="54"/>
      <c r="R37" s="54"/>
    </row>
    <row r="38" spans="8:18" ht="15" customHeight="1" x14ac:dyDescent="0.35">
      <c r="H38" s="184"/>
      <c r="I38" s="184"/>
      <c r="J38" s="184"/>
      <c r="O38" s="100"/>
      <c r="P38" s="54"/>
      <c r="Q38" s="54"/>
      <c r="R38" s="54"/>
    </row>
    <row r="39" spans="8:18" ht="15" customHeight="1" x14ac:dyDescent="0.35">
      <c r="H39" s="184"/>
      <c r="I39" s="184"/>
      <c r="J39" s="184"/>
      <c r="O39" s="100"/>
      <c r="P39" s="54"/>
      <c r="Q39" s="54"/>
      <c r="R39" s="54"/>
    </row>
    <row r="40" spans="8:18" ht="15" customHeight="1" x14ac:dyDescent="0.35">
      <c r="H40" s="184"/>
      <c r="I40" s="184"/>
      <c r="J40" s="184"/>
      <c r="O40" s="100"/>
      <c r="P40" s="54"/>
      <c r="Q40" s="54"/>
      <c r="R40" s="54"/>
    </row>
    <row r="41" spans="8:18" ht="15" customHeight="1" x14ac:dyDescent="0.35">
      <c r="H41" s="184"/>
      <c r="I41" s="184"/>
      <c r="J41" s="184"/>
      <c r="O41" s="100"/>
      <c r="P41" s="54"/>
      <c r="Q41" s="54"/>
      <c r="R41" s="54"/>
    </row>
    <row r="42" spans="8:18" ht="15" customHeight="1" x14ac:dyDescent="0.35">
      <c r="H42" s="184"/>
      <c r="I42" s="184"/>
      <c r="J42" s="184"/>
      <c r="O42" s="100"/>
      <c r="P42" s="54"/>
      <c r="Q42" s="54"/>
      <c r="R42" s="54"/>
    </row>
    <row r="43" spans="8:18" ht="15" customHeight="1" x14ac:dyDescent="0.35">
      <c r="H43" s="184"/>
      <c r="I43" s="184"/>
      <c r="J43" s="184"/>
      <c r="O43" s="100"/>
      <c r="P43" s="54"/>
      <c r="Q43" s="54"/>
      <c r="R43" s="54"/>
    </row>
    <row r="44" spans="8:18" ht="15" customHeight="1" x14ac:dyDescent="0.35">
      <c r="H44" s="184"/>
      <c r="I44" s="184"/>
      <c r="J44" s="184"/>
      <c r="O44" s="100"/>
      <c r="P44" s="54"/>
      <c r="Q44" s="54"/>
      <c r="R44" s="54"/>
    </row>
    <row r="45" spans="8:18" ht="15" customHeight="1" x14ac:dyDescent="0.35">
      <c r="H45" s="184"/>
      <c r="I45" s="184"/>
      <c r="J45" s="184"/>
      <c r="O45" s="100"/>
      <c r="P45" s="54"/>
      <c r="Q45" s="54"/>
      <c r="R45" s="54"/>
    </row>
    <row r="46" spans="8:18" ht="15" customHeight="1" x14ac:dyDescent="0.35">
      <c r="H46" s="184"/>
      <c r="I46" s="184"/>
      <c r="J46" s="184"/>
      <c r="O46" s="100"/>
      <c r="P46" s="54"/>
      <c r="Q46" s="54"/>
      <c r="R46" s="54"/>
    </row>
    <row r="47" spans="8:18" ht="15" customHeight="1" x14ac:dyDescent="0.35">
      <c r="H47" s="184"/>
      <c r="I47" s="184"/>
      <c r="J47" s="184"/>
      <c r="O47" s="100"/>
      <c r="P47" s="54"/>
      <c r="Q47" s="54"/>
      <c r="R47" s="54"/>
    </row>
    <row r="48" spans="8:18" ht="15" customHeight="1" x14ac:dyDescent="0.35">
      <c r="H48" s="184"/>
      <c r="I48" s="184"/>
      <c r="J48" s="184"/>
      <c r="O48" s="100"/>
      <c r="P48" s="54"/>
      <c r="Q48" s="54"/>
      <c r="R48" s="54"/>
    </row>
    <row r="49" spans="8:18" ht="15" customHeight="1" x14ac:dyDescent="0.35">
      <c r="H49" s="184"/>
      <c r="I49" s="184"/>
      <c r="J49" s="184"/>
      <c r="O49" s="100"/>
      <c r="P49" s="54"/>
      <c r="Q49" s="54"/>
      <c r="R49" s="54"/>
    </row>
    <row r="50" spans="8:18" ht="15" customHeight="1" x14ac:dyDescent="0.35">
      <c r="H50" s="184"/>
      <c r="I50" s="184"/>
      <c r="J50" s="184"/>
      <c r="O50" s="100"/>
      <c r="P50" s="54"/>
      <c r="Q50" s="54"/>
      <c r="R50" s="54"/>
    </row>
    <row r="51" spans="8:18" ht="15" customHeight="1" x14ac:dyDescent="0.35">
      <c r="H51" s="184"/>
      <c r="I51" s="184"/>
      <c r="J51" s="184"/>
      <c r="O51" s="100"/>
      <c r="P51" s="54"/>
      <c r="Q51" s="54"/>
      <c r="R51" s="54"/>
    </row>
    <row r="52" spans="8:18" ht="15" customHeight="1" x14ac:dyDescent="0.35">
      <c r="H52" s="184"/>
      <c r="I52" s="184"/>
      <c r="J52" s="184"/>
      <c r="O52" s="100"/>
      <c r="P52" s="54"/>
      <c r="Q52" s="54"/>
      <c r="R52" s="54"/>
    </row>
    <row r="53" spans="8:18" ht="15" customHeight="1" x14ac:dyDescent="0.35">
      <c r="H53" s="184"/>
      <c r="I53" s="184"/>
      <c r="J53" s="184"/>
      <c r="O53" s="100"/>
      <c r="P53" s="54"/>
      <c r="Q53" s="54"/>
      <c r="R53" s="54"/>
    </row>
    <row r="54" spans="8:18" ht="15" customHeight="1" x14ac:dyDescent="0.35">
      <c r="H54" s="184"/>
      <c r="I54" s="184"/>
      <c r="J54" s="184"/>
      <c r="O54" s="100"/>
      <c r="P54" s="54"/>
      <c r="Q54" s="54"/>
      <c r="R54" s="54"/>
    </row>
    <row r="55" spans="8:18" ht="15" customHeight="1" x14ac:dyDescent="0.35">
      <c r="H55" s="184"/>
      <c r="I55" s="184"/>
      <c r="J55" s="184"/>
      <c r="O55" s="100"/>
      <c r="P55" s="54"/>
      <c r="Q55" s="54"/>
      <c r="R55" s="54"/>
    </row>
    <row r="56" spans="8:18" ht="15" customHeight="1" x14ac:dyDescent="0.3"/>
  </sheetData>
  <dataValidations count="4">
    <dataValidation type="date" allowBlank="1" showInputMessage="1" showErrorMessage="1" promptTitle="Versionsdatum" prompt="Datum im Format YYYY-MM-DD eintragen." sqref="R9:R15 R17:R23 R25:R1996" xr:uid="{00000000-0002-0000-0700-000000000000}">
      <formula1>DATE(2000,1,1)</formula1>
      <formula2>DATE(2100,12,31)</formula2>
    </dataValidation>
    <dataValidation type="list" allowBlank="1" sqref="K8:K2000" xr:uid="{00000000-0002-0000-0700-000001000000}">
      <formula1>ISG___Informationssicherheitsgesetz</formula1>
    </dataValidation>
    <dataValidation type="list" allowBlank="1" sqref="L8:L2000" xr:uid="{00000000-0002-0000-0700-000002000000}">
      <formula1>FAIR_Prinzipien</formula1>
    </dataValidation>
    <dataValidation type="list" allowBlank="1" sqref="P8:P2000" xr:uid="{00000000-0002-0000-0700-000003000000}">
      <formula1>Status</formula1>
    </dataValidation>
  </dataValidations>
  <pageMargins left="0.70866141732283472" right="0.70866141732283472" top="0.78740157480314965" bottom="0.78740157480314965" header="0.31496062992125978" footer="0.31496062992125978"/>
  <pageSetup paperSize="9" scale="58" orientation="landscape"/>
  <headerFooter>
    <oddHeader>&amp;CBauen digital Schweiz / buildingSMART Switzerland</oddHeader>
    <oddFooter>&amp;L&amp;"Arial"&amp;7 &amp;K000000Handlungsempfehlung Datenkatalog_x000D_# C2 - Intern_x000D_&amp;1#&amp;"Arial"&amp;7 &amp;K000000 C2 - Intern&amp;CStrukturvorlage&amp;R&amp;D -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319"/>
  <sheetViews>
    <sheetView showGridLines="0" zoomScaleNormal="100" workbookViewId="0">
      <pane ySplit="2" topLeftCell="A3" activePane="bottomLeft" state="frozen"/>
      <selection activeCell="G7" sqref="G7"/>
      <selection pane="bottomLeft" activeCell="M7" sqref="M7"/>
    </sheetView>
  </sheetViews>
  <sheetFormatPr baseColWidth="10" defaultColWidth="11.453125" defaultRowHeight="28.9" customHeight="1" outlineLevelCol="1" x14ac:dyDescent="0.3"/>
  <cols>
    <col min="1" max="1" width="3.7265625" style="104" customWidth="1"/>
    <col min="2" max="2" width="25.7265625" style="70" customWidth="1" outlineLevel="1"/>
    <col min="3" max="3" width="3.7265625" style="101" customWidth="1"/>
    <col min="4" max="4" width="30.7265625" style="71" customWidth="1" outlineLevel="1"/>
    <col min="5" max="6" width="17.54296875" style="71" bestFit="1" customWidth="1" outlineLevel="1"/>
    <col min="7" max="7" width="32.54296875" style="71" bestFit="1" customWidth="1" outlineLevel="1"/>
    <col min="8" max="8" width="33.08984375" style="71" bestFit="1" customWidth="1" outlineLevel="1"/>
    <col min="9" max="9" width="3.54296875" style="71" bestFit="1" customWidth="1" outlineLevel="1"/>
    <col min="10" max="10" width="3.08984375" style="71" bestFit="1" customWidth="1" outlineLevel="1"/>
    <col min="11" max="11" width="3.26953125" style="101" bestFit="1" customWidth="1"/>
    <col min="12" max="12" width="9.7265625" style="70" bestFit="1" customWidth="1" outlineLevel="1"/>
    <col min="13" max="13" width="25.7265625" style="70" customWidth="1" outlineLevel="1"/>
    <col min="14" max="14" width="11.26953125" style="70" bestFit="1" customWidth="1" outlineLevel="1"/>
    <col min="15" max="24" width="11.453125" style="71" customWidth="1"/>
    <col min="25" max="16384" width="11.453125" style="71"/>
  </cols>
  <sheetData>
    <row r="1" spans="1:14" s="192" customFormat="1" ht="120" customHeight="1" x14ac:dyDescent="0.35">
      <c r="A1" s="92" t="s">
        <v>0</v>
      </c>
      <c r="B1" s="90" t="s">
        <v>1</v>
      </c>
      <c r="C1" s="91" t="s">
        <v>966</v>
      </c>
      <c r="D1" s="90" t="s">
        <v>967</v>
      </c>
      <c r="E1" s="232" t="s">
        <v>968</v>
      </c>
      <c r="F1" s="232" t="s">
        <v>10</v>
      </c>
      <c r="G1" s="90" t="s">
        <v>14</v>
      </c>
      <c r="H1" s="90" t="s">
        <v>15</v>
      </c>
      <c r="I1" s="90" t="s">
        <v>16</v>
      </c>
      <c r="J1" s="90" t="s">
        <v>17</v>
      </c>
      <c r="K1" s="93" t="s">
        <v>30</v>
      </c>
      <c r="L1" s="90" t="s">
        <v>31</v>
      </c>
      <c r="M1" s="90" t="s">
        <v>32</v>
      </c>
      <c r="N1" s="90" t="s">
        <v>33</v>
      </c>
    </row>
    <row r="2" spans="1:14" s="89" customFormat="1" ht="12.75" customHeight="1" x14ac:dyDescent="0.35">
      <c r="A2" s="100"/>
      <c r="B2" s="111" t="s">
        <v>34</v>
      </c>
      <c r="C2" s="99"/>
      <c r="D2" s="67"/>
      <c r="E2" s="67"/>
      <c r="F2" s="67"/>
      <c r="G2" s="67"/>
      <c r="H2" s="180"/>
      <c r="I2" s="180"/>
      <c r="J2" s="180"/>
      <c r="K2" s="99"/>
      <c r="L2" s="108"/>
      <c r="M2" s="67"/>
      <c r="N2" s="66"/>
    </row>
    <row r="3" spans="1:14" s="30" customFormat="1" ht="14.25" customHeight="1" x14ac:dyDescent="0.35">
      <c r="A3" s="100"/>
      <c r="B3" s="111" t="s">
        <v>36</v>
      </c>
      <c r="C3" s="99"/>
      <c r="D3" s="67"/>
      <c r="E3" s="67"/>
      <c r="F3" s="67"/>
      <c r="G3" s="67"/>
      <c r="H3" s="180"/>
      <c r="I3" s="180"/>
      <c r="J3" s="180"/>
      <c r="K3" s="99"/>
      <c r="L3" s="108"/>
      <c r="M3" s="67"/>
      <c r="N3" s="66"/>
    </row>
    <row r="4" spans="1:14" s="30" customFormat="1" ht="14.25" customHeight="1" x14ac:dyDescent="0.35">
      <c r="A4" s="100"/>
      <c r="B4" s="111" t="s">
        <v>37</v>
      </c>
      <c r="C4" s="99"/>
      <c r="D4" s="66" t="s">
        <v>38</v>
      </c>
      <c r="E4" s="66" t="s">
        <v>38</v>
      </c>
      <c r="F4" s="66" t="s">
        <v>42</v>
      </c>
      <c r="G4" s="66" t="s">
        <v>42</v>
      </c>
      <c r="H4" s="181" t="s">
        <v>39</v>
      </c>
      <c r="I4" s="181" t="s">
        <v>40</v>
      </c>
      <c r="J4" s="181" t="s">
        <v>41</v>
      </c>
      <c r="L4" s="109" t="s">
        <v>38</v>
      </c>
      <c r="M4" s="66" t="s">
        <v>38</v>
      </c>
      <c r="N4" s="66" t="s">
        <v>38</v>
      </c>
    </row>
    <row r="5" spans="1:14" s="30" customFormat="1" ht="14.25" customHeight="1" x14ac:dyDescent="0.35">
      <c r="A5" s="100"/>
      <c r="B5" s="111" t="s">
        <v>43</v>
      </c>
      <c r="C5" s="99"/>
      <c r="D5" s="66" t="s">
        <v>45</v>
      </c>
      <c r="E5" s="66"/>
      <c r="F5" s="66"/>
      <c r="G5" s="66"/>
      <c r="H5" s="181"/>
      <c r="I5" s="181"/>
      <c r="J5" s="181"/>
      <c r="L5" s="109" t="s">
        <v>44</v>
      </c>
      <c r="M5" s="66" t="s">
        <v>44</v>
      </c>
      <c r="N5" s="66" t="s">
        <v>44</v>
      </c>
    </row>
    <row r="6" spans="1:14" s="30" customFormat="1" ht="14.25" customHeight="1" x14ac:dyDescent="0.35">
      <c r="A6" s="100"/>
      <c r="B6" s="111" t="s">
        <v>46</v>
      </c>
      <c r="C6" s="99"/>
      <c r="D6" s="67"/>
      <c r="E6" s="67"/>
      <c r="F6" s="67"/>
      <c r="G6" s="67"/>
      <c r="H6" s="180"/>
      <c r="I6" s="180"/>
      <c r="J6" s="180"/>
      <c r="L6" s="108" t="s">
        <v>53</v>
      </c>
      <c r="M6" s="67"/>
      <c r="N6" s="110"/>
    </row>
    <row r="7" spans="1:14" s="179" customFormat="1" ht="14" x14ac:dyDescent="0.35">
      <c r="A7" s="100"/>
      <c r="C7" s="100"/>
      <c r="D7" s="107"/>
      <c r="E7" s="53" t="s">
        <v>1264</v>
      </c>
      <c r="F7" s="107" t="s">
        <v>1265</v>
      </c>
      <c r="G7" s="58" t="s">
        <v>1280</v>
      </c>
      <c r="H7" s="107" t="s">
        <v>1289</v>
      </c>
      <c r="I7" s="107"/>
      <c r="J7" s="107"/>
      <c r="L7" s="54" t="s">
        <v>61</v>
      </c>
      <c r="M7" s="54" t="s">
        <v>1248</v>
      </c>
      <c r="N7" s="53" t="s">
        <v>63</v>
      </c>
    </row>
    <row r="8" spans="1:14" s="68" customFormat="1" ht="12.75" customHeight="1" x14ac:dyDescent="0.35">
      <c r="A8" s="100"/>
      <c r="C8" s="100"/>
      <c r="D8" s="107"/>
      <c r="E8" s="53" t="s">
        <v>1266</v>
      </c>
      <c r="F8" s="107" t="s">
        <v>1274</v>
      </c>
      <c r="G8" s="58" t="s">
        <v>1281</v>
      </c>
      <c r="H8" s="107" t="s">
        <v>1290</v>
      </c>
      <c r="I8" s="107"/>
      <c r="J8" s="107"/>
      <c r="L8" s="54" t="s">
        <v>61</v>
      </c>
      <c r="M8" s="54" t="s">
        <v>1248</v>
      </c>
      <c r="N8" s="53" t="s">
        <v>63</v>
      </c>
    </row>
    <row r="9" spans="1:14" s="68" customFormat="1" ht="12.75" customHeight="1" x14ac:dyDescent="0.35">
      <c r="A9" s="100"/>
      <c r="C9" s="100"/>
      <c r="D9" s="107"/>
      <c r="E9" s="53" t="s">
        <v>1267</v>
      </c>
      <c r="F9" s="107" t="s">
        <v>1275</v>
      </c>
      <c r="G9" s="58" t="s">
        <v>1282</v>
      </c>
      <c r="H9" s="107" t="s">
        <v>1291</v>
      </c>
      <c r="I9" s="107"/>
      <c r="J9" s="107"/>
      <c r="L9" s="54" t="s">
        <v>61</v>
      </c>
      <c r="M9" s="54" t="s">
        <v>1248</v>
      </c>
      <c r="N9" s="53" t="s">
        <v>63</v>
      </c>
    </row>
    <row r="10" spans="1:14" s="68" customFormat="1" ht="12.75" customHeight="1" x14ac:dyDescent="0.35">
      <c r="A10" s="100"/>
      <c r="C10" s="100"/>
      <c r="D10" s="107"/>
      <c r="E10" s="53" t="s">
        <v>1268</v>
      </c>
      <c r="F10" s="107" t="s">
        <v>1276</v>
      </c>
      <c r="G10" s="58" t="s">
        <v>1283</v>
      </c>
      <c r="H10" s="107" t="s">
        <v>1292</v>
      </c>
      <c r="I10" s="107"/>
      <c r="J10" s="107"/>
      <c r="L10" s="54" t="s">
        <v>61</v>
      </c>
      <c r="M10" s="54" t="s">
        <v>1248</v>
      </c>
      <c r="N10" s="53" t="s">
        <v>63</v>
      </c>
    </row>
    <row r="11" spans="1:14" s="68" customFormat="1" ht="12.75" customHeight="1" x14ac:dyDescent="0.35">
      <c r="A11" s="100"/>
      <c r="C11" s="100"/>
      <c r="D11" s="53"/>
      <c r="E11" s="107" t="s">
        <v>1269</v>
      </c>
      <c r="F11" s="107" t="s">
        <v>1269</v>
      </c>
      <c r="G11" s="58" t="s">
        <v>1284</v>
      </c>
      <c r="H11" s="107" t="s">
        <v>1293</v>
      </c>
      <c r="I11" s="53"/>
      <c r="J11" s="53"/>
      <c r="L11" s="54" t="s">
        <v>61</v>
      </c>
      <c r="M11" s="54" t="s">
        <v>1248</v>
      </c>
      <c r="N11" s="53" t="s">
        <v>63</v>
      </c>
    </row>
    <row r="12" spans="1:14" s="68" customFormat="1" ht="12.75" customHeight="1" x14ac:dyDescent="0.35">
      <c r="A12" s="100"/>
      <c r="C12" s="100"/>
      <c r="D12" s="53"/>
      <c r="E12" s="107" t="s">
        <v>1261</v>
      </c>
      <c r="F12" s="107" t="s">
        <v>1262</v>
      </c>
      <c r="G12" s="58" t="s">
        <v>1263</v>
      </c>
      <c r="H12" s="107" t="s">
        <v>1294</v>
      </c>
      <c r="I12" s="53"/>
      <c r="J12" s="53"/>
      <c r="L12" s="54" t="s">
        <v>61</v>
      </c>
      <c r="M12" s="54" t="s">
        <v>1248</v>
      </c>
      <c r="N12" s="53" t="s">
        <v>63</v>
      </c>
    </row>
    <row r="13" spans="1:14" s="68" customFormat="1" ht="12.75" customHeight="1" x14ac:dyDescent="0.35">
      <c r="A13" s="100"/>
      <c r="C13" s="100"/>
      <c r="D13" s="53"/>
      <c r="E13" s="107" t="s">
        <v>1270</v>
      </c>
      <c r="F13" s="107" t="s">
        <v>1277</v>
      </c>
      <c r="G13" s="58" t="s">
        <v>1285</v>
      </c>
      <c r="H13" s="107" t="s">
        <v>1295</v>
      </c>
      <c r="I13" s="53"/>
      <c r="J13" s="53"/>
      <c r="L13" s="54" t="s">
        <v>61</v>
      </c>
      <c r="M13" s="54" t="s">
        <v>1248</v>
      </c>
      <c r="N13" s="53" t="s">
        <v>63</v>
      </c>
    </row>
    <row r="14" spans="1:14" s="68" customFormat="1" ht="12.75" customHeight="1" x14ac:dyDescent="0.35">
      <c r="A14" s="100"/>
      <c r="C14" s="100"/>
      <c r="D14" s="53"/>
      <c r="E14" s="107" t="s">
        <v>1271</v>
      </c>
      <c r="F14" s="107" t="s">
        <v>1278</v>
      </c>
      <c r="G14" s="58" t="s">
        <v>1286</v>
      </c>
      <c r="H14" s="107" t="s">
        <v>1296</v>
      </c>
      <c r="I14" s="53"/>
      <c r="J14" s="53"/>
      <c r="L14" s="54" t="s">
        <v>61</v>
      </c>
      <c r="M14" s="54" t="s">
        <v>1248</v>
      </c>
      <c r="N14" s="53" t="s">
        <v>63</v>
      </c>
    </row>
    <row r="15" spans="1:14" s="68" customFormat="1" ht="12.75" customHeight="1" x14ac:dyDescent="0.35">
      <c r="A15" s="100"/>
      <c r="C15" s="100"/>
      <c r="D15" s="53"/>
      <c r="E15" s="107" t="s">
        <v>1272</v>
      </c>
      <c r="F15" s="107" t="s">
        <v>1279</v>
      </c>
      <c r="G15" s="58" t="s">
        <v>1287</v>
      </c>
      <c r="H15" s="107" t="s">
        <v>1297</v>
      </c>
      <c r="I15" s="53"/>
      <c r="J15" s="53"/>
      <c r="L15" s="54" t="s">
        <v>61</v>
      </c>
      <c r="M15" s="54" t="s">
        <v>1248</v>
      </c>
      <c r="N15" s="53" t="s">
        <v>63</v>
      </c>
    </row>
    <row r="16" spans="1:14" s="68" customFormat="1" ht="12.75" customHeight="1" x14ac:dyDescent="0.35">
      <c r="A16" s="100"/>
      <c r="C16" s="100"/>
      <c r="D16" s="53"/>
      <c r="E16" s="107" t="s">
        <v>1273</v>
      </c>
      <c r="F16" s="107" t="s">
        <v>1273</v>
      </c>
      <c r="G16" s="58" t="s">
        <v>1288</v>
      </c>
      <c r="H16" s="107" t="s">
        <v>1298</v>
      </c>
      <c r="I16" s="53"/>
      <c r="J16" s="53"/>
      <c r="L16" s="54" t="s">
        <v>61</v>
      </c>
      <c r="M16" s="54" t="s">
        <v>1248</v>
      </c>
      <c r="N16" s="53" t="s">
        <v>63</v>
      </c>
    </row>
    <row r="17" spans="1:14" s="68" customFormat="1" ht="12.75" customHeight="1" x14ac:dyDescent="0.35">
      <c r="A17" s="100"/>
      <c r="C17" s="100"/>
      <c r="D17" s="107"/>
      <c r="E17" s="107"/>
      <c r="F17" s="53"/>
      <c r="G17" s="58"/>
      <c r="H17" s="107"/>
      <c r="I17" s="53"/>
      <c r="J17" s="107"/>
      <c r="L17" s="54"/>
      <c r="M17" s="54"/>
      <c r="N17" s="53"/>
    </row>
    <row r="18" spans="1:14" s="68" customFormat="1" ht="12.75" customHeight="1" x14ac:dyDescent="0.35">
      <c r="A18" s="100"/>
      <c r="C18" s="100"/>
      <c r="D18" s="107"/>
      <c r="E18" s="107"/>
      <c r="F18" s="53"/>
      <c r="G18" s="58"/>
      <c r="H18" s="107"/>
      <c r="I18" s="53"/>
      <c r="J18" s="107"/>
      <c r="L18" s="54"/>
      <c r="M18" s="54"/>
      <c r="N18" s="53"/>
    </row>
    <row r="19" spans="1:14" s="68" customFormat="1" ht="12.75" customHeight="1" x14ac:dyDescent="0.35">
      <c r="A19" s="100"/>
      <c r="C19" s="100"/>
      <c r="D19" s="107"/>
      <c r="E19" s="107"/>
      <c r="F19" s="107"/>
      <c r="G19" s="107"/>
      <c r="H19" s="107"/>
      <c r="I19" s="53"/>
      <c r="J19" s="107"/>
      <c r="L19" s="54"/>
      <c r="M19" s="54"/>
      <c r="N19" s="53"/>
    </row>
    <row r="20" spans="1:14" s="68" customFormat="1" ht="12.75" customHeight="1" x14ac:dyDescent="0.35">
      <c r="A20" s="100"/>
      <c r="C20" s="100"/>
      <c r="D20" s="107"/>
      <c r="E20" s="107"/>
      <c r="F20" s="107"/>
      <c r="G20" s="107"/>
      <c r="H20" s="107"/>
      <c r="I20" s="107"/>
      <c r="J20" s="107"/>
      <c r="L20" s="54"/>
      <c r="M20" s="54"/>
      <c r="N20" s="53"/>
    </row>
    <row r="21" spans="1:14" s="68" customFormat="1" ht="12.75" customHeight="1" x14ac:dyDescent="0.35">
      <c r="A21" s="100"/>
      <c r="C21" s="100"/>
      <c r="D21" s="107"/>
      <c r="E21" s="107"/>
      <c r="F21" s="107"/>
      <c r="G21" s="107"/>
      <c r="H21" s="107"/>
      <c r="I21" s="107"/>
      <c r="J21" s="107"/>
      <c r="L21" s="54"/>
      <c r="M21" s="54"/>
      <c r="N21" s="53"/>
    </row>
    <row r="22" spans="1:14" s="68" customFormat="1" ht="12.75" customHeight="1" x14ac:dyDescent="0.35"/>
    <row r="23" spans="1:14" ht="13.5" customHeight="1" x14ac:dyDescent="0.3"/>
    <row r="24" spans="1:14" ht="13.5" customHeight="1" x14ac:dyDescent="0.3"/>
    <row r="25" spans="1:14" ht="13.5" customHeight="1" x14ac:dyDescent="0.3"/>
    <row r="26" spans="1:14" ht="13.5" customHeight="1" x14ac:dyDescent="0.3"/>
    <row r="27" spans="1:14" ht="13.5" customHeight="1" x14ac:dyDescent="0.3"/>
    <row r="28" spans="1:14" ht="13.5" customHeight="1" x14ac:dyDescent="0.3"/>
    <row r="29" spans="1:14" ht="13.5" customHeight="1" x14ac:dyDescent="0.3"/>
    <row r="30" spans="1:14" ht="13.5" customHeight="1" x14ac:dyDescent="0.3"/>
    <row r="31" spans="1:14" ht="13.5" customHeight="1" x14ac:dyDescent="0.3"/>
    <row r="32" spans="1:14" ht="13.5" customHeight="1" x14ac:dyDescent="0.3"/>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sheetData>
  <autoFilter ref="A2:N22" xr:uid="{00000000-0009-0000-0000-000008000000}"/>
  <dataValidations count="2">
    <dataValidation type="date" allowBlank="1" showInputMessage="1" showErrorMessage="1" promptTitle="Versionsdatum" prompt="Datum im Format YYYY-MM-DD eintragen." sqref="M17:M1962" xr:uid="{00000000-0002-0000-0800-000000000000}">
      <formula1>DATE(2000,1,1)</formula1>
      <formula2>DATE(2100,12,31)</formula2>
    </dataValidation>
    <dataValidation type="list" allowBlank="1" sqref="L8:L1962" xr:uid="{00000000-0002-0000-0800-000001000000}">
      <formula1>Status</formula1>
    </dataValidation>
  </dataValidations>
  <pageMargins left="0.70866141732283472" right="0.70866141732283472" top="0.78740157480314965" bottom="0.78740157480314965" header="0.31496062992125978" footer="0.31496062992125978"/>
  <pageSetup paperSize="9" scale="33" orientation="landscape"/>
  <headerFooter>
    <oddHeader>&amp;CBauen digital Schweiz / buildingSMART Switzerland</oddHeader>
    <oddFooter>&amp;L&amp;"Arial"&amp;7 &amp;K000000Handlungsempfehlung Datenkatalog_x000D_# C2 - Intern_x000D_&amp;1#&amp;"Arial"&amp;7 &amp;K000000 C2 - Intern&amp;CStrukturvorlage&amp;R&amp;D -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V71"/>
  <sheetViews>
    <sheetView tabSelected="1" topLeftCell="A2" zoomScale="85" zoomScaleNormal="85" workbookViewId="0">
      <pane xSplit="6" ySplit="1" topLeftCell="BW3" activePane="bottomRight" state="frozen"/>
      <selection activeCell="A2" sqref="A2"/>
      <selection pane="topRight" activeCell="G2" sqref="G2"/>
      <selection pane="bottomLeft" activeCell="A3" sqref="A3"/>
      <selection pane="bottomRight" activeCell="CK54" sqref="CK54"/>
    </sheetView>
  </sheetViews>
  <sheetFormatPr baseColWidth="10" defaultColWidth="9.1796875" defaultRowHeight="14.5" x14ac:dyDescent="0.35"/>
  <cols>
    <col min="1" max="1" width="26.1796875" customWidth="1"/>
    <col min="2" max="2" width="1.7265625" customWidth="1"/>
    <col min="3" max="3" width="31.7265625" bestFit="1" customWidth="1"/>
    <col min="4" max="4" width="1.7265625" customWidth="1"/>
    <col min="5" max="5" width="18.26953125" customWidth="1"/>
    <col min="6" max="6" width="2.90625" customWidth="1"/>
    <col min="7" max="7" width="4.54296875" customWidth="1"/>
    <col min="8" max="111" width="4.1796875" bestFit="1" customWidth="1"/>
    <col min="112" max="112" width="8.1796875" customWidth="1"/>
    <col min="113" max="113" width="4.90625" bestFit="1" customWidth="1"/>
    <col min="114" max="114" width="4.1796875" customWidth="1"/>
    <col min="115" max="115" width="4" customWidth="1"/>
    <col min="116" max="116" width="4.36328125" customWidth="1"/>
    <col min="117" max="117" width="2.7265625" customWidth="1"/>
    <col min="118" max="121" width="3.08984375" bestFit="1" customWidth="1"/>
    <col min="122" max="122" width="2.7265625" customWidth="1"/>
    <col min="123" max="123" width="11.453125" customWidth="1"/>
    <col min="124" max="124" width="10" bestFit="1" customWidth="1"/>
    <col min="125" max="125" width="21.81640625" customWidth="1"/>
  </cols>
  <sheetData>
    <row r="1" spans="1:126" ht="17.649999999999999" customHeight="1" x14ac:dyDescent="0.35">
      <c r="A1" s="184"/>
      <c r="B1" s="184"/>
      <c r="C1" s="35" t="s">
        <v>969</v>
      </c>
      <c r="D1" s="184"/>
      <c r="E1" s="243" t="s">
        <v>2</v>
      </c>
      <c r="F1" s="244"/>
      <c r="G1" s="244"/>
      <c r="H1" s="244"/>
      <c r="I1" s="244"/>
      <c r="J1" s="244"/>
      <c r="K1" s="244"/>
      <c r="L1" s="244"/>
      <c r="M1" s="244"/>
      <c r="N1" s="244"/>
      <c r="O1" s="244"/>
      <c r="P1" s="244"/>
      <c r="Q1" s="244"/>
      <c r="R1" s="244"/>
      <c r="S1" s="244"/>
      <c r="T1" s="244"/>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c r="CN1" s="244"/>
      <c r="CO1" s="244"/>
      <c r="CP1" s="244"/>
      <c r="CQ1" s="244"/>
      <c r="CR1" s="244"/>
      <c r="CS1" s="244"/>
      <c r="CT1" s="244"/>
      <c r="CU1" s="244"/>
      <c r="CV1" s="244"/>
      <c r="CW1" s="244"/>
      <c r="CX1" s="244"/>
      <c r="CY1" s="244"/>
      <c r="CZ1" s="244"/>
      <c r="DA1" s="244"/>
      <c r="DB1" s="244"/>
      <c r="DC1" s="244"/>
      <c r="DD1" s="244"/>
      <c r="DE1" s="244"/>
      <c r="DF1" s="244"/>
      <c r="DG1" s="244"/>
      <c r="DH1" s="243" t="s">
        <v>955</v>
      </c>
      <c r="DI1" s="244"/>
      <c r="DJ1" s="244"/>
      <c r="DK1" s="244"/>
      <c r="DL1" s="244"/>
      <c r="DM1" s="184"/>
      <c r="DN1" s="243" t="s">
        <v>970</v>
      </c>
      <c r="DO1" s="244"/>
      <c r="DP1" s="244"/>
      <c r="DQ1" s="244"/>
      <c r="DR1" s="184"/>
      <c r="DS1" s="243" t="s">
        <v>30</v>
      </c>
      <c r="DT1" s="244"/>
      <c r="DU1" s="244"/>
      <c r="DV1" s="244"/>
    </row>
    <row r="2" spans="1:126" ht="163.5" customHeight="1" x14ac:dyDescent="0.35">
      <c r="A2" s="184"/>
      <c r="B2" s="184"/>
      <c r="C2" s="81" t="s">
        <v>971</v>
      </c>
      <c r="D2" s="184"/>
      <c r="E2" s="81" t="s">
        <v>972</v>
      </c>
      <c r="F2" s="174" t="s">
        <v>55</v>
      </c>
      <c r="G2" s="174" t="s">
        <v>65</v>
      </c>
      <c r="H2" s="174" t="s">
        <v>71</v>
      </c>
      <c r="I2" s="174" t="s">
        <v>77</v>
      </c>
      <c r="J2" s="174" t="s">
        <v>1180</v>
      </c>
      <c r="K2" s="174" t="s">
        <v>87</v>
      </c>
      <c r="L2" s="174" t="s">
        <v>93</v>
      </c>
      <c r="M2" s="174" t="s">
        <v>98</v>
      </c>
      <c r="N2" s="174" t="s">
        <v>104</v>
      </c>
      <c r="O2" s="174" t="s">
        <v>108</v>
      </c>
      <c r="P2" s="174" t="s">
        <v>113</v>
      </c>
      <c r="Q2" s="174" t="s">
        <v>195</v>
      </c>
      <c r="R2" s="174" t="s">
        <v>125</v>
      </c>
      <c r="S2" s="174" t="s">
        <v>130</v>
      </c>
      <c r="T2" s="174" t="s">
        <v>135</v>
      </c>
      <c r="U2" s="174" t="s">
        <v>139</v>
      </c>
      <c r="V2" s="174" t="s">
        <v>143</v>
      </c>
      <c r="W2" s="174" t="s">
        <v>147</v>
      </c>
      <c r="X2" s="174" t="s">
        <v>151</v>
      </c>
      <c r="Y2" s="174" t="s">
        <v>158</v>
      </c>
      <c r="Z2" s="174" t="s">
        <v>165</v>
      </c>
      <c r="AA2" s="174" t="s">
        <v>170</v>
      </c>
      <c r="AB2" s="174" t="s">
        <v>176</v>
      </c>
      <c r="AC2" s="174" t="s">
        <v>184</v>
      </c>
      <c r="AD2" s="174" t="s">
        <v>190</v>
      </c>
      <c r="AE2" s="174" t="s">
        <v>198</v>
      </c>
      <c r="AF2" s="174" t="s">
        <v>201</v>
      </c>
      <c r="AG2" s="174" t="s">
        <v>203</v>
      </c>
      <c r="AH2" s="174" t="s">
        <v>206</v>
      </c>
      <c r="AI2" s="174" t="s">
        <v>211</v>
      </c>
      <c r="AJ2" s="174" t="s">
        <v>217</v>
      </c>
      <c r="AK2" s="174" t="s">
        <v>222</v>
      </c>
      <c r="AL2" s="174" t="s">
        <v>227</v>
      </c>
      <c r="AM2" s="174" t="s">
        <v>232</v>
      </c>
      <c r="AN2" s="174" t="s">
        <v>237</v>
      </c>
      <c r="AO2" s="174" t="s">
        <v>241</v>
      </c>
      <c r="AP2" s="174" t="s">
        <v>244</v>
      </c>
      <c r="AQ2" s="174" t="s">
        <v>248</v>
      </c>
      <c r="AR2" s="174" t="s">
        <v>252</v>
      </c>
      <c r="AS2" s="174" t="s">
        <v>257</v>
      </c>
      <c r="AT2" s="174" t="s">
        <v>264</v>
      </c>
      <c r="AU2" s="174" t="s">
        <v>268</v>
      </c>
      <c r="AV2" s="174" t="s">
        <v>275</v>
      </c>
      <c r="AW2" s="174" t="s">
        <v>282</v>
      </c>
      <c r="AX2" s="174" t="s">
        <v>287</v>
      </c>
      <c r="AY2" s="174" t="s">
        <v>292</v>
      </c>
      <c r="AZ2" s="174" t="s">
        <v>298</v>
      </c>
      <c r="BA2" s="174" t="s">
        <v>303</v>
      </c>
      <c r="BB2" s="174" t="s">
        <v>307</v>
      </c>
      <c r="BC2" s="174" t="s">
        <v>311</v>
      </c>
      <c r="BD2" s="174" t="s">
        <v>316</v>
      </c>
      <c r="BE2" s="174" t="s">
        <v>322</v>
      </c>
      <c r="BF2" s="174" t="s">
        <v>327</v>
      </c>
      <c r="BG2" s="174" t="s">
        <v>334</v>
      </c>
      <c r="BH2" s="174" t="s">
        <v>340</v>
      </c>
      <c r="BI2" s="174" t="s">
        <v>346</v>
      </c>
      <c r="BJ2" s="174" t="s">
        <v>353</v>
      </c>
      <c r="BK2" s="174" t="s">
        <v>359</v>
      </c>
      <c r="BL2" s="174" t="s">
        <v>364</v>
      </c>
      <c r="BM2" s="174" t="s">
        <v>369</v>
      </c>
      <c r="BN2" s="174" t="s">
        <v>375</v>
      </c>
      <c r="BO2" s="174" t="s">
        <v>381</v>
      </c>
      <c r="BP2" s="174" t="s">
        <v>385</v>
      </c>
      <c r="BQ2" s="174" t="s">
        <v>390</v>
      </c>
      <c r="BR2" s="174" t="s">
        <v>396</v>
      </c>
      <c r="BS2" s="174" t="s">
        <v>401</v>
      </c>
      <c r="BT2" s="174" t="s">
        <v>408</v>
      </c>
      <c r="BU2" s="174" t="s">
        <v>414</v>
      </c>
      <c r="BV2" s="174" t="s">
        <v>420</v>
      </c>
      <c r="BW2" s="174" t="s">
        <v>439</v>
      </c>
      <c r="BX2" s="174" t="s">
        <v>427</v>
      </c>
      <c r="BY2" s="174" t="s">
        <v>1242</v>
      </c>
      <c r="BZ2" s="174" t="s">
        <v>1245</v>
      </c>
      <c r="CA2" s="174" t="s">
        <v>446</v>
      </c>
      <c r="CB2" s="174" t="s">
        <v>451</v>
      </c>
      <c r="CC2" s="174" t="s">
        <v>1243</v>
      </c>
      <c r="CD2" s="174" t="s">
        <v>433</v>
      </c>
      <c r="CE2" s="174" t="s">
        <v>1244</v>
      </c>
      <c r="CF2" s="174" t="s">
        <v>455</v>
      </c>
      <c r="CG2" s="174" t="s">
        <v>592</v>
      </c>
      <c r="CH2" s="174" t="s">
        <v>459</v>
      </c>
      <c r="CI2" s="174" t="s">
        <v>1203</v>
      </c>
      <c r="CJ2" s="174" t="s">
        <v>1247</v>
      </c>
      <c r="CK2" s="174" t="s">
        <v>471</v>
      </c>
      <c r="CL2" s="174" t="s">
        <v>477</v>
      </c>
      <c r="CM2" s="174" t="s">
        <v>482</v>
      </c>
      <c r="CN2" s="174" t="s">
        <v>487</v>
      </c>
      <c r="CO2" s="174" t="s">
        <v>492</v>
      </c>
      <c r="CP2" s="174" t="s">
        <v>498</v>
      </c>
      <c r="CQ2" s="174" t="s">
        <v>502</v>
      </c>
      <c r="CR2" s="174" t="s">
        <v>507</v>
      </c>
      <c r="CS2" s="174" t="s">
        <v>513</v>
      </c>
      <c r="CT2" s="174" t="s">
        <v>518</v>
      </c>
      <c r="CU2" s="174" t="s">
        <v>523</v>
      </c>
      <c r="CV2" s="174" t="s">
        <v>528</v>
      </c>
      <c r="CW2" s="174" t="s">
        <v>533</v>
      </c>
      <c r="CX2" s="174" t="s">
        <v>539</v>
      </c>
      <c r="CY2" s="174" t="s">
        <v>542</v>
      </c>
      <c r="CZ2" s="174" t="s">
        <v>549</v>
      </c>
      <c r="DA2" s="174" t="s">
        <v>554</v>
      </c>
      <c r="DB2" s="174" t="s">
        <v>561</v>
      </c>
      <c r="DC2" s="174" t="s">
        <v>568</v>
      </c>
      <c r="DD2" s="174" t="s">
        <v>573</v>
      </c>
      <c r="DE2" s="174" t="s">
        <v>578</v>
      </c>
      <c r="DF2" s="174" t="s">
        <v>583</v>
      </c>
      <c r="DG2" s="174" t="s">
        <v>588</v>
      </c>
      <c r="DH2" s="81" t="s">
        <v>973</v>
      </c>
      <c r="DI2" s="174" t="s">
        <v>1250</v>
      </c>
      <c r="DJ2" s="174"/>
      <c r="DK2" s="174"/>
      <c r="DL2" s="174"/>
      <c r="DM2" s="184"/>
      <c r="DN2" s="172" t="s">
        <v>970</v>
      </c>
      <c r="DO2" s="90" t="s">
        <v>974</v>
      </c>
      <c r="DP2" s="90" t="s">
        <v>975</v>
      </c>
      <c r="DQ2" s="90" t="s">
        <v>976</v>
      </c>
      <c r="DR2" s="184"/>
      <c r="DS2" s="172" t="s">
        <v>30</v>
      </c>
      <c r="DT2" s="90" t="s">
        <v>31</v>
      </c>
      <c r="DU2" s="90" t="s">
        <v>32</v>
      </c>
      <c r="DV2" s="90" t="s">
        <v>33</v>
      </c>
    </row>
    <row r="3" spans="1:126" ht="18" x14ac:dyDescent="0.35">
      <c r="A3" s="34" t="s">
        <v>892</v>
      </c>
      <c r="B3" s="80"/>
      <c r="C3" s="184"/>
      <c r="D3" s="80"/>
      <c r="E3" s="184"/>
      <c r="F3" s="263"/>
      <c r="G3" s="263"/>
      <c r="H3" s="263"/>
      <c r="I3" s="263"/>
      <c r="J3" s="263"/>
      <c r="K3" s="263"/>
      <c r="L3" s="263"/>
      <c r="M3" s="263"/>
      <c r="N3" s="263"/>
      <c r="O3" s="263"/>
      <c r="P3" s="263"/>
      <c r="Q3" s="263"/>
      <c r="R3" s="263"/>
      <c r="S3" s="263"/>
      <c r="T3" s="263"/>
      <c r="U3" s="263"/>
      <c r="V3" s="263"/>
      <c r="W3" s="263"/>
      <c r="X3" s="263"/>
      <c r="Y3" s="263"/>
      <c r="Z3" s="263"/>
      <c r="AA3" s="263"/>
      <c r="AB3" s="263"/>
      <c r="AC3" s="263"/>
      <c r="AD3" s="263"/>
      <c r="AE3" s="263"/>
      <c r="AF3" s="263"/>
      <c r="AG3" s="263"/>
      <c r="AH3" s="263"/>
      <c r="AI3" s="263"/>
      <c r="AJ3" s="263"/>
      <c r="AK3" s="263"/>
      <c r="AL3" s="263"/>
      <c r="AM3" s="263"/>
      <c r="AN3" s="263"/>
      <c r="AO3" s="263"/>
      <c r="AP3" s="263"/>
      <c r="AQ3" s="263"/>
      <c r="AR3" s="263"/>
      <c r="AS3" s="263"/>
      <c r="AT3" s="263"/>
      <c r="AU3" s="263"/>
      <c r="AV3" s="263"/>
      <c r="AW3" s="263"/>
      <c r="AX3" s="263"/>
      <c r="AY3" s="263"/>
      <c r="AZ3" s="263"/>
      <c r="BA3" s="263"/>
      <c r="BB3" s="263"/>
      <c r="BC3" s="263"/>
      <c r="BD3" s="263"/>
      <c r="BE3" s="263"/>
      <c r="BF3" s="263"/>
      <c r="BG3" s="263"/>
      <c r="BH3" s="263"/>
      <c r="BI3" s="263"/>
      <c r="BJ3" s="263"/>
      <c r="BK3" s="263"/>
      <c r="BL3" s="263"/>
      <c r="BM3" s="263"/>
      <c r="BN3" s="263"/>
      <c r="BO3" s="263"/>
      <c r="BP3" s="263"/>
      <c r="BQ3" s="263"/>
      <c r="BR3" s="263"/>
      <c r="BS3" s="263"/>
      <c r="BT3" s="263"/>
      <c r="BU3" s="263"/>
      <c r="BV3" s="263"/>
      <c r="BW3" s="263"/>
      <c r="BX3" s="263"/>
      <c r="BY3" s="263"/>
      <c r="BZ3" s="263"/>
      <c r="CA3" s="263"/>
      <c r="CB3" s="263"/>
      <c r="CC3" s="263"/>
      <c r="CD3" s="263"/>
      <c r="CE3" s="263"/>
      <c r="CF3" s="263"/>
      <c r="CG3" s="263"/>
      <c r="CH3" s="263"/>
      <c r="CI3" s="263"/>
      <c r="CJ3" s="263"/>
      <c r="CK3" s="263"/>
      <c r="CL3" s="263"/>
      <c r="CM3" s="263"/>
      <c r="CN3" s="263"/>
      <c r="CO3" s="263"/>
      <c r="CP3" s="263"/>
      <c r="CQ3" s="263"/>
      <c r="CR3" s="263"/>
      <c r="CS3" s="263"/>
      <c r="CT3" s="263"/>
      <c r="CU3" s="263"/>
      <c r="CV3" s="263"/>
      <c r="CW3" s="263"/>
      <c r="CX3" s="263"/>
      <c r="CY3" s="263"/>
      <c r="CZ3" s="263"/>
      <c r="DA3" s="263"/>
      <c r="DB3" s="263"/>
      <c r="DC3" s="263"/>
      <c r="DD3" s="263"/>
      <c r="DE3" s="263"/>
      <c r="DF3" s="263"/>
      <c r="DG3" s="263"/>
      <c r="DH3" s="184"/>
      <c r="DI3" s="184"/>
      <c r="DJ3" s="184"/>
      <c r="DK3" s="184"/>
      <c r="DL3" s="184"/>
      <c r="DM3" s="184"/>
      <c r="DN3" s="184"/>
      <c r="DO3" s="184"/>
      <c r="DP3" s="184"/>
      <c r="DQ3" s="184"/>
      <c r="DR3" s="184"/>
      <c r="DS3" s="184"/>
      <c r="DT3" s="184"/>
      <c r="DU3" s="184"/>
      <c r="DV3" s="184"/>
    </row>
    <row r="4" spans="1:126" ht="39" x14ac:dyDescent="0.35">
      <c r="A4" s="41" t="s">
        <v>977</v>
      </c>
      <c r="B4" s="185"/>
      <c r="C4" s="186"/>
      <c r="D4" s="185"/>
      <c r="E4" s="186"/>
      <c r="F4" s="262"/>
      <c r="G4" s="262"/>
      <c r="H4" s="262"/>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2"/>
      <c r="AV4" s="262"/>
      <c r="AW4" s="262"/>
      <c r="AX4" s="262"/>
      <c r="AY4" s="262"/>
      <c r="AZ4" s="262"/>
      <c r="BA4" s="262"/>
      <c r="BB4" s="262"/>
      <c r="BC4" s="262"/>
      <c r="BD4" s="262"/>
      <c r="BE4" s="262"/>
      <c r="BF4" s="262"/>
      <c r="BG4" s="262"/>
      <c r="BH4" s="262"/>
      <c r="BI4" s="262"/>
      <c r="BJ4" s="262"/>
      <c r="BK4" s="262"/>
      <c r="BL4" s="262"/>
      <c r="BM4" s="262"/>
      <c r="BN4" s="262"/>
      <c r="BO4" s="262"/>
      <c r="BP4" s="262"/>
      <c r="BQ4" s="262"/>
      <c r="BR4" s="262"/>
      <c r="BS4" s="262"/>
      <c r="BT4" s="262"/>
      <c r="BU4" s="262"/>
      <c r="BV4" s="262"/>
      <c r="BW4" s="262"/>
      <c r="BX4" s="262"/>
      <c r="BY4" s="262"/>
      <c r="BZ4" s="262"/>
      <c r="CA4" s="262"/>
      <c r="CB4" s="262"/>
      <c r="CC4" s="262"/>
      <c r="CD4" s="262"/>
      <c r="CE4" s="262"/>
      <c r="CF4" s="262"/>
      <c r="CG4" s="262"/>
      <c r="CH4" s="262"/>
      <c r="CI4" s="262"/>
      <c r="CJ4" s="262"/>
      <c r="CK4" s="262"/>
      <c r="CL4" s="262"/>
      <c r="CM4" s="262"/>
      <c r="CN4" s="262"/>
      <c r="CO4" s="262"/>
      <c r="CP4" s="262"/>
      <c r="CQ4" s="262"/>
      <c r="CR4" s="262"/>
      <c r="CS4" s="262"/>
      <c r="CT4" s="262"/>
      <c r="CU4" s="262"/>
      <c r="CV4" s="262"/>
      <c r="CW4" s="262"/>
      <c r="CX4" s="262"/>
      <c r="CY4" s="262"/>
      <c r="CZ4" s="262"/>
      <c r="DA4" s="262"/>
      <c r="DB4" s="262"/>
      <c r="DC4" s="262"/>
      <c r="DD4" s="262"/>
      <c r="DE4" s="262"/>
      <c r="DF4" s="262"/>
      <c r="DG4" s="262"/>
      <c r="DH4" s="82"/>
      <c r="DI4" s="184"/>
      <c r="DJ4" s="184"/>
      <c r="DK4" s="184"/>
      <c r="DL4" s="184"/>
      <c r="DM4" s="184"/>
      <c r="DN4" s="184"/>
      <c r="DO4" s="184"/>
      <c r="DP4" s="184"/>
      <c r="DQ4" s="184"/>
      <c r="DR4" s="184"/>
      <c r="DS4" s="184"/>
      <c r="DT4" s="184" t="s">
        <v>53</v>
      </c>
      <c r="DU4" s="184"/>
      <c r="DV4" s="184"/>
    </row>
    <row r="5" spans="1:126" ht="25.5" customHeight="1" x14ac:dyDescent="0.35">
      <c r="A5" t="s">
        <v>910</v>
      </c>
      <c r="C5" t="s">
        <v>1264</v>
      </c>
      <c r="D5" s="80"/>
      <c r="E5" s="261"/>
      <c r="F5" s="196" t="s">
        <v>978</v>
      </c>
      <c r="G5" s="196" t="s">
        <v>978</v>
      </c>
      <c r="H5" s="196" t="s">
        <v>978</v>
      </c>
      <c r="I5" s="196"/>
      <c r="J5" s="196" t="s">
        <v>978</v>
      </c>
      <c r="K5" s="196"/>
      <c r="L5" s="196"/>
      <c r="M5" s="196"/>
      <c r="N5" s="196"/>
      <c r="O5" s="196" t="s">
        <v>978</v>
      </c>
      <c r="P5" s="196"/>
      <c r="Q5" s="196"/>
      <c r="R5" s="196" t="s">
        <v>978</v>
      </c>
      <c r="S5" s="196" t="s">
        <v>978</v>
      </c>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82"/>
      <c r="DI5" s="75"/>
      <c r="DJ5" s="75"/>
      <c r="DK5" s="75"/>
      <c r="DL5" s="75"/>
      <c r="DM5" s="184"/>
      <c r="DN5" s="184"/>
      <c r="DO5" s="75"/>
      <c r="DP5" s="75"/>
      <c r="DQ5" s="75"/>
      <c r="DR5" s="184"/>
      <c r="DS5" s="184"/>
      <c r="DT5" s="75" t="s">
        <v>61</v>
      </c>
      <c r="DU5" s="54" t="s">
        <v>1248</v>
      </c>
      <c r="DV5" s="75" t="s">
        <v>63</v>
      </c>
    </row>
    <row r="6" spans="1:126" x14ac:dyDescent="0.35">
      <c r="A6" t="s">
        <v>910</v>
      </c>
      <c r="C6" t="s">
        <v>1266</v>
      </c>
      <c r="D6" s="80"/>
      <c r="E6" s="261"/>
      <c r="F6" s="196"/>
      <c r="G6" s="196"/>
      <c r="H6" s="196"/>
      <c r="I6" s="196" t="s">
        <v>978</v>
      </c>
      <c r="J6" s="196"/>
      <c r="K6" s="196" t="s">
        <v>978</v>
      </c>
      <c r="L6" s="196" t="s">
        <v>978</v>
      </c>
      <c r="M6" s="196" t="s">
        <v>978</v>
      </c>
      <c r="N6" s="196" t="s">
        <v>978</v>
      </c>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6"/>
      <c r="BK6" s="196"/>
      <c r="BL6" s="196"/>
      <c r="BM6" s="196"/>
      <c r="BN6" s="196"/>
      <c r="BO6" s="196"/>
      <c r="BP6" s="196"/>
      <c r="BQ6" s="196"/>
      <c r="BR6" s="196"/>
      <c r="BS6" s="196"/>
      <c r="BT6" s="196"/>
      <c r="BU6" s="196"/>
      <c r="BV6" s="196"/>
      <c r="BW6" s="196"/>
      <c r="BX6" s="196"/>
      <c r="BY6" s="196"/>
      <c r="BZ6" s="196"/>
      <c r="CA6" s="196"/>
      <c r="CB6" s="196"/>
      <c r="CC6" s="196"/>
      <c r="CD6" s="196"/>
      <c r="CE6" s="196"/>
      <c r="CF6" s="196"/>
      <c r="CG6" s="196"/>
      <c r="CH6" s="196"/>
      <c r="CI6" s="196"/>
      <c r="CJ6" s="196"/>
      <c r="CK6" s="196"/>
      <c r="CL6" s="196"/>
      <c r="CM6" s="196"/>
      <c r="CN6" s="196"/>
      <c r="CO6" s="196"/>
      <c r="CP6" s="196"/>
      <c r="CQ6" s="196"/>
      <c r="CR6" s="196"/>
      <c r="CS6" s="196"/>
      <c r="CT6" s="196"/>
      <c r="CU6" s="196"/>
      <c r="CV6" s="196"/>
      <c r="CW6" s="196"/>
      <c r="CX6" s="196"/>
      <c r="CY6" s="196"/>
      <c r="CZ6" s="196"/>
      <c r="DA6" s="196"/>
      <c r="DB6" s="196"/>
      <c r="DC6" s="196"/>
      <c r="DD6" s="196"/>
      <c r="DE6" s="196"/>
      <c r="DF6" s="196"/>
      <c r="DG6" s="196"/>
      <c r="DH6" s="82"/>
      <c r="DI6" s="83"/>
      <c r="DJ6" s="83"/>
      <c r="DK6" s="83"/>
      <c r="DL6" s="83"/>
      <c r="DM6" s="184"/>
      <c r="DN6" s="184"/>
      <c r="DO6" s="83"/>
      <c r="DP6" s="83"/>
      <c r="DQ6" s="83"/>
      <c r="DR6" s="184"/>
      <c r="DS6" s="184"/>
      <c r="DT6" s="75" t="s">
        <v>61</v>
      </c>
      <c r="DU6" s="54" t="s">
        <v>1248</v>
      </c>
      <c r="DV6" s="83" t="s">
        <v>63</v>
      </c>
    </row>
    <row r="7" spans="1:126" x14ac:dyDescent="0.35">
      <c r="A7" t="s">
        <v>910</v>
      </c>
      <c r="C7" t="s">
        <v>1268</v>
      </c>
      <c r="D7" s="86"/>
      <c r="E7" s="261"/>
      <c r="F7" s="196"/>
      <c r="G7" s="196"/>
      <c r="H7" s="196"/>
      <c r="I7" s="196"/>
      <c r="J7" s="196"/>
      <c r="K7" s="196"/>
      <c r="L7" s="196"/>
      <c r="M7" s="196"/>
      <c r="N7" s="196"/>
      <c r="O7" s="196"/>
      <c r="P7" s="196"/>
      <c r="Q7" s="196" t="s">
        <v>978</v>
      </c>
      <c r="R7" s="196"/>
      <c r="S7" s="196"/>
      <c r="T7" s="196"/>
      <c r="U7" s="196"/>
      <c r="V7" s="196"/>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6"/>
      <c r="CH7" s="196"/>
      <c r="CI7" s="196"/>
      <c r="CJ7" s="196"/>
      <c r="CK7" s="196"/>
      <c r="CL7" s="196"/>
      <c r="CM7" s="196"/>
      <c r="CN7" s="196"/>
      <c r="CO7" s="196"/>
      <c r="CP7" s="196"/>
      <c r="CQ7" s="196"/>
      <c r="CR7" s="196"/>
      <c r="CS7" s="196"/>
      <c r="CT7" s="196"/>
      <c r="CU7" s="196"/>
      <c r="CV7" s="196"/>
      <c r="CW7" s="196"/>
      <c r="CX7" s="196"/>
      <c r="CY7" s="196"/>
      <c r="CZ7" s="196"/>
      <c r="DA7" s="196"/>
      <c r="DB7" s="196"/>
      <c r="DC7" s="196"/>
      <c r="DD7" s="196"/>
      <c r="DE7" s="196"/>
      <c r="DF7" s="196"/>
      <c r="DG7" s="196"/>
      <c r="DH7" s="87"/>
      <c r="DI7" s="42"/>
      <c r="DJ7" s="42"/>
      <c r="DK7" s="42"/>
      <c r="DL7" s="42"/>
      <c r="DM7" s="184"/>
      <c r="DN7" s="184"/>
      <c r="DO7" s="42"/>
      <c r="DP7" s="42"/>
      <c r="DQ7" s="42"/>
      <c r="DR7" s="184"/>
      <c r="DS7" s="184"/>
      <c r="DT7" s="75" t="s">
        <v>61</v>
      </c>
      <c r="DU7" s="54" t="s">
        <v>1248</v>
      </c>
      <c r="DV7" s="42" t="s">
        <v>63</v>
      </c>
    </row>
    <row r="8" spans="1:126" x14ac:dyDescent="0.35">
      <c r="A8" t="s">
        <v>910</v>
      </c>
      <c r="C8" t="s">
        <v>1261</v>
      </c>
      <c r="D8" s="86"/>
      <c r="E8" s="261"/>
      <c r="F8" s="196"/>
      <c r="G8" s="196"/>
      <c r="H8" s="196"/>
      <c r="I8" s="196"/>
      <c r="J8" s="196"/>
      <c r="K8" s="196"/>
      <c r="L8" s="196"/>
      <c r="M8" s="196"/>
      <c r="N8" s="196"/>
      <c r="O8" s="196"/>
      <c r="P8" s="196" t="s">
        <v>978</v>
      </c>
      <c r="Q8" s="196"/>
      <c r="R8" s="196"/>
      <c r="S8" s="196"/>
      <c r="T8" s="196"/>
      <c r="U8" s="196"/>
      <c r="V8" s="196"/>
      <c r="W8" s="196"/>
      <c r="X8" s="196"/>
      <c r="Y8" s="196"/>
      <c r="Z8" s="196"/>
      <c r="AA8" s="196"/>
      <c r="AB8" s="196"/>
      <c r="AC8" s="196"/>
      <c r="AD8" s="196"/>
      <c r="AE8" s="196"/>
      <c r="AF8" s="196"/>
      <c r="AG8" s="196"/>
      <c r="AH8" s="196"/>
      <c r="AI8" s="196"/>
      <c r="AJ8" s="196"/>
      <c r="AK8" s="196"/>
      <c r="AL8" s="196"/>
      <c r="AM8" s="196"/>
      <c r="AN8" s="196"/>
      <c r="AO8" s="196"/>
      <c r="AP8" s="196"/>
      <c r="AQ8" s="196"/>
      <c r="AR8" s="196"/>
      <c r="AS8" s="196"/>
      <c r="AT8" s="196"/>
      <c r="AU8" s="196"/>
      <c r="AV8" s="196"/>
      <c r="AW8" s="196"/>
      <c r="AX8" s="196"/>
      <c r="AY8" s="196"/>
      <c r="AZ8" s="196"/>
      <c r="BA8" s="196"/>
      <c r="BB8" s="196"/>
      <c r="BC8" s="196"/>
      <c r="BD8" s="196"/>
      <c r="BE8" s="196"/>
      <c r="BF8" s="196"/>
      <c r="BG8" s="196"/>
      <c r="BH8" s="196"/>
      <c r="BI8" s="196"/>
      <c r="BJ8" s="196"/>
      <c r="BK8" s="196"/>
      <c r="BL8" s="196"/>
      <c r="BM8" s="196"/>
      <c r="BN8" s="196"/>
      <c r="BO8" s="196"/>
      <c r="BP8" s="196"/>
      <c r="BQ8" s="196"/>
      <c r="BR8" s="196"/>
      <c r="BS8" s="196"/>
      <c r="BT8" s="196"/>
      <c r="BU8" s="196"/>
      <c r="BV8" s="196"/>
      <c r="BW8" s="196"/>
      <c r="BX8" s="196"/>
      <c r="BY8" s="196"/>
      <c r="BZ8" s="196"/>
      <c r="CA8" s="196"/>
      <c r="CB8" s="196"/>
      <c r="CC8" s="196"/>
      <c r="CD8" s="196"/>
      <c r="CE8" s="196"/>
      <c r="CF8" s="196"/>
      <c r="CG8" s="196"/>
      <c r="CH8" s="196"/>
      <c r="CI8" s="196"/>
      <c r="CJ8" s="196"/>
      <c r="CK8" s="196"/>
      <c r="CL8" s="196"/>
      <c r="CM8" s="196"/>
      <c r="CN8" s="196"/>
      <c r="CO8" s="196"/>
      <c r="CP8" s="196"/>
      <c r="CQ8" s="196"/>
      <c r="CR8" s="196"/>
      <c r="CS8" s="196"/>
      <c r="CT8" s="196"/>
      <c r="CU8" s="196"/>
      <c r="CV8" s="196"/>
      <c r="CW8" s="196"/>
      <c r="CX8" s="196"/>
      <c r="CY8" s="196"/>
      <c r="CZ8" s="196"/>
      <c r="DA8" s="196"/>
      <c r="DB8" s="196"/>
      <c r="DC8" s="196"/>
      <c r="DD8" s="196"/>
      <c r="DE8" s="196"/>
      <c r="DF8" s="196"/>
      <c r="DG8" s="196"/>
      <c r="DH8" s="87"/>
      <c r="DI8" s="42" t="s">
        <v>978</v>
      </c>
      <c r="DJ8" s="42"/>
      <c r="DK8" s="42"/>
      <c r="DL8" s="42"/>
      <c r="DM8" s="184"/>
      <c r="DN8" s="184"/>
      <c r="DO8" s="42"/>
      <c r="DP8" s="42"/>
      <c r="DQ8" s="42"/>
      <c r="DR8" s="184"/>
      <c r="DS8" s="184"/>
      <c r="DT8" s="42" t="s">
        <v>61</v>
      </c>
      <c r="DU8" s="54" t="s">
        <v>1248</v>
      </c>
      <c r="DV8" s="42" t="s">
        <v>63</v>
      </c>
    </row>
    <row r="9" spans="1:126" x14ac:dyDescent="0.35">
      <c r="D9" s="86"/>
      <c r="E9" s="261"/>
      <c r="F9" s="196"/>
      <c r="G9" s="196"/>
      <c r="H9" s="196"/>
      <c r="I9" s="196"/>
      <c r="J9" s="196"/>
      <c r="K9" s="196"/>
      <c r="L9" s="196"/>
      <c r="M9" s="196"/>
      <c r="N9" s="196"/>
      <c r="O9" s="196"/>
      <c r="P9" s="196"/>
      <c r="Q9" s="196"/>
      <c r="R9" s="196"/>
      <c r="S9" s="196"/>
      <c r="T9" s="196"/>
      <c r="U9" s="196"/>
      <c r="V9" s="196"/>
      <c r="W9" s="196"/>
      <c r="X9" s="196"/>
      <c r="Y9" s="196"/>
      <c r="Z9" s="196"/>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c r="BC9" s="196"/>
      <c r="BD9" s="196"/>
      <c r="BE9" s="196"/>
      <c r="BF9" s="196"/>
      <c r="BG9" s="196"/>
      <c r="BH9" s="196"/>
      <c r="BI9" s="196"/>
      <c r="BJ9" s="196"/>
      <c r="BK9" s="196"/>
      <c r="BL9" s="196"/>
      <c r="BM9" s="196"/>
      <c r="BN9" s="196"/>
      <c r="BO9" s="196"/>
      <c r="BP9" s="196"/>
      <c r="BQ9" s="196"/>
      <c r="BR9" s="196"/>
      <c r="BS9" s="196"/>
      <c r="BT9" s="196"/>
      <c r="BU9" s="196"/>
      <c r="BV9" s="196"/>
      <c r="BW9" s="196"/>
      <c r="BX9" s="196"/>
      <c r="BY9" s="196"/>
      <c r="BZ9" s="196"/>
      <c r="CA9" s="196"/>
      <c r="CB9" s="196"/>
      <c r="CC9" s="196"/>
      <c r="CD9" s="196"/>
      <c r="CE9" s="196"/>
      <c r="CF9" s="196"/>
      <c r="CG9" s="196"/>
      <c r="CH9" s="196"/>
      <c r="CI9" s="196"/>
      <c r="CJ9" s="196"/>
      <c r="CK9" s="196"/>
      <c r="CL9" s="196"/>
      <c r="CM9" s="196"/>
      <c r="CN9" s="196"/>
      <c r="CO9" s="196"/>
      <c r="CP9" s="196"/>
      <c r="CQ9" s="196"/>
      <c r="CR9" s="196"/>
      <c r="CS9" s="196"/>
      <c r="CT9" s="196"/>
      <c r="CU9" s="196"/>
      <c r="CV9" s="196"/>
      <c r="CW9" s="196"/>
      <c r="CX9" s="196"/>
      <c r="CY9" s="196"/>
      <c r="CZ9" s="196"/>
      <c r="DA9" s="196"/>
      <c r="DB9" s="196"/>
      <c r="DC9" s="196"/>
      <c r="DD9" s="196"/>
      <c r="DE9" s="196"/>
      <c r="DF9" s="196"/>
      <c r="DG9" s="196"/>
      <c r="DH9" s="87"/>
      <c r="DI9" s="42"/>
      <c r="DJ9" s="42"/>
      <c r="DK9" s="42"/>
      <c r="DL9" s="42"/>
      <c r="DM9" s="184"/>
      <c r="DN9" s="184"/>
      <c r="DO9" s="42"/>
      <c r="DP9" s="42"/>
      <c r="DQ9" s="42"/>
      <c r="DR9" s="184"/>
      <c r="DS9" s="184"/>
      <c r="DT9" s="42" t="s">
        <v>61</v>
      </c>
      <c r="DU9" s="54" t="s">
        <v>1248</v>
      </c>
      <c r="DV9" s="42" t="s">
        <v>63</v>
      </c>
    </row>
    <row r="10" spans="1:126" x14ac:dyDescent="0.35">
      <c r="A10" t="s">
        <v>919</v>
      </c>
      <c r="C10" t="s">
        <v>1264</v>
      </c>
      <c r="D10" s="86"/>
      <c r="E10" s="261"/>
      <c r="F10" s="196" t="s">
        <v>978</v>
      </c>
      <c r="G10" s="196"/>
      <c r="H10" s="196"/>
      <c r="I10" s="196"/>
      <c r="J10" s="196"/>
      <c r="K10" s="196"/>
      <c r="L10" s="196"/>
      <c r="M10" s="196"/>
      <c r="N10" s="196"/>
      <c r="O10" s="196"/>
      <c r="P10" s="196"/>
      <c r="Q10" s="196"/>
      <c r="R10" s="196"/>
      <c r="S10" s="196"/>
      <c r="T10" s="196" t="s">
        <v>978</v>
      </c>
      <c r="U10" s="196" t="s">
        <v>978</v>
      </c>
      <c r="V10" s="196" t="s">
        <v>978</v>
      </c>
      <c r="W10" s="196"/>
      <c r="X10" s="196" t="s">
        <v>978</v>
      </c>
      <c r="Y10" s="196"/>
      <c r="Z10" s="196"/>
      <c r="AA10" s="196"/>
      <c r="AB10" s="196"/>
      <c r="AC10" s="196" t="s">
        <v>978</v>
      </c>
      <c r="AD10" s="196"/>
      <c r="AE10" s="196"/>
      <c r="AF10" s="196"/>
      <c r="AG10" s="196"/>
      <c r="AH10" s="196"/>
      <c r="AI10" s="196"/>
      <c r="AJ10" s="196" t="s">
        <v>978</v>
      </c>
      <c r="AK10" s="196"/>
      <c r="AL10" s="196"/>
      <c r="AM10" s="196"/>
      <c r="AN10" s="196" t="s">
        <v>978</v>
      </c>
      <c r="AO10" s="196" t="s">
        <v>978</v>
      </c>
      <c r="AP10" s="196"/>
      <c r="AQ10" s="196"/>
      <c r="AR10" s="196"/>
      <c r="AS10" s="196"/>
      <c r="AT10" s="196"/>
      <c r="AU10" s="196"/>
      <c r="AV10" s="196"/>
      <c r="AW10" s="196"/>
      <c r="AX10" s="196"/>
      <c r="AY10" s="196"/>
      <c r="AZ10" s="196"/>
      <c r="BA10" s="196"/>
      <c r="BB10" s="196"/>
      <c r="BC10" s="196"/>
      <c r="BD10" s="196"/>
      <c r="BE10" s="196"/>
      <c r="BF10" s="196"/>
      <c r="BG10" s="196"/>
      <c r="BH10" s="196"/>
      <c r="BI10" s="196"/>
      <c r="BJ10" s="196"/>
      <c r="BK10" s="196"/>
      <c r="BL10" s="196"/>
      <c r="BM10" s="196"/>
      <c r="BN10" s="196"/>
      <c r="BO10" s="196"/>
      <c r="BP10" s="196"/>
      <c r="BQ10" s="196"/>
      <c r="BR10" s="196"/>
      <c r="BS10" s="196"/>
      <c r="BT10" s="196"/>
      <c r="BU10" s="196"/>
      <c r="BV10" s="196"/>
      <c r="BW10" s="196"/>
      <c r="BX10" s="196"/>
      <c r="BY10" s="196"/>
      <c r="BZ10" s="196"/>
      <c r="CA10" s="196"/>
      <c r="CB10" s="196"/>
      <c r="CC10" s="196"/>
      <c r="CD10" s="196"/>
      <c r="CE10" s="196"/>
      <c r="CF10" s="196"/>
      <c r="CG10" s="196"/>
      <c r="CH10" s="196"/>
      <c r="CI10" s="196"/>
      <c r="CJ10" s="196"/>
      <c r="CK10" s="196"/>
      <c r="CL10" s="196"/>
      <c r="CM10" s="196"/>
      <c r="CN10" s="196"/>
      <c r="CO10" s="196"/>
      <c r="CP10" s="196"/>
      <c r="CQ10" s="196"/>
      <c r="CR10" s="196"/>
      <c r="CS10" s="196"/>
      <c r="CT10" s="196"/>
      <c r="CU10" s="196"/>
      <c r="CV10" s="196"/>
      <c r="CW10" s="196"/>
      <c r="CX10" s="196"/>
      <c r="CY10" s="196"/>
      <c r="CZ10" s="196"/>
      <c r="DA10" s="196"/>
      <c r="DB10" s="196"/>
      <c r="DC10" s="196"/>
      <c r="DD10" s="196"/>
      <c r="DE10" s="196"/>
      <c r="DF10" s="196"/>
      <c r="DG10" s="196"/>
      <c r="DH10" s="87"/>
      <c r="DI10" s="42"/>
      <c r="DJ10" s="42"/>
      <c r="DK10" s="42"/>
      <c r="DL10" s="42"/>
      <c r="DM10" s="184"/>
      <c r="DN10" s="184"/>
      <c r="DO10" s="42"/>
      <c r="DP10" s="42"/>
      <c r="DQ10" s="42"/>
      <c r="DR10" s="184"/>
      <c r="DS10" s="184"/>
      <c r="DT10" s="42" t="s">
        <v>61</v>
      </c>
      <c r="DU10" s="54" t="s">
        <v>1248</v>
      </c>
      <c r="DV10" s="42" t="s">
        <v>63</v>
      </c>
    </row>
    <row r="11" spans="1:126" x14ac:dyDescent="0.35">
      <c r="A11" t="s">
        <v>919</v>
      </c>
      <c r="C11" t="s">
        <v>1267</v>
      </c>
      <c r="D11" s="86"/>
      <c r="E11" s="261"/>
      <c r="F11" s="196"/>
      <c r="G11" s="196"/>
      <c r="H11" s="196"/>
      <c r="I11" s="196"/>
      <c r="J11" s="196"/>
      <c r="K11" s="196"/>
      <c r="L11" s="196"/>
      <c r="M11" s="196"/>
      <c r="N11" s="196"/>
      <c r="O11" s="196"/>
      <c r="P11" s="196"/>
      <c r="Q11" s="196"/>
      <c r="R11" s="196"/>
      <c r="S11" s="196"/>
      <c r="T11" s="196"/>
      <c r="U11" s="196"/>
      <c r="V11" s="196"/>
      <c r="W11" s="196" t="s">
        <v>978</v>
      </c>
      <c r="X11" s="196"/>
      <c r="Y11" s="196" t="s">
        <v>978</v>
      </c>
      <c r="Z11" s="196" t="s">
        <v>978</v>
      </c>
      <c r="AA11" s="196"/>
      <c r="AB11" s="196"/>
      <c r="AC11" s="196"/>
      <c r="AD11" s="196"/>
      <c r="AE11" s="196"/>
      <c r="AF11" s="196"/>
      <c r="AG11" s="196"/>
      <c r="AH11" s="196" t="s">
        <v>978</v>
      </c>
      <c r="AI11" s="196" t="s">
        <v>978</v>
      </c>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c r="BJ11" s="196"/>
      <c r="BK11" s="196"/>
      <c r="BL11" s="196"/>
      <c r="BM11" s="196"/>
      <c r="BN11" s="196"/>
      <c r="BO11" s="196"/>
      <c r="BP11" s="196"/>
      <c r="BQ11" s="196"/>
      <c r="BR11" s="196"/>
      <c r="BS11" s="196"/>
      <c r="BT11" s="196"/>
      <c r="BU11" s="196"/>
      <c r="BV11" s="196"/>
      <c r="BW11" s="196"/>
      <c r="BX11" s="196"/>
      <c r="BY11" s="196"/>
      <c r="BZ11" s="196"/>
      <c r="CA11" s="196"/>
      <c r="CB11" s="196"/>
      <c r="CC11" s="196"/>
      <c r="CD11" s="196"/>
      <c r="CE11" s="196"/>
      <c r="CF11" s="196"/>
      <c r="CG11" s="196"/>
      <c r="CH11" s="196"/>
      <c r="CI11" s="196"/>
      <c r="CJ11" s="196"/>
      <c r="CK11" s="196"/>
      <c r="CL11" s="196"/>
      <c r="CM11" s="196"/>
      <c r="CN11" s="196"/>
      <c r="CO11" s="196"/>
      <c r="CP11" s="196"/>
      <c r="CQ11" s="196"/>
      <c r="CR11" s="196"/>
      <c r="CS11" s="196"/>
      <c r="CT11" s="196"/>
      <c r="CU11" s="196"/>
      <c r="CV11" s="196"/>
      <c r="CW11" s="196"/>
      <c r="CX11" s="196"/>
      <c r="CY11" s="196"/>
      <c r="CZ11" s="196"/>
      <c r="DA11" s="196"/>
      <c r="DB11" s="196"/>
      <c r="DC11" s="196"/>
      <c r="DD11" s="196"/>
      <c r="DE11" s="196"/>
      <c r="DF11" s="196"/>
      <c r="DG11" s="196"/>
      <c r="DH11" s="87"/>
      <c r="DI11" s="42"/>
      <c r="DJ11" s="42"/>
      <c r="DK11" s="42"/>
      <c r="DL11" s="42"/>
      <c r="DM11" s="184"/>
      <c r="DN11" s="184"/>
      <c r="DO11" s="42"/>
      <c r="DP11" s="42"/>
      <c r="DQ11" s="42"/>
      <c r="DR11" s="184"/>
      <c r="DS11" s="184"/>
      <c r="DT11" s="42" t="s">
        <v>61</v>
      </c>
      <c r="DU11" s="54" t="s">
        <v>1248</v>
      </c>
      <c r="DV11" s="42" t="s">
        <v>63</v>
      </c>
    </row>
    <row r="12" spans="1:126" x14ac:dyDescent="0.35">
      <c r="A12" t="s">
        <v>919</v>
      </c>
      <c r="C12" t="s">
        <v>1268</v>
      </c>
      <c r="D12" s="86"/>
      <c r="E12" s="261"/>
      <c r="F12" s="196"/>
      <c r="G12" s="196"/>
      <c r="H12" s="196"/>
      <c r="I12" s="196"/>
      <c r="J12" s="196"/>
      <c r="K12" s="196"/>
      <c r="L12" s="196"/>
      <c r="M12" s="196"/>
      <c r="N12" s="196"/>
      <c r="O12" s="196"/>
      <c r="P12" s="196"/>
      <c r="Q12" s="196" t="s">
        <v>978</v>
      </c>
      <c r="R12" s="196"/>
      <c r="S12" s="196"/>
      <c r="T12" s="196"/>
      <c r="U12" s="196"/>
      <c r="V12" s="196"/>
      <c r="W12" s="196"/>
      <c r="X12" s="196"/>
      <c r="Y12" s="196"/>
      <c r="Z12" s="196"/>
      <c r="AA12" s="196"/>
      <c r="AB12" s="196"/>
      <c r="AC12" s="196"/>
      <c r="AD12" s="196"/>
      <c r="AE12" s="196"/>
      <c r="AF12" s="196"/>
      <c r="AG12" s="196"/>
      <c r="AH12" s="196"/>
      <c r="AI12" s="196"/>
      <c r="AJ12" s="196"/>
      <c r="AK12" s="196"/>
      <c r="AL12" s="196"/>
      <c r="AM12" s="196"/>
      <c r="AN12" s="196"/>
      <c r="AO12" s="196"/>
      <c r="AP12" s="196"/>
      <c r="AQ12" s="196"/>
      <c r="AR12" s="196"/>
      <c r="AS12" s="196"/>
      <c r="AT12" s="196"/>
      <c r="AU12" s="196"/>
      <c r="AV12" s="196"/>
      <c r="AW12" s="196"/>
      <c r="AX12" s="196"/>
      <c r="AY12" s="196"/>
      <c r="AZ12" s="196"/>
      <c r="BA12" s="196"/>
      <c r="BB12" s="196"/>
      <c r="BC12" s="196"/>
      <c r="BD12" s="196"/>
      <c r="BE12" s="196"/>
      <c r="BF12" s="196"/>
      <c r="BG12" s="196"/>
      <c r="BH12" s="196"/>
      <c r="BI12" s="196"/>
      <c r="BJ12" s="196"/>
      <c r="BK12" s="196"/>
      <c r="BL12" s="196"/>
      <c r="BM12" s="196"/>
      <c r="BN12" s="196"/>
      <c r="BO12" s="196"/>
      <c r="BP12" s="196"/>
      <c r="BQ12" s="196"/>
      <c r="BR12" s="196"/>
      <c r="BS12" s="196"/>
      <c r="BT12" s="196"/>
      <c r="BU12" s="196"/>
      <c r="BV12" s="196"/>
      <c r="BW12" s="196"/>
      <c r="BX12" s="196"/>
      <c r="BY12" s="196"/>
      <c r="BZ12" s="196"/>
      <c r="CA12" s="196"/>
      <c r="CB12" s="196"/>
      <c r="CC12" s="196"/>
      <c r="CD12" s="196"/>
      <c r="CE12" s="196"/>
      <c r="CF12" s="196"/>
      <c r="CG12" s="196"/>
      <c r="CH12" s="196"/>
      <c r="CI12" s="196"/>
      <c r="CJ12" s="196"/>
      <c r="CK12" s="196"/>
      <c r="CL12" s="196"/>
      <c r="CM12" s="196"/>
      <c r="CN12" s="196"/>
      <c r="CO12" s="196"/>
      <c r="CP12" s="196"/>
      <c r="CQ12" s="196"/>
      <c r="CR12" s="196"/>
      <c r="CS12" s="196"/>
      <c r="CT12" s="196"/>
      <c r="CU12" s="196"/>
      <c r="CV12" s="196"/>
      <c r="CW12" s="196"/>
      <c r="CX12" s="196"/>
      <c r="CY12" s="196"/>
      <c r="CZ12" s="196"/>
      <c r="DA12" s="196"/>
      <c r="DB12" s="196"/>
      <c r="DC12" s="196"/>
      <c r="DD12" s="196"/>
      <c r="DE12" s="196"/>
      <c r="DF12" s="196"/>
      <c r="DG12" s="196"/>
      <c r="DH12" s="87"/>
      <c r="DI12" s="88"/>
      <c r="DJ12" s="88"/>
      <c r="DK12" s="88"/>
      <c r="DL12" s="88"/>
      <c r="DM12" s="184"/>
      <c r="DN12" s="184"/>
      <c r="DO12" s="88"/>
      <c r="DP12" s="88"/>
      <c r="DQ12" s="88"/>
      <c r="DR12" s="184"/>
      <c r="DS12" s="184"/>
      <c r="DT12" s="88" t="s">
        <v>61</v>
      </c>
      <c r="DU12" s="54" t="s">
        <v>1248</v>
      </c>
      <c r="DV12" s="88" t="s">
        <v>63</v>
      </c>
    </row>
    <row r="13" spans="1:126" x14ac:dyDescent="0.35">
      <c r="A13" t="s">
        <v>919</v>
      </c>
      <c r="C13" t="s">
        <v>1269</v>
      </c>
      <c r="D13" s="86"/>
      <c r="E13" s="261"/>
      <c r="F13" s="196"/>
      <c r="G13" s="196"/>
      <c r="H13" s="196"/>
      <c r="I13" s="196"/>
      <c r="J13" s="196"/>
      <c r="K13" s="196"/>
      <c r="L13" s="196"/>
      <c r="M13" s="196"/>
      <c r="N13" s="196"/>
      <c r="O13" s="196"/>
      <c r="P13" s="196"/>
      <c r="Q13" s="196"/>
      <c r="R13" s="196"/>
      <c r="S13" s="196"/>
      <c r="T13" s="196"/>
      <c r="U13" s="196"/>
      <c r="V13" s="196"/>
      <c r="W13" s="196"/>
      <c r="X13" s="196"/>
      <c r="Y13" s="196"/>
      <c r="Z13" s="196"/>
      <c r="AA13" s="196"/>
      <c r="AB13" s="196"/>
      <c r="AC13" s="196"/>
      <c r="AD13" s="196"/>
      <c r="AE13" s="196"/>
      <c r="AF13" s="196"/>
      <c r="AG13" s="196"/>
      <c r="AH13" s="196"/>
      <c r="AI13" s="196"/>
      <c r="AJ13" s="196"/>
      <c r="AK13" s="196" t="s">
        <v>978</v>
      </c>
      <c r="AL13" s="196" t="s">
        <v>978</v>
      </c>
      <c r="AM13" s="196" t="s">
        <v>978</v>
      </c>
      <c r="AN13" s="196"/>
      <c r="AO13" s="196"/>
      <c r="AP13" s="196"/>
      <c r="AQ13" s="196"/>
      <c r="AR13" s="196"/>
      <c r="AS13" s="196"/>
      <c r="AT13" s="196"/>
      <c r="AU13" s="196"/>
      <c r="AV13" s="196"/>
      <c r="AW13" s="196"/>
      <c r="AX13" s="196"/>
      <c r="AY13" s="196"/>
      <c r="AZ13" s="196"/>
      <c r="BA13" s="196"/>
      <c r="BB13" s="196"/>
      <c r="BC13" s="196"/>
      <c r="BD13" s="196"/>
      <c r="BE13" s="196"/>
      <c r="BF13" s="196"/>
      <c r="BG13" s="196"/>
      <c r="BH13" s="196"/>
      <c r="BI13" s="196"/>
      <c r="BJ13" s="196"/>
      <c r="BK13" s="196"/>
      <c r="BL13" s="196"/>
      <c r="BM13" s="196"/>
      <c r="BN13" s="196"/>
      <c r="BO13" s="196"/>
      <c r="BP13" s="196"/>
      <c r="BQ13" s="196"/>
      <c r="BR13" s="196"/>
      <c r="BS13" s="196"/>
      <c r="BT13" s="196"/>
      <c r="BU13" s="196"/>
      <c r="BV13" s="196"/>
      <c r="BW13" s="196"/>
      <c r="BX13" s="196"/>
      <c r="BY13" s="196"/>
      <c r="BZ13" s="196"/>
      <c r="CA13" s="196"/>
      <c r="CB13" s="196"/>
      <c r="CC13" s="196"/>
      <c r="CD13" s="196"/>
      <c r="CE13" s="196"/>
      <c r="CF13" s="196"/>
      <c r="CG13" s="196"/>
      <c r="CH13" s="196"/>
      <c r="CI13" s="196"/>
      <c r="CJ13" s="196"/>
      <c r="CK13" s="196"/>
      <c r="CL13" s="196"/>
      <c r="CM13" s="196"/>
      <c r="CN13" s="196"/>
      <c r="CO13" s="196"/>
      <c r="CP13" s="196"/>
      <c r="CQ13" s="196"/>
      <c r="CR13" s="196"/>
      <c r="CS13" s="196"/>
      <c r="CT13" s="196"/>
      <c r="CU13" s="196"/>
      <c r="CV13" s="196"/>
      <c r="CW13" s="196"/>
      <c r="CX13" s="196"/>
      <c r="CY13" s="196"/>
      <c r="CZ13" s="196"/>
      <c r="DA13" s="196"/>
      <c r="DB13" s="196"/>
      <c r="DC13" s="196"/>
      <c r="DD13" s="196"/>
      <c r="DE13" s="196"/>
      <c r="DF13" s="196"/>
      <c r="DG13" s="196"/>
      <c r="DH13" s="87"/>
      <c r="DI13" s="88"/>
      <c r="DJ13" s="88"/>
      <c r="DK13" s="88"/>
      <c r="DL13" s="88"/>
      <c r="DM13" s="184"/>
      <c r="DN13" s="184"/>
      <c r="DO13" s="88"/>
      <c r="DP13" s="88"/>
      <c r="DQ13" s="88"/>
      <c r="DR13" s="184"/>
      <c r="DS13" s="184"/>
      <c r="DT13" s="88" t="s">
        <v>61</v>
      </c>
      <c r="DU13" s="54" t="s">
        <v>1248</v>
      </c>
      <c r="DV13" s="88" t="s">
        <v>63</v>
      </c>
    </row>
    <row r="14" spans="1:126" x14ac:dyDescent="0.35">
      <c r="A14" t="s">
        <v>919</v>
      </c>
      <c r="C14" t="s">
        <v>1261</v>
      </c>
      <c r="D14" s="86"/>
      <c r="E14" s="261"/>
      <c r="F14" s="196"/>
      <c r="G14" s="196"/>
      <c r="H14" s="196"/>
      <c r="I14" s="196"/>
      <c r="J14" s="196"/>
      <c r="K14" s="196"/>
      <c r="L14" s="196"/>
      <c r="M14" s="196"/>
      <c r="N14" s="196"/>
      <c r="O14" s="196"/>
      <c r="P14" s="196"/>
      <c r="Q14" s="196"/>
      <c r="R14" s="196"/>
      <c r="S14" s="196"/>
      <c r="T14" s="196"/>
      <c r="U14" s="196"/>
      <c r="V14" s="196"/>
      <c r="W14" s="196"/>
      <c r="X14" s="196"/>
      <c r="Y14" s="196"/>
      <c r="Z14" s="196"/>
      <c r="AA14" s="196" t="s">
        <v>978</v>
      </c>
      <c r="AB14" s="196" t="s">
        <v>978</v>
      </c>
      <c r="AC14" s="196"/>
      <c r="AD14" s="196"/>
      <c r="AE14" s="196"/>
      <c r="AF14" s="196"/>
      <c r="AG14" s="196"/>
      <c r="AH14" s="196"/>
      <c r="AI14" s="196"/>
      <c r="AJ14" s="196"/>
      <c r="AK14" s="196"/>
      <c r="AL14" s="196"/>
      <c r="AM14" s="196"/>
      <c r="AN14" s="196"/>
      <c r="AO14" s="196"/>
      <c r="AP14" s="196"/>
      <c r="AQ14" s="196"/>
      <c r="AR14" s="196"/>
      <c r="AS14" s="196"/>
      <c r="AT14" s="196"/>
      <c r="AU14" s="196"/>
      <c r="AV14" s="196"/>
      <c r="AW14" s="196"/>
      <c r="AX14" s="196"/>
      <c r="AY14" s="196"/>
      <c r="AZ14" s="196"/>
      <c r="BA14" s="196"/>
      <c r="BB14" s="196"/>
      <c r="BC14" s="196"/>
      <c r="BD14" s="196"/>
      <c r="BE14" s="196"/>
      <c r="BF14" s="196"/>
      <c r="BG14" s="196"/>
      <c r="BH14" s="196"/>
      <c r="BI14" s="196"/>
      <c r="BJ14" s="196"/>
      <c r="BK14" s="196"/>
      <c r="BL14" s="196"/>
      <c r="BM14" s="196"/>
      <c r="BN14" s="196"/>
      <c r="BO14" s="196"/>
      <c r="BP14" s="196"/>
      <c r="BQ14" s="196"/>
      <c r="BR14" s="196"/>
      <c r="BS14" s="196"/>
      <c r="BT14" s="196"/>
      <c r="BU14" s="196"/>
      <c r="BV14" s="196"/>
      <c r="BW14" s="196"/>
      <c r="BX14" s="196"/>
      <c r="BY14" s="196"/>
      <c r="BZ14" s="196"/>
      <c r="CA14" s="196"/>
      <c r="CB14" s="196"/>
      <c r="CC14" s="196"/>
      <c r="CD14" s="196"/>
      <c r="CE14" s="196"/>
      <c r="CF14" s="196"/>
      <c r="CG14" s="196"/>
      <c r="CH14" s="196"/>
      <c r="CI14" s="196"/>
      <c r="CJ14" s="196"/>
      <c r="CK14" s="196"/>
      <c r="CL14" s="196"/>
      <c r="CM14" s="196"/>
      <c r="CN14" s="196"/>
      <c r="CO14" s="196"/>
      <c r="CP14" s="196"/>
      <c r="CQ14" s="196"/>
      <c r="CR14" s="196"/>
      <c r="CS14" s="196"/>
      <c r="CT14" s="196"/>
      <c r="CU14" s="196"/>
      <c r="CV14" s="196"/>
      <c r="CW14" s="196"/>
      <c r="CX14" s="196"/>
      <c r="CY14" s="196"/>
      <c r="CZ14" s="196"/>
      <c r="DA14" s="196"/>
      <c r="DB14" s="196"/>
      <c r="DC14" s="196"/>
      <c r="DD14" s="196"/>
      <c r="DE14" s="196"/>
      <c r="DF14" s="196"/>
      <c r="DG14" s="196"/>
      <c r="DH14" s="87"/>
      <c r="DI14" s="88" t="s">
        <v>978</v>
      </c>
      <c r="DJ14" s="88"/>
      <c r="DK14" s="88"/>
      <c r="DL14" s="88"/>
      <c r="DM14" s="184"/>
      <c r="DN14" s="184"/>
      <c r="DO14" s="88"/>
      <c r="DP14" s="88"/>
      <c r="DQ14" s="88"/>
      <c r="DR14" s="184"/>
      <c r="DS14" s="184"/>
      <c r="DT14" s="88" t="s">
        <v>61</v>
      </c>
      <c r="DU14" s="54" t="s">
        <v>1248</v>
      </c>
      <c r="DV14" s="88" t="s">
        <v>63</v>
      </c>
    </row>
    <row r="15" spans="1:126" x14ac:dyDescent="0.35">
      <c r="A15" t="s">
        <v>919</v>
      </c>
      <c r="C15" t="s">
        <v>1270</v>
      </c>
      <c r="D15" s="86"/>
      <c r="E15" s="87"/>
      <c r="F15" s="196"/>
      <c r="G15" s="196"/>
      <c r="H15" s="196"/>
      <c r="I15" s="196"/>
      <c r="J15" s="196"/>
      <c r="K15" s="196"/>
      <c r="L15" s="196"/>
      <c r="M15" s="196"/>
      <c r="N15" s="196"/>
      <c r="O15" s="196"/>
      <c r="P15" s="196"/>
      <c r="Q15" s="196"/>
      <c r="R15" s="196"/>
      <c r="S15" s="196"/>
      <c r="T15" s="196"/>
      <c r="U15" s="196"/>
      <c r="V15" s="196"/>
      <c r="W15" s="196"/>
      <c r="X15" s="196"/>
      <c r="Y15" s="196"/>
      <c r="Z15" s="196"/>
      <c r="AA15" s="196"/>
      <c r="AB15" s="196"/>
      <c r="AC15" s="196"/>
      <c r="AD15" s="196" t="s">
        <v>978</v>
      </c>
      <c r="AE15" s="196"/>
      <c r="AF15" s="196"/>
      <c r="AG15" s="196"/>
      <c r="AH15" s="196"/>
      <c r="AI15" s="196"/>
      <c r="AJ15" s="196"/>
      <c r="AK15" s="196"/>
      <c r="AL15" s="196"/>
      <c r="AM15" s="196"/>
      <c r="AN15" s="196"/>
      <c r="AO15" s="196"/>
      <c r="AP15" s="196"/>
      <c r="AQ15" s="196"/>
      <c r="AR15" s="196"/>
      <c r="AS15" s="196"/>
      <c r="AT15" s="196"/>
      <c r="AU15" s="196"/>
      <c r="AV15" s="196"/>
      <c r="AW15" s="196"/>
      <c r="AX15" s="196"/>
      <c r="AY15" s="196"/>
      <c r="AZ15" s="196"/>
      <c r="BA15" s="196"/>
      <c r="BB15" s="196"/>
      <c r="BC15" s="196"/>
      <c r="BD15" s="196"/>
      <c r="BE15" s="196"/>
      <c r="BF15" s="196"/>
      <c r="BG15" s="196"/>
      <c r="BH15" s="196"/>
      <c r="BI15" s="196"/>
      <c r="BJ15" s="196"/>
      <c r="BK15" s="196"/>
      <c r="BL15" s="196"/>
      <c r="BM15" s="196"/>
      <c r="BN15" s="196"/>
      <c r="BO15" s="196"/>
      <c r="BP15" s="196"/>
      <c r="BQ15" s="196"/>
      <c r="BR15" s="196"/>
      <c r="BS15" s="196"/>
      <c r="BT15" s="196"/>
      <c r="BU15" s="196"/>
      <c r="BV15" s="196"/>
      <c r="BW15" s="196"/>
      <c r="BX15" s="196"/>
      <c r="BY15" s="196"/>
      <c r="BZ15" s="196"/>
      <c r="CA15" s="196"/>
      <c r="CB15" s="196"/>
      <c r="CC15" s="196"/>
      <c r="CD15" s="196"/>
      <c r="CE15" s="196"/>
      <c r="CF15" s="196"/>
      <c r="CG15" s="196"/>
      <c r="CH15" s="196"/>
      <c r="CI15" s="196"/>
      <c r="CJ15" s="196"/>
      <c r="CK15" s="196"/>
      <c r="CL15" s="196"/>
      <c r="CM15" s="196"/>
      <c r="CN15" s="196"/>
      <c r="CO15" s="196"/>
      <c r="CP15" s="196"/>
      <c r="CQ15" s="196"/>
      <c r="CR15" s="196"/>
      <c r="CS15" s="196"/>
      <c r="CT15" s="196"/>
      <c r="CU15" s="196"/>
      <c r="CV15" s="196"/>
      <c r="CW15" s="196"/>
      <c r="CX15" s="196"/>
      <c r="CY15" s="196"/>
      <c r="CZ15" s="196"/>
      <c r="DA15" s="196"/>
      <c r="DB15" s="196"/>
      <c r="DC15" s="196"/>
      <c r="DD15" s="196"/>
      <c r="DE15" s="196"/>
      <c r="DF15" s="196"/>
      <c r="DG15" s="196"/>
      <c r="DH15" s="87"/>
      <c r="DI15" s="88"/>
      <c r="DJ15" s="88"/>
      <c r="DK15" s="88"/>
      <c r="DL15" s="88"/>
      <c r="DM15" s="184"/>
      <c r="DN15" s="184"/>
      <c r="DO15" s="88"/>
      <c r="DP15" s="88"/>
      <c r="DQ15" s="88"/>
      <c r="DR15" s="184"/>
      <c r="DS15" s="184"/>
      <c r="DT15" s="88" t="s">
        <v>61</v>
      </c>
      <c r="DU15" s="54" t="s">
        <v>1248</v>
      </c>
      <c r="DV15" s="88" t="s">
        <v>63</v>
      </c>
    </row>
    <row r="16" spans="1:126" x14ac:dyDescent="0.35">
      <c r="A16" t="s">
        <v>919</v>
      </c>
      <c r="C16" t="s">
        <v>1271</v>
      </c>
      <c r="D16" s="86"/>
      <c r="E16" s="87"/>
      <c r="F16" s="196"/>
      <c r="G16" s="196"/>
      <c r="H16" s="196"/>
      <c r="I16" s="196"/>
      <c r="J16" s="196"/>
      <c r="K16" s="196"/>
      <c r="L16" s="196"/>
      <c r="M16" s="196"/>
      <c r="N16" s="196"/>
      <c r="O16" s="196"/>
      <c r="P16" s="196"/>
      <c r="Q16" s="196"/>
      <c r="R16" s="196"/>
      <c r="S16" s="196"/>
      <c r="T16" s="196"/>
      <c r="U16" s="196"/>
      <c r="V16" s="196"/>
      <c r="W16" s="196"/>
      <c r="X16" s="196"/>
      <c r="Y16" s="196"/>
      <c r="Z16" s="196"/>
      <c r="AA16" s="196"/>
      <c r="AB16" s="196"/>
      <c r="AC16" s="196"/>
      <c r="AD16" s="196"/>
      <c r="AE16" s="196" t="s">
        <v>978</v>
      </c>
      <c r="AF16" s="196" t="s">
        <v>978</v>
      </c>
      <c r="AG16" s="196" t="s">
        <v>978</v>
      </c>
      <c r="AH16" s="196"/>
      <c r="AI16" s="196"/>
      <c r="AJ16" s="196"/>
      <c r="AK16" s="196"/>
      <c r="AL16" s="196"/>
      <c r="AM16" s="196"/>
      <c r="AN16" s="196"/>
      <c r="AO16" s="196"/>
      <c r="AP16" s="196"/>
      <c r="AQ16" s="196"/>
      <c r="AR16" s="196"/>
      <c r="AS16" s="196"/>
      <c r="AT16" s="196"/>
      <c r="AU16" s="196"/>
      <c r="AV16" s="196"/>
      <c r="AW16" s="196"/>
      <c r="AX16" s="196"/>
      <c r="AY16" s="196"/>
      <c r="AZ16" s="196"/>
      <c r="BA16" s="196"/>
      <c r="BB16" s="196"/>
      <c r="BC16" s="196"/>
      <c r="BD16" s="196"/>
      <c r="BE16" s="196"/>
      <c r="BF16" s="196"/>
      <c r="BG16" s="196"/>
      <c r="BH16" s="196"/>
      <c r="BI16" s="196"/>
      <c r="BJ16" s="196"/>
      <c r="BK16" s="196"/>
      <c r="BL16" s="196"/>
      <c r="BM16" s="196"/>
      <c r="BN16" s="196"/>
      <c r="BO16" s="196"/>
      <c r="BP16" s="196"/>
      <c r="BQ16" s="196"/>
      <c r="BR16" s="196"/>
      <c r="BS16" s="196"/>
      <c r="BT16" s="196"/>
      <c r="BU16" s="196"/>
      <c r="BV16" s="196"/>
      <c r="BW16" s="196"/>
      <c r="BX16" s="196"/>
      <c r="BY16" s="196"/>
      <c r="BZ16" s="196"/>
      <c r="CA16" s="196"/>
      <c r="CB16" s="196"/>
      <c r="CC16" s="196"/>
      <c r="CD16" s="196"/>
      <c r="CE16" s="196"/>
      <c r="CF16" s="196"/>
      <c r="CG16" s="196"/>
      <c r="CH16" s="196"/>
      <c r="CI16" s="196"/>
      <c r="CJ16" s="196"/>
      <c r="CK16" s="196"/>
      <c r="CL16" s="196"/>
      <c r="CM16" s="196"/>
      <c r="CN16" s="196"/>
      <c r="CO16" s="196"/>
      <c r="CP16" s="196"/>
      <c r="CQ16" s="196"/>
      <c r="CR16" s="196"/>
      <c r="CS16" s="196"/>
      <c r="CT16" s="196"/>
      <c r="CU16" s="196"/>
      <c r="CV16" s="196"/>
      <c r="CW16" s="196"/>
      <c r="CX16" s="196"/>
      <c r="CY16" s="196"/>
      <c r="CZ16" s="196"/>
      <c r="DA16" s="196"/>
      <c r="DB16" s="196"/>
      <c r="DC16" s="196"/>
      <c r="DD16" s="196"/>
      <c r="DE16" s="196"/>
      <c r="DF16" s="196"/>
      <c r="DG16" s="196"/>
      <c r="DH16" s="87"/>
      <c r="DI16" s="88"/>
      <c r="DJ16" s="88"/>
      <c r="DK16" s="88"/>
      <c r="DL16" s="88"/>
      <c r="DM16" s="184"/>
      <c r="DN16" s="184"/>
      <c r="DO16" s="88"/>
      <c r="DP16" s="88"/>
      <c r="DQ16" s="88"/>
      <c r="DR16" s="184"/>
      <c r="DS16" s="184"/>
      <c r="DT16" s="88" t="s">
        <v>61</v>
      </c>
      <c r="DU16" s="54" t="s">
        <v>1248</v>
      </c>
      <c r="DV16" s="88" t="s">
        <v>63</v>
      </c>
    </row>
    <row r="17" spans="1:126" ht="12" customHeight="1" x14ac:dyDescent="0.35">
      <c r="D17" s="86"/>
      <c r="E17" s="87"/>
      <c r="F17" s="196"/>
      <c r="G17" s="196"/>
      <c r="H17" s="196"/>
      <c r="I17" s="196"/>
      <c r="J17" s="196"/>
      <c r="K17" s="196"/>
      <c r="L17" s="196"/>
      <c r="M17" s="196"/>
      <c r="N17" s="196"/>
      <c r="O17" s="196"/>
      <c r="P17" s="196"/>
      <c r="Q17" s="196"/>
      <c r="R17" s="196"/>
      <c r="S17" s="196"/>
      <c r="T17" s="196"/>
      <c r="U17" s="196"/>
      <c r="V17" s="196"/>
      <c r="W17" s="196"/>
      <c r="X17" s="196"/>
      <c r="Y17" s="196"/>
      <c r="Z17" s="196"/>
      <c r="AA17" s="196"/>
      <c r="AB17" s="196"/>
      <c r="AC17" s="196"/>
      <c r="AD17" s="196"/>
      <c r="AE17" s="196"/>
      <c r="AF17" s="196"/>
      <c r="AG17" s="196"/>
      <c r="AH17" s="196"/>
      <c r="AI17" s="196"/>
      <c r="AJ17" s="196"/>
      <c r="AK17" s="196"/>
      <c r="AL17" s="196"/>
      <c r="AM17" s="196"/>
      <c r="AN17" s="196"/>
      <c r="AO17" s="196"/>
      <c r="AP17" s="196"/>
      <c r="AQ17" s="196"/>
      <c r="AR17" s="196"/>
      <c r="AS17" s="196"/>
      <c r="AT17" s="196"/>
      <c r="AU17" s="196"/>
      <c r="AV17" s="196"/>
      <c r="AW17" s="196"/>
      <c r="AX17" s="196"/>
      <c r="AY17" s="196"/>
      <c r="AZ17" s="196"/>
      <c r="BA17" s="196"/>
      <c r="BB17" s="196"/>
      <c r="BC17" s="196"/>
      <c r="BD17" s="196"/>
      <c r="BE17" s="196"/>
      <c r="BF17" s="196"/>
      <c r="BG17" s="196"/>
      <c r="BH17" s="196"/>
      <c r="BI17" s="196"/>
      <c r="BJ17" s="196"/>
      <c r="BK17" s="196"/>
      <c r="BL17" s="196"/>
      <c r="BM17" s="196"/>
      <c r="BN17" s="196"/>
      <c r="BO17" s="196"/>
      <c r="BP17" s="196"/>
      <c r="BQ17" s="196"/>
      <c r="BR17" s="196"/>
      <c r="BS17" s="196"/>
      <c r="BT17" s="196"/>
      <c r="BU17" s="196"/>
      <c r="BV17" s="196"/>
      <c r="BW17" s="196"/>
      <c r="BX17" s="196"/>
      <c r="BY17" s="196"/>
      <c r="BZ17" s="196"/>
      <c r="CA17" s="196"/>
      <c r="CB17" s="196"/>
      <c r="CC17" s="196"/>
      <c r="CD17" s="196"/>
      <c r="CE17" s="196"/>
      <c r="CF17" s="196"/>
      <c r="CG17" s="196"/>
      <c r="CH17" s="196"/>
      <c r="CI17" s="196"/>
      <c r="CJ17" s="196"/>
      <c r="CK17" s="196"/>
      <c r="CL17" s="196"/>
      <c r="CM17" s="196"/>
      <c r="CN17" s="196"/>
      <c r="CO17" s="196"/>
      <c r="CP17" s="196"/>
      <c r="CQ17" s="196"/>
      <c r="CR17" s="196"/>
      <c r="CS17" s="196"/>
      <c r="CT17" s="196"/>
      <c r="CU17" s="196"/>
      <c r="CV17" s="196"/>
      <c r="CW17" s="196"/>
      <c r="CX17" s="196"/>
      <c r="CY17" s="196"/>
      <c r="CZ17" s="196"/>
      <c r="DA17" s="196"/>
      <c r="DB17" s="196"/>
      <c r="DC17" s="196"/>
      <c r="DD17" s="196"/>
      <c r="DE17" s="196"/>
      <c r="DF17" s="196"/>
      <c r="DG17" s="196"/>
      <c r="DH17" s="87"/>
      <c r="DI17" s="88"/>
      <c r="DJ17" s="88"/>
      <c r="DK17" s="88"/>
      <c r="DL17" s="88"/>
      <c r="DM17" s="184"/>
      <c r="DN17" s="184"/>
      <c r="DO17" s="88"/>
      <c r="DP17" s="88"/>
      <c r="DQ17" s="88"/>
      <c r="DR17" s="184"/>
      <c r="DS17" s="184"/>
      <c r="DT17" s="88" t="s">
        <v>61</v>
      </c>
      <c r="DU17" s="54" t="s">
        <v>1248</v>
      </c>
      <c r="DV17" s="88" t="s">
        <v>63</v>
      </c>
    </row>
    <row r="18" spans="1:126" x14ac:dyDescent="0.35">
      <c r="A18" t="s">
        <v>926</v>
      </c>
      <c r="C18" t="s">
        <v>1264</v>
      </c>
      <c r="D18" s="86"/>
      <c r="E18" s="87"/>
      <c r="F18" s="196" t="s">
        <v>978</v>
      </c>
      <c r="G18" s="196"/>
      <c r="H18" s="196"/>
      <c r="I18" s="196"/>
      <c r="J18" s="196"/>
      <c r="K18" s="196"/>
      <c r="L18" s="196"/>
      <c r="M18" s="196"/>
      <c r="N18" s="196"/>
      <c r="O18" s="196"/>
      <c r="P18" s="196"/>
      <c r="Q18" s="196"/>
      <c r="R18" s="196"/>
      <c r="S18" s="196"/>
      <c r="T18" s="196"/>
      <c r="U18" s="196"/>
      <c r="V18" s="196"/>
      <c r="W18" s="196"/>
      <c r="X18" s="196"/>
      <c r="Y18" s="196"/>
      <c r="Z18" s="196"/>
      <c r="AA18" s="196"/>
      <c r="AB18" s="196"/>
      <c r="AC18" s="196"/>
      <c r="AD18" s="196"/>
      <c r="AE18" s="196"/>
      <c r="AF18" s="196"/>
      <c r="AG18" s="196"/>
      <c r="AH18" s="196"/>
      <c r="AI18" s="196"/>
      <c r="AJ18" s="196"/>
      <c r="AK18" s="196"/>
      <c r="AL18" s="196"/>
      <c r="AM18" s="196"/>
      <c r="AN18" s="196"/>
      <c r="AO18" s="196"/>
      <c r="AP18" s="196" t="s">
        <v>978</v>
      </c>
      <c r="AQ18" s="196" t="s">
        <v>978</v>
      </c>
      <c r="AR18" s="196"/>
      <c r="AS18" s="196"/>
      <c r="AT18" s="196"/>
      <c r="AU18" s="196"/>
      <c r="AV18" s="196"/>
      <c r="AW18" s="196"/>
      <c r="AX18" s="196"/>
      <c r="AY18" s="196"/>
      <c r="AZ18" s="196"/>
      <c r="BA18" s="196"/>
      <c r="BB18" s="196"/>
      <c r="BC18" s="196"/>
      <c r="BD18" s="196"/>
      <c r="BE18" s="196"/>
      <c r="BF18" s="196"/>
      <c r="BG18" s="196"/>
      <c r="BH18" s="196"/>
      <c r="BI18" s="196"/>
      <c r="BJ18" s="196"/>
      <c r="BK18" s="196"/>
      <c r="BL18" s="196"/>
      <c r="BM18" s="196"/>
      <c r="BN18" s="196"/>
      <c r="BO18" s="196"/>
      <c r="BP18" s="196"/>
      <c r="BQ18" s="196"/>
      <c r="BR18" s="196"/>
      <c r="BS18" s="196"/>
      <c r="BT18" s="196"/>
      <c r="BU18" s="196"/>
      <c r="BV18" s="196"/>
      <c r="BW18" s="196"/>
      <c r="BX18" s="196"/>
      <c r="BY18" s="196"/>
      <c r="BZ18" s="196"/>
      <c r="CA18" s="196"/>
      <c r="CB18" s="196"/>
      <c r="CC18" s="196"/>
      <c r="CD18" s="196"/>
      <c r="CE18" s="196"/>
      <c r="CF18" s="196"/>
      <c r="CG18" s="196"/>
      <c r="CH18" s="196"/>
      <c r="CI18" s="196"/>
      <c r="CJ18" s="196"/>
      <c r="CK18" s="196"/>
      <c r="CL18" s="196"/>
      <c r="CM18" s="196"/>
      <c r="CN18" s="196"/>
      <c r="CO18" s="196"/>
      <c r="CP18" s="196"/>
      <c r="CQ18" s="196"/>
      <c r="CR18" s="196"/>
      <c r="CS18" s="196"/>
      <c r="CT18" s="196"/>
      <c r="CU18" s="196"/>
      <c r="CV18" s="196"/>
      <c r="CW18" s="196"/>
      <c r="CX18" s="196"/>
      <c r="CY18" s="196"/>
      <c r="CZ18" s="196"/>
      <c r="DA18" s="196"/>
      <c r="DB18" s="196"/>
      <c r="DC18" s="196"/>
      <c r="DD18" s="196"/>
      <c r="DE18" s="196"/>
      <c r="DF18" s="196"/>
      <c r="DG18" s="196"/>
      <c r="DH18" s="87"/>
      <c r="DI18" s="88"/>
      <c r="DJ18" s="88"/>
      <c r="DK18" s="88"/>
      <c r="DL18" s="88"/>
      <c r="DM18" s="184"/>
      <c r="DN18" s="184"/>
      <c r="DO18" s="88"/>
      <c r="DP18" s="88"/>
      <c r="DQ18" s="88"/>
      <c r="DR18" s="184"/>
      <c r="DS18" s="184"/>
      <c r="DT18" s="88" t="s">
        <v>61</v>
      </c>
      <c r="DU18" s="54" t="s">
        <v>1248</v>
      </c>
      <c r="DV18" s="88" t="s">
        <v>63</v>
      </c>
    </row>
    <row r="19" spans="1:126" x14ac:dyDescent="0.35">
      <c r="A19" t="s">
        <v>926</v>
      </c>
      <c r="C19" t="s">
        <v>1267</v>
      </c>
      <c r="D19" s="86"/>
      <c r="E19" s="87"/>
      <c r="F19" s="196"/>
      <c r="G19" s="196"/>
      <c r="H19" s="196"/>
      <c r="I19" s="196"/>
      <c r="J19" s="196"/>
      <c r="K19" s="196"/>
      <c r="L19" s="196"/>
      <c r="M19" s="196"/>
      <c r="N19" s="196"/>
      <c r="O19" s="196"/>
      <c r="P19" s="196"/>
      <c r="Q19" s="196"/>
      <c r="R19" s="196"/>
      <c r="S19" s="196"/>
      <c r="T19" s="196"/>
      <c r="U19" s="196"/>
      <c r="V19" s="196"/>
      <c r="W19" s="196"/>
      <c r="X19" s="196"/>
      <c r="Y19" s="196"/>
      <c r="Z19" s="196"/>
      <c r="AA19" s="196"/>
      <c r="AB19" s="196"/>
      <c r="AC19" s="196"/>
      <c r="AD19" s="196"/>
      <c r="AE19" s="196"/>
      <c r="AF19" s="196"/>
      <c r="AG19" s="196"/>
      <c r="AH19" s="196"/>
      <c r="AI19" s="196"/>
      <c r="AJ19" s="196"/>
      <c r="AK19" s="196"/>
      <c r="AL19" s="196"/>
      <c r="AM19" s="196"/>
      <c r="AN19" s="196"/>
      <c r="AO19" s="196"/>
      <c r="AP19" s="196"/>
      <c r="AQ19" s="196"/>
      <c r="AR19" s="196"/>
      <c r="AS19" s="196"/>
      <c r="AT19" s="196"/>
      <c r="AU19" s="196"/>
      <c r="AV19" s="196" t="s">
        <v>978</v>
      </c>
      <c r="AW19" s="196"/>
      <c r="AX19" s="196"/>
      <c r="AY19" s="196"/>
      <c r="AZ19" s="196"/>
      <c r="BA19" s="196"/>
      <c r="BB19" s="196"/>
      <c r="BC19" s="196"/>
      <c r="BD19" s="196"/>
      <c r="BE19" s="196"/>
      <c r="BF19" s="196"/>
      <c r="BG19" s="196"/>
      <c r="BH19" s="196"/>
      <c r="BI19" s="196"/>
      <c r="BJ19" s="196"/>
      <c r="BK19" s="196"/>
      <c r="BL19" s="196"/>
      <c r="BM19" s="196"/>
      <c r="BN19" s="196"/>
      <c r="BO19" s="196"/>
      <c r="BP19" s="196"/>
      <c r="BQ19" s="196"/>
      <c r="BR19" s="196"/>
      <c r="BS19" s="196"/>
      <c r="BT19" s="196"/>
      <c r="BU19" s="196"/>
      <c r="BV19" s="196"/>
      <c r="BW19" s="196"/>
      <c r="BX19" s="196"/>
      <c r="BY19" s="196"/>
      <c r="BZ19" s="196"/>
      <c r="CA19" s="196"/>
      <c r="CB19" s="196"/>
      <c r="CC19" s="196"/>
      <c r="CD19" s="196"/>
      <c r="CE19" s="196"/>
      <c r="CF19" s="196"/>
      <c r="CG19" s="196"/>
      <c r="CH19" s="196"/>
      <c r="CI19" s="196"/>
      <c r="CJ19" s="196"/>
      <c r="CK19" s="196"/>
      <c r="CL19" s="196"/>
      <c r="CM19" s="196"/>
      <c r="CN19" s="196"/>
      <c r="CO19" s="196"/>
      <c r="CP19" s="196"/>
      <c r="CQ19" s="196"/>
      <c r="CR19" s="196"/>
      <c r="CS19" s="196"/>
      <c r="CT19" s="196"/>
      <c r="CU19" s="196"/>
      <c r="CV19" s="196"/>
      <c r="CW19" s="196"/>
      <c r="CX19" s="196"/>
      <c r="CY19" s="196"/>
      <c r="CZ19" s="196"/>
      <c r="DA19" s="196"/>
      <c r="DB19" s="196"/>
      <c r="DC19" s="196"/>
      <c r="DD19" s="196"/>
      <c r="DE19" s="196"/>
      <c r="DF19" s="196"/>
      <c r="DG19" s="196"/>
      <c r="DH19" s="87"/>
      <c r="DI19" s="88"/>
      <c r="DJ19" s="88"/>
      <c r="DK19" s="88"/>
      <c r="DL19" s="88"/>
      <c r="DM19" s="184"/>
      <c r="DN19" s="184"/>
      <c r="DO19" s="88"/>
      <c r="DP19" s="88"/>
      <c r="DQ19" s="88"/>
      <c r="DR19" s="184"/>
      <c r="DS19" s="184"/>
      <c r="DT19" s="88" t="s">
        <v>61</v>
      </c>
      <c r="DU19" s="54" t="s">
        <v>1248</v>
      </c>
      <c r="DV19" s="88" t="s">
        <v>63</v>
      </c>
    </row>
    <row r="20" spans="1:126" x14ac:dyDescent="0.35">
      <c r="A20" t="s">
        <v>926</v>
      </c>
      <c r="C20" t="s">
        <v>1261</v>
      </c>
      <c r="D20" s="86"/>
      <c r="E20" s="87"/>
      <c r="F20" s="196"/>
      <c r="G20" s="196"/>
      <c r="H20" s="196"/>
      <c r="I20" s="196"/>
      <c r="J20" s="196"/>
      <c r="K20" s="196"/>
      <c r="L20" s="196"/>
      <c r="M20" s="196"/>
      <c r="N20" s="196"/>
      <c r="O20" s="196"/>
      <c r="P20" s="196"/>
      <c r="Q20" s="196"/>
      <c r="R20" s="196"/>
      <c r="S20" s="196"/>
      <c r="T20" s="196"/>
      <c r="U20" s="196"/>
      <c r="V20" s="196"/>
      <c r="W20" s="196"/>
      <c r="X20" s="196"/>
      <c r="Y20" s="196"/>
      <c r="Z20" s="196"/>
      <c r="AA20" s="196"/>
      <c r="AB20" s="196"/>
      <c r="AC20" s="196"/>
      <c r="AD20" s="196"/>
      <c r="AE20" s="196"/>
      <c r="AF20" s="196"/>
      <c r="AG20" s="196"/>
      <c r="AH20" s="196"/>
      <c r="AI20" s="196"/>
      <c r="AJ20" s="196"/>
      <c r="AK20" s="196"/>
      <c r="AL20" s="196"/>
      <c r="AM20" s="196"/>
      <c r="AN20" s="196"/>
      <c r="AO20" s="196"/>
      <c r="AP20" s="196"/>
      <c r="AQ20" s="196"/>
      <c r="AR20" s="196" t="s">
        <v>978</v>
      </c>
      <c r="AS20" s="196" t="s">
        <v>978</v>
      </c>
      <c r="AT20" s="196" t="s">
        <v>978</v>
      </c>
      <c r="AU20" s="196" t="s">
        <v>978</v>
      </c>
      <c r="AV20" s="196"/>
      <c r="AW20" s="196"/>
      <c r="AX20" s="196"/>
      <c r="AY20" s="196"/>
      <c r="AZ20" s="196"/>
      <c r="BA20" s="196"/>
      <c r="BB20" s="196"/>
      <c r="BC20" s="196"/>
      <c r="BD20" s="196"/>
      <c r="BE20" s="196"/>
      <c r="BF20" s="196"/>
      <c r="BG20" s="196"/>
      <c r="BH20" s="196"/>
      <c r="BI20" s="196"/>
      <c r="BJ20" s="196"/>
      <c r="BK20" s="196"/>
      <c r="BL20" s="196"/>
      <c r="BM20" s="196"/>
      <c r="BN20" s="196"/>
      <c r="BO20" s="196"/>
      <c r="BP20" s="196"/>
      <c r="BQ20" s="196"/>
      <c r="BR20" s="196"/>
      <c r="BS20" s="196"/>
      <c r="BT20" s="196"/>
      <c r="BU20" s="196"/>
      <c r="BV20" s="196"/>
      <c r="BW20" s="196"/>
      <c r="BX20" s="196"/>
      <c r="BY20" s="196"/>
      <c r="BZ20" s="196"/>
      <c r="CA20" s="196"/>
      <c r="CB20" s="196"/>
      <c r="CC20" s="196"/>
      <c r="CD20" s="196"/>
      <c r="CE20" s="196"/>
      <c r="CF20" s="196"/>
      <c r="CG20" s="196"/>
      <c r="CH20" s="196"/>
      <c r="CI20" s="196"/>
      <c r="CJ20" s="196"/>
      <c r="CK20" s="196"/>
      <c r="CL20" s="196"/>
      <c r="CM20" s="196"/>
      <c r="CN20" s="196"/>
      <c r="CO20" s="196"/>
      <c r="CP20" s="196"/>
      <c r="CQ20" s="196"/>
      <c r="CR20" s="196"/>
      <c r="CS20" s="196"/>
      <c r="CT20" s="196"/>
      <c r="CU20" s="196"/>
      <c r="CV20" s="196"/>
      <c r="CW20" s="196"/>
      <c r="CX20" s="196"/>
      <c r="CY20" s="196"/>
      <c r="CZ20" s="196"/>
      <c r="DA20" s="196"/>
      <c r="DB20" s="196"/>
      <c r="DC20" s="196"/>
      <c r="DD20" s="196"/>
      <c r="DE20" s="196"/>
      <c r="DF20" s="196"/>
      <c r="DG20" s="196"/>
      <c r="DH20" s="87"/>
      <c r="DI20" s="88" t="s">
        <v>978</v>
      </c>
      <c r="DJ20" s="88"/>
      <c r="DK20" s="88"/>
      <c r="DL20" s="88"/>
      <c r="DM20" s="184"/>
      <c r="DN20" s="184"/>
      <c r="DO20" s="88"/>
      <c r="DP20" s="88"/>
      <c r="DQ20" s="88"/>
      <c r="DR20" s="184"/>
      <c r="DS20" s="184"/>
      <c r="DT20" s="88" t="s">
        <v>61</v>
      </c>
      <c r="DU20" s="54" t="s">
        <v>1248</v>
      </c>
      <c r="DV20" s="88" t="s">
        <v>63</v>
      </c>
    </row>
    <row r="21" spans="1:126" x14ac:dyDescent="0.35">
      <c r="D21" s="86"/>
      <c r="E21" s="87"/>
      <c r="F21" s="196"/>
      <c r="G21" s="196"/>
      <c r="H21" s="196"/>
      <c r="I21" s="196"/>
      <c r="J21" s="196"/>
      <c r="K21" s="196"/>
      <c r="L21" s="196"/>
      <c r="M21" s="196"/>
      <c r="N21" s="196"/>
      <c r="O21" s="196"/>
      <c r="P21" s="196"/>
      <c r="Q21" s="196"/>
      <c r="R21" s="196"/>
      <c r="S21" s="196"/>
      <c r="T21" s="196"/>
      <c r="U21" s="196"/>
      <c r="V21" s="196"/>
      <c r="W21" s="196"/>
      <c r="X21" s="196"/>
      <c r="Y21" s="196"/>
      <c r="Z21" s="196"/>
      <c r="AA21" s="196"/>
      <c r="AB21" s="196"/>
      <c r="AC21" s="196"/>
      <c r="AD21" s="196"/>
      <c r="AE21" s="196"/>
      <c r="AF21" s="196"/>
      <c r="AG21" s="196"/>
      <c r="AH21" s="196"/>
      <c r="AI21" s="196"/>
      <c r="AJ21" s="196"/>
      <c r="AK21" s="196"/>
      <c r="AL21" s="196"/>
      <c r="AM21" s="196"/>
      <c r="AN21" s="196"/>
      <c r="AO21" s="196"/>
      <c r="AP21" s="196"/>
      <c r="AQ21" s="196"/>
      <c r="AR21" s="196"/>
      <c r="AS21" s="196"/>
      <c r="AT21" s="196"/>
      <c r="AU21" s="196"/>
      <c r="AV21" s="196"/>
      <c r="AW21" s="196"/>
      <c r="AX21" s="196"/>
      <c r="AY21" s="196"/>
      <c r="AZ21" s="196"/>
      <c r="BA21" s="196"/>
      <c r="BB21" s="196"/>
      <c r="BC21" s="196"/>
      <c r="BD21" s="196"/>
      <c r="BE21" s="196"/>
      <c r="BF21" s="196"/>
      <c r="BG21" s="196"/>
      <c r="BH21" s="196"/>
      <c r="BI21" s="196"/>
      <c r="BJ21" s="196"/>
      <c r="BK21" s="196"/>
      <c r="BL21" s="196"/>
      <c r="BM21" s="196"/>
      <c r="BN21" s="196"/>
      <c r="BO21" s="196"/>
      <c r="BP21" s="196"/>
      <c r="BQ21" s="196"/>
      <c r="BR21" s="196"/>
      <c r="BS21" s="196"/>
      <c r="BT21" s="196"/>
      <c r="BU21" s="196"/>
      <c r="BV21" s="196"/>
      <c r="BW21" s="196"/>
      <c r="BX21" s="196"/>
      <c r="BY21" s="196"/>
      <c r="BZ21" s="196"/>
      <c r="CA21" s="196"/>
      <c r="CB21" s="196"/>
      <c r="CC21" s="196"/>
      <c r="CD21" s="196"/>
      <c r="CE21" s="196"/>
      <c r="CF21" s="196"/>
      <c r="CG21" s="196"/>
      <c r="CH21" s="196"/>
      <c r="CI21" s="196"/>
      <c r="CJ21" s="196"/>
      <c r="CK21" s="196"/>
      <c r="CL21" s="196"/>
      <c r="CM21" s="196"/>
      <c r="CN21" s="196"/>
      <c r="CO21" s="196"/>
      <c r="CP21" s="196"/>
      <c r="CQ21" s="196"/>
      <c r="CR21" s="196"/>
      <c r="CS21" s="196"/>
      <c r="CT21" s="196"/>
      <c r="CU21" s="196"/>
      <c r="CV21" s="196"/>
      <c r="CW21" s="196"/>
      <c r="CX21" s="196"/>
      <c r="CY21" s="196"/>
      <c r="CZ21" s="196"/>
      <c r="DA21" s="196"/>
      <c r="DB21" s="196"/>
      <c r="DC21" s="196"/>
      <c r="DD21" s="196"/>
      <c r="DE21" s="196"/>
      <c r="DF21" s="196"/>
      <c r="DG21" s="196"/>
      <c r="DH21" s="87"/>
      <c r="DI21" s="88"/>
      <c r="DJ21" s="88"/>
      <c r="DK21" s="88"/>
      <c r="DL21" s="88"/>
      <c r="DM21" s="184"/>
      <c r="DN21" s="184"/>
      <c r="DO21" s="88"/>
      <c r="DP21" s="88"/>
      <c r="DQ21" s="88"/>
      <c r="DR21" s="184"/>
      <c r="DS21" s="184"/>
      <c r="DT21" s="88" t="s">
        <v>61</v>
      </c>
      <c r="DU21" s="54" t="s">
        <v>1248</v>
      </c>
      <c r="DV21" s="88" t="s">
        <v>63</v>
      </c>
    </row>
    <row r="22" spans="1:126" x14ac:dyDescent="0.35">
      <c r="A22" t="s">
        <v>934</v>
      </c>
      <c r="C22" t="s">
        <v>1264</v>
      </c>
      <c r="D22" s="86"/>
      <c r="E22" s="87"/>
      <c r="F22" s="196" t="s">
        <v>978</v>
      </c>
      <c r="G22" s="196"/>
      <c r="H22" s="196"/>
      <c r="I22" s="196"/>
      <c r="J22" s="196"/>
      <c r="K22" s="196"/>
      <c r="L22" s="196"/>
      <c r="M22" s="196"/>
      <c r="N22" s="196"/>
      <c r="O22" s="196"/>
      <c r="P22" s="196"/>
      <c r="Q22" s="196"/>
      <c r="R22" s="196"/>
      <c r="S22" s="196"/>
      <c r="T22" s="196"/>
      <c r="U22" s="196"/>
      <c r="V22" s="196"/>
      <c r="W22" s="196"/>
      <c r="X22" s="196"/>
      <c r="Y22" s="196"/>
      <c r="Z22" s="196"/>
      <c r="AA22" s="196"/>
      <c r="AB22" s="196"/>
      <c r="AC22" s="196"/>
      <c r="AD22" s="196"/>
      <c r="AE22" s="196"/>
      <c r="AF22" s="196"/>
      <c r="AG22" s="196"/>
      <c r="AH22" s="196"/>
      <c r="AI22" s="196"/>
      <c r="AJ22" s="196"/>
      <c r="AK22" s="196"/>
      <c r="AL22" s="196"/>
      <c r="AM22" s="196"/>
      <c r="AN22" s="196"/>
      <c r="AO22" s="196"/>
      <c r="AP22" s="196" t="s">
        <v>978</v>
      </c>
      <c r="AQ22" s="196"/>
      <c r="AR22" s="196"/>
      <c r="AS22" s="196"/>
      <c r="AT22" s="196"/>
      <c r="AU22" s="196"/>
      <c r="AV22" s="196"/>
      <c r="AW22" s="196" t="s">
        <v>978</v>
      </c>
      <c r="AX22" s="196" t="s">
        <v>978</v>
      </c>
      <c r="AY22" s="196" t="s">
        <v>978</v>
      </c>
      <c r="AZ22" s="196"/>
      <c r="BA22" s="196"/>
      <c r="BB22" s="196"/>
      <c r="BC22" s="196"/>
      <c r="BD22" s="196"/>
      <c r="BE22" s="196"/>
      <c r="BF22" s="196"/>
      <c r="BG22" s="196"/>
      <c r="BH22" s="196"/>
      <c r="BI22" s="196"/>
      <c r="BJ22" s="196"/>
      <c r="BK22" s="196"/>
      <c r="BL22" s="196"/>
      <c r="BM22" s="196"/>
      <c r="BN22" s="196"/>
      <c r="BO22" s="196"/>
      <c r="BP22" s="196"/>
      <c r="BQ22" s="196"/>
      <c r="BR22" s="196"/>
      <c r="BS22" s="196"/>
      <c r="BT22" s="196"/>
      <c r="BU22" s="196"/>
      <c r="BV22" s="196"/>
      <c r="BW22" s="196"/>
      <c r="BX22" s="196"/>
      <c r="BY22" s="196"/>
      <c r="BZ22" s="196"/>
      <c r="CA22" s="196"/>
      <c r="CB22" s="196"/>
      <c r="CC22" s="196"/>
      <c r="CD22" s="196"/>
      <c r="CE22" s="196"/>
      <c r="CF22" s="196"/>
      <c r="CG22" s="196"/>
      <c r="CH22" s="196" t="s">
        <v>978</v>
      </c>
      <c r="CI22" s="196"/>
      <c r="CJ22" s="196"/>
      <c r="CK22" s="196"/>
      <c r="CL22" s="196"/>
      <c r="CM22" s="196"/>
      <c r="CN22" s="196"/>
      <c r="CO22" s="196"/>
      <c r="CP22" s="196"/>
      <c r="CQ22" s="196"/>
      <c r="CR22" s="196"/>
      <c r="CS22" s="196"/>
      <c r="CT22" s="196"/>
      <c r="CU22" s="196"/>
      <c r="CV22" s="196"/>
      <c r="CW22" s="196"/>
      <c r="CX22" s="196"/>
      <c r="CY22" s="196"/>
      <c r="CZ22" s="196"/>
      <c r="DA22" s="196"/>
      <c r="DB22" s="196"/>
      <c r="DC22" s="196"/>
      <c r="DD22" s="196"/>
      <c r="DE22" s="196"/>
      <c r="DF22" s="196"/>
      <c r="DG22" s="196"/>
      <c r="DH22" s="87"/>
      <c r="DI22" s="88"/>
      <c r="DJ22" s="88"/>
      <c r="DK22" s="88"/>
      <c r="DL22" s="88"/>
      <c r="DM22" s="184"/>
      <c r="DN22" s="184"/>
      <c r="DO22" s="88"/>
      <c r="DP22" s="88"/>
      <c r="DQ22" s="88"/>
      <c r="DR22" s="184"/>
      <c r="DS22" s="184"/>
      <c r="DT22" s="88" t="s">
        <v>61</v>
      </c>
      <c r="DU22" s="54" t="s">
        <v>1248</v>
      </c>
      <c r="DV22" s="88" t="s">
        <v>63</v>
      </c>
    </row>
    <row r="23" spans="1:126" ht="15" customHeight="1" x14ac:dyDescent="0.35">
      <c r="A23" t="s">
        <v>934</v>
      </c>
      <c r="C23" t="s">
        <v>1267</v>
      </c>
      <c r="D23" s="86"/>
      <c r="E23" s="87"/>
      <c r="F23" s="196"/>
      <c r="G23" s="196"/>
      <c r="H23" s="196"/>
      <c r="I23" s="196"/>
      <c r="J23" s="196"/>
      <c r="K23" s="196"/>
      <c r="L23" s="196"/>
      <c r="M23" s="196"/>
      <c r="N23" s="196"/>
      <c r="O23" s="196"/>
      <c r="P23" s="196"/>
      <c r="Q23" s="196"/>
      <c r="R23" s="196"/>
      <c r="S23" s="196"/>
      <c r="T23" s="196"/>
      <c r="U23" s="196"/>
      <c r="V23" s="196"/>
      <c r="W23" s="196"/>
      <c r="X23" s="196"/>
      <c r="Y23" s="196"/>
      <c r="Z23" s="196"/>
      <c r="AA23" s="196"/>
      <c r="AB23" s="196"/>
      <c r="AC23" s="196"/>
      <c r="AD23" s="196"/>
      <c r="AE23" s="196"/>
      <c r="AF23" s="196"/>
      <c r="AG23" s="196"/>
      <c r="AH23" s="196"/>
      <c r="AI23" s="196"/>
      <c r="AJ23" s="196"/>
      <c r="AK23" s="196"/>
      <c r="AL23" s="196"/>
      <c r="AM23" s="196"/>
      <c r="AN23" s="196"/>
      <c r="AO23" s="196"/>
      <c r="AP23" s="196"/>
      <c r="AQ23" s="196"/>
      <c r="AR23" s="196"/>
      <c r="AS23" s="196"/>
      <c r="AT23" s="196"/>
      <c r="AU23" s="196"/>
      <c r="AV23" s="196"/>
      <c r="AW23" s="196"/>
      <c r="AX23" s="196"/>
      <c r="AY23" s="196"/>
      <c r="AZ23" s="196" t="s">
        <v>978</v>
      </c>
      <c r="BA23" s="196"/>
      <c r="BB23" s="196"/>
      <c r="BC23" s="196"/>
      <c r="BD23" s="196"/>
      <c r="BE23" s="196"/>
      <c r="BF23" s="196"/>
      <c r="BG23" s="196"/>
      <c r="BH23" s="196"/>
      <c r="BI23" s="196"/>
      <c r="BJ23" s="196"/>
      <c r="BK23" s="196"/>
      <c r="BL23" s="196"/>
      <c r="BM23" s="196"/>
      <c r="BN23" s="196"/>
      <c r="BO23" s="196" t="s">
        <v>978</v>
      </c>
      <c r="BP23" s="196"/>
      <c r="BQ23" s="196"/>
      <c r="BR23" s="196"/>
      <c r="BS23" s="196"/>
      <c r="BT23" s="196"/>
      <c r="BU23" s="196"/>
      <c r="BV23" s="196"/>
      <c r="BW23" s="196"/>
      <c r="BX23" s="196"/>
      <c r="BY23" s="196"/>
      <c r="BZ23" s="196"/>
      <c r="CA23" s="196"/>
      <c r="CB23" s="196"/>
      <c r="CC23" s="196"/>
      <c r="CD23" s="196"/>
      <c r="CE23" s="196"/>
      <c r="CF23" s="196"/>
      <c r="CG23" s="196"/>
      <c r="CH23" s="196"/>
      <c r="CI23" s="196"/>
      <c r="CJ23" s="196"/>
      <c r="CK23" s="196"/>
      <c r="CL23" s="196"/>
      <c r="CM23" s="196"/>
      <c r="CN23" s="196"/>
      <c r="CO23" s="196"/>
      <c r="CP23" s="196"/>
      <c r="CQ23" s="196"/>
      <c r="CR23" s="196"/>
      <c r="CS23" s="196"/>
      <c r="CT23" s="196"/>
      <c r="CU23" s="196"/>
      <c r="CV23" s="196"/>
      <c r="CW23" s="196"/>
      <c r="CX23" s="196"/>
      <c r="CY23" s="196"/>
      <c r="CZ23" s="196"/>
      <c r="DA23" s="196"/>
      <c r="DB23" s="196"/>
      <c r="DC23" s="196"/>
      <c r="DD23" s="196"/>
      <c r="DE23" s="196"/>
      <c r="DF23" s="196"/>
      <c r="DG23" s="196"/>
      <c r="DH23" s="87"/>
      <c r="DI23" s="88"/>
      <c r="DJ23" s="88"/>
      <c r="DK23" s="88"/>
      <c r="DL23" s="88"/>
      <c r="DM23" s="184"/>
      <c r="DN23" s="184"/>
      <c r="DO23" s="88"/>
      <c r="DP23" s="88"/>
      <c r="DQ23" s="88"/>
      <c r="DR23" s="184"/>
      <c r="DS23" s="184"/>
      <c r="DT23" s="88" t="s">
        <v>61</v>
      </c>
      <c r="DU23" s="54" t="s">
        <v>1248</v>
      </c>
      <c r="DV23" s="88" t="s">
        <v>63</v>
      </c>
    </row>
    <row r="24" spans="1:126" ht="15" customHeight="1" x14ac:dyDescent="0.35">
      <c r="A24" t="s">
        <v>934</v>
      </c>
      <c r="C24" t="s">
        <v>1268</v>
      </c>
      <c r="D24" s="86"/>
      <c r="E24" s="87"/>
      <c r="F24" s="196"/>
      <c r="G24" s="196"/>
      <c r="H24" s="196"/>
      <c r="I24" s="196"/>
      <c r="J24" s="196"/>
      <c r="K24" s="196"/>
      <c r="L24" s="196"/>
      <c r="M24" s="196"/>
      <c r="N24" s="196"/>
      <c r="O24" s="196"/>
      <c r="P24" s="196"/>
      <c r="Q24" s="196"/>
      <c r="R24" s="196"/>
      <c r="S24" s="196"/>
      <c r="T24" s="196"/>
      <c r="U24" s="196"/>
      <c r="V24" s="196"/>
      <c r="W24" s="196"/>
      <c r="X24" s="196"/>
      <c r="Y24" s="196"/>
      <c r="Z24" s="196"/>
      <c r="AA24" s="196"/>
      <c r="AB24" s="196"/>
      <c r="AC24" s="196"/>
      <c r="AD24" s="196"/>
      <c r="AE24" s="196"/>
      <c r="AF24" s="196"/>
      <c r="AG24" s="196"/>
      <c r="AH24" s="196"/>
      <c r="AI24" s="196"/>
      <c r="AJ24" s="196"/>
      <c r="AK24" s="196"/>
      <c r="AL24" s="196"/>
      <c r="AM24" s="196"/>
      <c r="AN24" s="196"/>
      <c r="AO24" s="196"/>
      <c r="AP24" s="196"/>
      <c r="AQ24" s="196"/>
      <c r="AR24" s="196"/>
      <c r="AS24" s="196"/>
      <c r="AT24" s="196"/>
      <c r="AU24" s="196"/>
      <c r="AV24" s="196"/>
      <c r="AW24" s="196"/>
      <c r="AX24" s="196"/>
      <c r="AY24" s="196"/>
      <c r="AZ24" s="196"/>
      <c r="BA24" s="196" t="s">
        <v>978</v>
      </c>
      <c r="BB24" s="196"/>
      <c r="BC24" s="196"/>
      <c r="BD24" s="196"/>
      <c r="BE24" s="196"/>
      <c r="BF24" s="196"/>
      <c r="BG24" s="196"/>
      <c r="BH24" s="196"/>
      <c r="BI24" s="196"/>
      <c r="BJ24" s="196"/>
      <c r="BK24" s="196" t="s">
        <v>978</v>
      </c>
      <c r="BL24" s="196" t="s">
        <v>978</v>
      </c>
      <c r="BM24" s="196"/>
      <c r="BN24" s="196"/>
      <c r="BO24" s="196"/>
      <c r="BP24" s="196"/>
      <c r="BQ24" s="196"/>
      <c r="BR24" s="196" t="s">
        <v>978</v>
      </c>
      <c r="BS24" s="196"/>
      <c r="BT24" s="196"/>
      <c r="BU24" s="196"/>
      <c r="BV24" s="196"/>
      <c r="BW24" s="196"/>
      <c r="BX24" s="196"/>
      <c r="BY24" s="196"/>
      <c r="BZ24" s="196"/>
      <c r="CA24" s="196"/>
      <c r="CB24" s="196"/>
      <c r="CC24" s="196"/>
      <c r="CD24" s="196"/>
      <c r="CE24" s="196"/>
      <c r="CF24" s="196" t="s">
        <v>978</v>
      </c>
      <c r="CG24" s="196"/>
      <c r="CH24" s="196"/>
      <c r="CI24" s="196"/>
      <c r="CJ24" s="196"/>
      <c r="CK24" s="196"/>
      <c r="CL24" s="196"/>
      <c r="CM24" s="196"/>
      <c r="CN24" s="196"/>
      <c r="CO24" s="196"/>
      <c r="CP24" s="196"/>
      <c r="CQ24" s="196"/>
      <c r="CR24" s="196"/>
      <c r="CS24" s="196"/>
      <c r="CT24" s="196"/>
      <c r="CU24" s="196"/>
      <c r="CV24" s="196"/>
      <c r="CW24" s="196"/>
      <c r="CX24" s="196"/>
      <c r="CY24" s="196"/>
      <c r="CZ24" s="196"/>
      <c r="DA24" s="196"/>
      <c r="DB24" s="196"/>
      <c r="DC24" s="196"/>
      <c r="DD24" s="196"/>
      <c r="DE24" s="196"/>
      <c r="DF24" s="196"/>
      <c r="DG24" s="196"/>
      <c r="DH24" s="87"/>
      <c r="DI24" s="88"/>
      <c r="DJ24" s="88"/>
      <c r="DK24" s="88"/>
      <c r="DL24" s="88"/>
      <c r="DM24" s="184"/>
      <c r="DN24" s="184"/>
      <c r="DO24" s="88"/>
      <c r="DP24" s="88"/>
      <c r="DQ24" s="88"/>
      <c r="DR24" s="184"/>
      <c r="DS24" s="184"/>
      <c r="DT24" s="88" t="s">
        <v>61</v>
      </c>
      <c r="DU24" s="54" t="s">
        <v>1248</v>
      </c>
      <c r="DV24" s="88" t="s">
        <v>63</v>
      </c>
    </row>
    <row r="25" spans="1:126" ht="15" customHeight="1" x14ac:dyDescent="0.35">
      <c r="A25" t="s">
        <v>934</v>
      </c>
      <c r="C25" t="s">
        <v>1261</v>
      </c>
      <c r="D25" s="86"/>
      <c r="E25" s="87"/>
      <c r="F25" s="196"/>
      <c r="G25" s="196"/>
      <c r="H25" s="196"/>
      <c r="I25" s="196"/>
      <c r="J25" s="196"/>
      <c r="K25" s="196"/>
      <c r="L25" s="196"/>
      <c r="M25" s="196"/>
      <c r="N25" s="196"/>
      <c r="O25" s="196"/>
      <c r="P25" s="196"/>
      <c r="Q25" s="196"/>
      <c r="R25" s="196"/>
      <c r="S25" s="196"/>
      <c r="T25" s="196"/>
      <c r="U25" s="196"/>
      <c r="V25" s="196"/>
      <c r="W25" s="196"/>
      <c r="X25" s="196"/>
      <c r="Y25" s="196"/>
      <c r="Z25" s="196"/>
      <c r="AA25" s="196"/>
      <c r="AB25" s="196"/>
      <c r="AC25" s="196"/>
      <c r="AD25" s="196"/>
      <c r="AE25" s="196"/>
      <c r="AF25" s="196"/>
      <c r="AG25" s="196"/>
      <c r="AH25" s="196"/>
      <c r="AI25" s="196"/>
      <c r="AJ25" s="196"/>
      <c r="AK25" s="196"/>
      <c r="AL25" s="196"/>
      <c r="AM25" s="196"/>
      <c r="AN25" s="196"/>
      <c r="AO25" s="196"/>
      <c r="AP25" s="196"/>
      <c r="AQ25" s="196"/>
      <c r="AR25" s="196"/>
      <c r="AS25" s="196"/>
      <c r="AT25" s="196"/>
      <c r="AU25" s="196"/>
      <c r="AV25" s="196"/>
      <c r="AW25" s="196"/>
      <c r="AX25" s="196"/>
      <c r="AY25" s="196"/>
      <c r="AZ25" s="196"/>
      <c r="BA25" s="196"/>
      <c r="BB25" s="196" t="s">
        <v>978</v>
      </c>
      <c r="BC25" s="196" t="s">
        <v>978</v>
      </c>
      <c r="BD25" s="196" t="s">
        <v>978</v>
      </c>
      <c r="BE25" s="196" t="s">
        <v>978</v>
      </c>
      <c r="BF25" s="196" t="s">
        <v>978</v>
      </c>
      <c r="BG25" s="196" t="s">
        <v>978</v>
      </c>
      <c r="BH25" s="196" t="s">
        <v>978</v>
      </c>
      <c r="BI25" s="196" t="s">
        <v>978</v>
      </c>
      <c r="BJ25" s="196" t="s">
        <v>978</v>
      </c>
      <c r="BK25" s="196"/>
      <c r="BL25" s="196"/>
      <c r="BM25" s="196" t="s">
        <v>978</v>
      </c>
      <c r="BN25" s="196"/>
      <c r="BO25" s="196"/>
      <c r="BP25" s="196" t="s">
        <v>978</v>
      </c>
      <c r="BQ25" s="196"/>
      <c r="BR25" s="196"/>
      <c r="BS25" s="196"/>
      <c r="BT25" s="196"/>
      <c r="BU25" s="196"/>
      <c r="BV25" s="196"/>
      <c r="BW25" s="196"/>
      <c r="BX25" s="196"/>
      <c r="BY25" s="196"/>
      <c r="BZ25" s="196"/>
      <c r="CA25" s="196"/>
      <c r="CB25" s="196"/>
      <c r="CC25" s="196"/>
      <c r="CD25" s="196"/>
      <c r="CE25" s="196"/>
      <c r="CF25" s="196"/>
      <c r="CG25" s="196"/>
      <c r="CH25" s="196"/>
      <c r="CI25" s="196"/>
      <c r="CJ25" s="196"/>
      <c r="CK25" s="196"/>
      <c r="CL25" s="196"/>
      <c r="CM25" s="196"/>
      <c r="CN25" s="196"/>
      <c r="CO25" s="196"/>
      <c r="CP25" s="196"/>
      <c r="CQ25" s="196"/>
      <c r="CR25" s="196"/>
      <c r="CS25" s="196"/>
      <c r="CT25" s="196"/>
      <c r="CU25" s="196"/>
      <c r="CV25" s="196"/>
      <c r="CW25" s="196"/>
      <c r="CX25" s="196"/>
      <c r="CY25" s="196"/>
      <c r="CZ25" s="196"/>
      <c r="DA25" s="196"/>
      <c r="DB25" s="196"/>
      <c r="DC25" s="196"/>
      <c r="DD25" s="196"/>
      <c r="DE25" s="196"/>
      <c r="DF25" s="196"/>
      <c r="DG25" s="196"/>
      <c r="DH25" s="87"/>
      <c r="DI25" s="88" t="s">
        <v>978</v>
      </c>
      <c r="DJ25" s="88"/>
      <c r="DK25" s="88"/>
      <c r="DL25" s="88"/>
      <c r="DM25" s="184"/>
      <c r="DN25" s="184"/>
      <c r="DO25" s="88"/>
      <c r="DP25" s="88"/>
      <c r="DQ25" s="88"/>
      <c r="DR25" s="184"/>
      <c r="DS25" s="184"/>
      <c r="DT25" s="88" t="s">
        <v>61</v>
      </c>
      <c r="DU25" s="54" t="s">
        <v>1248</v>
      </c>
      <c r="DV25" s="88" t="s">
        <v>63</v>
      </c>
    </row>
    <row r="26" spans="1:126" ht="15" customHeight="1" x14ac:dyDescent="0.35">
      <c r="A26" t="s">
        <v>934</v>
      </c>
      <c r="C26" t="s">
        <v>1271</v>
      </c>
      <c r="D26" s="86"/>
      <c r="E26" s="87"/>
      <c r="F26" s="196"/>
      <c r="G26" s="196"/>
      <c r="H26" s="196"/>
      <c r="I26" s="196"/>
      <c r="J26" s="196"/>
      <c r="K26" s="196"/>
      <c r="L26" s="196"/>
      <c r="M26" s="196"/>
      <c r="N26" s="196"/>
      <c r="O26" s="196"/>
      <c r="P26" s="196"/>
      <c r="Q26" s="196"/>
      <c r="R26" s="196"/>
      <c r="S26" s="196"/>
      <c r="T26" s="196"/>
      <c r="U26" s="196"/>
      <c r="V26" s="196"/>
      <c r="W26" s="196"/>
      <c r="X26" s="196"/>
      <c r="Y26" s="196"/>
      <c r="Z26" s="196"/>
      <c r="AA26" s="196"/>
      <c r="AB26" s="196"/>
      <c r="AC26" s="196"/>
      <c r="AD26" s="196"/>
      <c r="AE26" s="196"/>
      <c r="AF26" s="196"/>
      <c r="AG26" s="196"/>
      <c r="AH26" s="196"/>
      <c r="AI26" s="196"/>
      <c r="AJ26" s="196"/>
      <c r="AK26" s="196"/>
      <c r="AL26" s="196"/>
      <c r="AM26" s="196"/>
      <c r="AN26" s="196"/>
      <c r="AO26" s="196"/>
      <c r="AP26" s="196"/>
      <c r="AQ26" s="196"/>
      <c r="AR26" s="196"/>
      <c r="AS26" s="196"/>
      <c r="AT26" s="196"/>
      <c r="AU26" s="196"/>
      <c r="AV26" s="196"/>
      <c r="AW26" s="196"/>
      <c r="AX26" s="196"/>
      <c r="AY26" s="196"/>
      <c r="AZ26" s="196"/>
      <c r="BA26" s="196"/>
      <c r="BB26" s="196"/>
      <c r="BC26" s="196"/>
      <c r="BD26" s="196"/>
      <c r="BE26" s="196"/>
      <c r="BF26" s="196"/>
      <c r="BG26" s="196"/>
      <c r="BH26" s="196"/>
      <c r="BI26" s="196"/>
      <c r="BJ26" s="196"/>
      <c r="BK26" s="196"/>
      <c r="BL26" s="196"/>
      <c r="BM26" s="196"/>
      <c r="BN26" s="196" t="s">
        <v>978</v>
      </c>
      <c r="BO26" s="196"/>
      <c r="BP26" s="196"/>
      <c r="BQ26" s="196" t="s">
        <v>978</v>
      </c>
      <c r="BR26" s="196"/>
      <c r="BS26" s="196"/>
      <c r="BT26" s="196"/>
      <c r="BU26" s="196"/>
      <c r="BV26" s="196" t="s">
        <v>978</v>
      </c>
      <c r="BW26" s="196" t="s">
        <v>978</v>
      </c>
      <c r="BX26" s="196" t="s">
        <v>978</v>
      </c>
      <c r="BY26" s="196" t="s">
        <v>978</v>
      </c>
      <c r="BZ26" s="196" t="s">
        <v>978</v>
      </c>
      <c r="CA26" s="196" t="s">
        <v>978</v>
      </c>
      <c r="CB26" s="196" t="s">
        <v>978</v>
      </c>
      <c r="CC26" s="196" t="s">
        <v>978</v>
      </c>
      <c r="CD26" s="196" t="s">
        <v>978</v>
      </c>
      <c r="CE26" s="196" t="s">
        <v>978</v>
      </c>
      <c r="CF26" s="196"/>
      <c r="CG26" s="196" t="s">
        <v>978</v>
      </c>
      <c r="CH26" s="196"/>
      <c r="CI26" s="196"/>
      <c r="CJ26" s="196"/>
      <c r="CK26" s="196"/>
      <c r="CL26" s="196"/>
      <c r="CM26" s="196"/>
      <c r="CN26" s="196"/>
      <c r="CO26" s="196"/>
      <c r="CP26" s="196"/>
      <c r="CQ26" s="196"/>
      <c r="CR26" s="196"/>
      <c r="CS26" s="196"/>
      <c r="CT26" s="196"/>
      <c r="CU26" s="196"/>
      <c r="CV26" s="196"/>
      <c r="CW26" s="196"/>
      <c r="CX26" s="196"/>
      <c r="CY26" s="196"/>
      <c r="CZ26" s="196"/>
      <c r="DA26" s="196"/>
      <c r="DB26" s="196"/>
      <c r="DC26" s="196"/>
      <c r="DD26" s="196"/>
      <c r="DE26" s="196"/>
      <c r="DF26" s="196"/>
      <c r="DG26" s="196"/>
      <c r="DH26" s="87"/>
      <c r="DI26" s="88"/>
      <c r="DJ26" s="88"/>
      <c r="DK26" s="88"/>
      <c r="DL26" s="88"/>
      <c r="DM26" s="184"/>
      <c r="DN26" s="184"/>
      <c r="DO26" s="88"/>
      <c r="DP26" s="88"/>
      <c r="DQ26" s="88"/>
      <c r="DR26" s="184"/>
      <c r="DS26" s="184"/>
      <c r="DT26" s="88" t="s">
        <v>61</v>
      </c>
      <c r="DU26" s="54" t="s">
        <v>1248</v>
      </c>
      <c r="DV26" s="88" t="s">
        <v>63</v>
      </c>
    </row>
    <row r="27" spans="1:126" ht="15" customHeight="1" x14ac:dyDescent="0.35">
      <c r="A27" t="s">
        <v>934</v>
      </c>
      <c r="C27" t="s">
        <v>1273</v>
      </c>
      <c r="D27" s="86"/>
      <c r="E27" s="87"/>
      <c r="F27" s="196"/>
      <c r="G27" s="196"/>
      <c r="H27" s="196"/>
      <c r="I27" s="196"/>
      <c r="J27" s="196"/>
      <c r="K27" s="196"/>
      <c r="L27" s="196"/>
      <c r="M27" s="196"/>
      <c r="N27" s="196"/>
      <c r="O27" s="196"/>
      <c r="P27" s="196"/>
      <c r="Q27" s="196"/>
      <c r="R27" s="196"/>
      <c r="S27" s="196"/>
      <c r="T27" s="196"/>
      <c r="U27" s="196"/>
      <c r="V27" s="196"/>
      <c r="W27" s="196"/>
      <c r="X27" s="196"/>
      <c r="Y27" s="196"/>
      <c r="Z27" s="196"/>
      <c r="AA27" s="196"/>
      <c r="AB27" s="196"/>
      <c r="AC27" s="196"/>
      <c r="AD27" s="196"/>
      <c r="AE27" s="196"/>
      <c r="AF27" s="196"/>
      <c r="AG27" s="196"/>
      <c r="AH27" s="196"/>
      <c r="AI27" s="196"/>
      <c r="AJ27" s="196"/>
      <c r="AK27" s="196"/>
      <c r="AL27" s="196"/>
      <c r="AM27" s="196"/>
      <c r="AN27" s="196"/>
      <c r="AO27" s="196"/>
      <c r="AP27" s="196"/>
      <c r="AQ27" s="196"/>
      <c r="AR27" s="196"/>
      <c r="AS27" s="196"/>
      <c r="AT27" s="196"/>
      <c r="AU27" s="196"/>
      <c r="AV27" s="196"/>
      <c r="AW27" s="196"/>
      <c r="AX27" s="196"/>
      <c r="AY27" s="196"/>
      <c r="AZ27" s="196"/>
      <c r="BA27" s="196"/>
      <c r="BB27" s="196"/>
      <c r="BC27" s="196"/>
      <c r="BD27" s="196"/>
      <c r="BE27" s="196"/>
      <c r="BF27" s="196"/>
      <c r="BG27" s="196"/>
      <c r="BH27" s="196"/>
      <c r="BI27" s="196"/>
      <c r="BJ27" s="196"/>
      <c r="BK27" s="196"/>
      <c r="BL27" s="196"/>
      <c r="BM27" s="196"/>
      <c r="BN27" s="196"/>
      <c r="BO27" s="196"/>
      <c r="BP27" s="196"/>
      <c r="BQ27" s="196"/>
      <c r="BR27" s="196"/>
      <c r="BS27" s="196" t="s">
        <v>978</v>
      </c>
      <c r="BT27" s="196" t="s">
        <v>978</v>
      </c>
      <c r="BU27" s="196" t="s">
        <v>978</v>
      </c>
      <c r="BV27" s="196"/>
      <c r="BW27" s="196"/>
      <c r="BX27" s="196"/>
      <c r="BY27" s="196"/>
      <c r="BZ27" s="196"/>
      <c r="CA27" s="196"/>
      <c r="CB27" s="196"/>
      <c r="CC27" s="196"/>
      <c r="CD27" s="196"/>
      <c r="CE27" s="196"/>
      <c r="CF27" s="196"/>
      <c r="CG27" s="196"/>
      <c r="CH27" s="196"/>
      <c r="CI27" s="196"/>
      <c r="CJ27" s="196"/>
      <c r="CK27" s="196"/>
      <c r="CL27" s="196"/>
      <c r="CM27" s="196"/>
      <c r="CN27" s="196"/>
      <c r="CO27" s="196"/>
      <c r="CP27" s="196"/>
      <c r="CQ27" s="196"/>
      <c r="CR27" s="196"/>
      <c r="CS27" s="196"/>
      <c r="CT27" s="196"/>
      <c r="CU27" s="196"/>
      <c r="CV27" s="196"/>
      <c r="CW27" s="196"/>
      <c r="CX27" s="196"/>
      <c r="CY27" s="196"/>
      <c r="CZ27" s="196"/>
      <c r="DA27" s="196"/>
      <c r="DB27" s="196"/>
      <c r="DC27" s="196"/>
      <c r="DD27" s="196"/>
      <c r="DE27" s="196"/>
      <c r="DF27" s="196"/>
      <c r="DG27" s="196"/>
      <c r="DH27" s="87"/>
      <c r="DI27" s="88"/>
      <c r="DJ27" s="88"/>
      <c r="DK27" s="88"/>
      <c r="DL27" s="88"/>
      <c r="DM27" s="184"/>
      <c r="DN27" s="184"/>
      <c r="DO27" s="88"/>
      <c r="DP27" s="88"/>
      <c r="DQ27" s="88"/>
      <c r="DR27" s="184"/>
      <c r="DS27" s="184"/>
      <c r="DT27" s="88" t="s">
        <v>61</v>
      </c>
      <c r="DU27" s="54" t="s">
        <v>1248</v>
      </c>
      <c r="DV27" s="88" t="s">
        <v>63</v>
      </c>
    </row>
    <row r="28" spans="1:126" x14ac:dyDescent="0.35">
      <c r="D28" s="86"/>
      <c r="E28" s="87"/>
      <c r="F28" s="196"/>
      <c r="G28" s="196"/>
      <c r="H28" s="196"/>
      <c r="I28" s="196"/>
      <c r="J28" s="196"/>
      <c r="K28" s="196"/>
      <c r="L28" s="196"/>
      <c r="M28" s="196"/>
      <c r="N28" s="196"/>
      <c r="O28" s="196"/>
      <c r="P28" s="196"/>
      <c r="Q28" s="196"/>
      <c r="R28" s="196"/>
      <c r="S28" s="196"/>
      <c r="T28" s="196"/>
      <c r="U28" s="196"/>
      <c r="V28" s="196"/>
      <c r="W28" s="196"/>
      <c r="X28" s="196"/>
      <c r="Y28" s="196"/>
      <c r="Z28" s="196"/>
      <c r="AA28" s="196"/>
      <c r="AB28" s="196"/>
      <c r="AC28" s="196"/>
      <c r="AD28" s="196"/>
      <c r="AE28" s="196"/>
      <c r="AF28" s="196"/>
      <c r="AG28" s="196"/>
      <c r="AH28" s="196"/>
      <c r="AI28" s="196"/>
      <c r="AJ28" s="196"/>
      <c r="AK28" s="196"/>
      <c r="AL28" s="196"/>
      <c r="AM28" s="196"/>
      <c r="AN28" s="196"/>
      <c r="AO28" s="196"/>
      <c r="AP28" s="196"/>
      <c r="AQ28" s="196"/>
      <c r="AR28" s="196"/>
      <c r="AS28" s="196"/>
      <c r="AT28" s="196"/>
      <c r="AU28" s="196"/>
      <c r="AV28" s="196"/>
      <c r="AW28" s="196"/>
      <c r="AX28" s="196"/>
      <c r="AY28" s="196"/>
      <c r="AZ28" s="196"/>
      <c r="BA28" s="196"/>
      <c r="BB28" s="196"/>
      <c r="BC28" s="196"/>
      <c r="BD28" s="196"/>
      <c r="BE28" s="196"/>
      <c r="BF28" s="196"/>
      <c r="BG28" s="196"/>
      <c r="BH28" s="196"/>
      <c r="BI28" s="196"/>
      <c r="BJ28" s="196"/>
      <c r="BK28" s="196"/>
      <c r="BL28" s="196"/>
      <c r="BM28" s="196"/>
      <c r="BN28" s="196"/>
      <c r="BO28" s="196"/>
      <c r="BP28" s="196"/>
      <c r="BQ28" s="196"/>
      <c r="BR28" s="196"/>
      <c r="BS28" s="196"/>
      <c r="BT28" s="196"/>
      <c r="BU28" s="196"/>
      <c r="BV28" s="196"/>
      <c r="BW28" s="196"/>
      <c r="BX28" s="196"/>
      <c r="BY28" s="196"/>
      <c r="BZ28" s="196"/>
      <c r="CA28" s="196"/>
      <c r="CB28" s="196"/>
      <c r="CC28" s="196"/>
      <c r="CD28" s="196"/>
      <c r="CE28" s="196"/>
      <c r="CF28" s="196"/>
      <c r="CG28" s="196"/>
      <c r="CH28" s="196"/>
      <c r="CI28" s="196"/>
      <c r="CJ28" s="196"/>
      <c r="CK28" s="196"/>
      <c r="CL28" s="196"/>
      <c r="CM28" s="196"/>
      <c r="CN28" s="196"/>
      <c r="CO28" s="196"/>
      <c r="CP28" s="196"/>
      <c r="CQ28" s="196"/>
      <c r="CR28" s="196"/>
      <c r="CS28" s="196"/>
      <c r="CT28" s="196"/>
      <c r="CU28" s="196"/>
      <c r="CV28" s="196"/>
      <c r="CW28" s="196"/>
      <c r="CX28" s="196"/>
      <c r="CY28" s="196"/>
      <c r="CZ28" s="196"/>
      <c r="DA28" s="196"/>
      <c r="DB28" s="196"/>
      <c r="DC28" s="196"/>
      <c r="DD28" s="196"/>
      <c r="DE28" s="196"/>
      <c r="DF28" s="196"/>
      <c r="DG28" s="196"/>
      <c r="DH28" s="87"/>
      <c r="DI28" s="88"/>
      <c r="DJ28" s="88"/>
      <c r="DK28" s="88"/>
      <c r="DL28" s="88"/>
      <c r="DM28" s="184"/>
      <c r="DN28" s="184"/>
      <c r="DO28" s="88"/>
      <c r="DP28" s="88"/>
      <c r="DQ28" s="88"/>
      <c r="DR28" s="184"/>
      <c r="DS28" s="184"/>
      <c r="DT28" s="88" t="s">
        <v>61</v>
      </c>
      <c r="DU28" s="54" t="s">
        <v>1248</v>
      </c>
      <c r="DV28" s="88" t="s">
        <v>63</v>
      </c>
    </row>
    <row r="29" spans="1:126" ht="15" customHeight="1" x14ac:dyDescent="0.35">
      <c r="A29" s="47" t="s">
        <v>943</v>
      </c>
      <c r="B29" s="86"/>
      <c r="C29" t="s">
        <v>1264</v>
      </c>
      <c r="D29" s="86"/>
      <c r="E29" s="87"/>
      <c r="F29" s="196" t="s">
        <v>978</v>
      </c>
      <c r="G29" s="196"/>
      <c r="H29" s="196"/>
      <c r="I29" s="196"/>
      <c r="J29" s="196"/>
      <c r="K29" s="196"/>
      <c r="L29" s="196"/>
      <c r="M29" s="196"/>
      <c r="N29" s="196"/>
      <c r="O29" s="196"/>
      <c r="P29" s="196"/>
      <c r="Q29" s="196"/>
      <c r="R29" s="196"/>
      <c r="S29" s="196"/>
      <c r="T29" s="196"/>
      <c r="U29" s="196"/>
      <c r="V29" s="196"/>
      <c r="W29" s="196"/>
      <c r="X29" s="196"/>
      <c r="Y29" s="196"/>
      <c r="Z29" s="196"/>
      <c r="AA29" s="196"/>
      <c r="AB29" s="196"/>
      <c r="AC29" s="196"/>
      <c r="AD29" s="196"/>
      <c r="AE29" s="196"/>
      <c r="AF29" s="196"/>
      <c r="AG29" s="196"/>
      <c r="AH29" s="196"/>
      <c r="AI29" s="196"/>
      <c r="AJ29" s="196"/>
      <c r="AK29" s="196"/>
      <c r="AL29" s="196"/>
      <c r="AM29" s="196"/>
      <c r="AN29" s="196"/>
      <c r="AO29" s="196"/>
      <c r="AP29" s="196"/>
      <c r="AQ29" s="196"/>
      <c r="AR29" s="196"/>
      <c r="AS29" s="196"/>
      <c r="AT29" s="196"/>
      <c r="AU29" s="196"/>
      <c r="AV29" s="196"/>
      <c r="AW29" s="196"/>
      <c r="AX29" s="196"/>
      <c r="AY29" s="196"/>
      <c r="AZ29" s="196"/>
      <c r="BA29" s="196"/>
      <c r="BB29" s="196"/>
      <c r="BC29" s="196"/>
      <c r="BD29" s="196"/>
      <c r="BE29" s="196"/>
      <c r="BF29" s="196"/>
      <c r="BG29" s="196"/>
      <c r="BH29" s="196"/>
      <c r="BI29" s="196"/>
      <c r="BJ29" s="196"/>
      <c r="BK29" s="196"/>
      <c r="BL29" s="196"/>
      <c r="BM29" s="196"/>
      <c r="BN29" s="196"/>
      <c r="BO29" s="196"/>
      <c r="BP29" s="196"/>
      <c r="BQ29" s="196"/>
      <c r="BR29" s="196"/>
      <c r="BS29" s="196"/>
      <c r="BT29" s="196"/>
      <c r="BU29" s="196"/>
      <c r="BV29" s="196"/>
      <c r="BW29" s="196"/>
      <c r="BX29" s="196"/>
      <c r="BY29" s="196"/>
      <c r="BZ29" s="196"/>
      <c r="CA29" s="196"/>
      <c r="CB29" s="196"/>
      <c r="CC29" s="196"/>
      <c r="CD29" s="196"/>
      <c r="CE29" s="196"/>
      <c r="CF29" s="196"/>
      <c r="CG29" s="196"/>
      <c r="CH29" s="196" t="s">
        <v>978</v>
      </c>
      <c r="CI29" s="196" t="s">
        <v>978</v>
      </c>
      <c r="CJ29" s="196"/>
      <c r="CK29" s="196" t="s">
        <v>978</v>
      </c>
      <c r="CL29" s="196"/>
      <c r="CM29" s="196"/>
      <c r="CN29" s="196" t="s">
        <v>978</v>
      </c>
      <c r="CO29" s="196" t="s">
        <v>978</v>
      </c>
      <c r="CP29" s="196" t="s">
        <v>978</v>
      </c>
      <c r="CQ29" s="196"/>
      <c r="CR29" s="196" t="s">
        <v>978</v>
      </c>
      <c r="CS29" s="196"/>
      <c r="CT29" s="196"/>
      <c r="CU29" s="196"/>
      <c r="CV29" s="196"/>
      <c r="CW29" s="196"/>
      <c r="CX29" s="196"/>
      <c r="CY29" s="196"/>
      <c r="CZ29" s="196"/>
      <c r="DA29" s="196"/>
      <c r="DB29" s="196"/>
      <c r="DC29" s="196"/>
      <c r="DD29" s="196"/>
      <c r="DE29" s="196"/>
      <c r="DF29" s="196"/>
      <c r="DG29" s="196"/>
      <c r="DH29" s="87"/>
      <c r="DI29" s="88"/>
      <c r="DJ29" s="88"/>
      <c r="DK29" s="88"/>
      <c r="DL29" s="88"/>
      <c r="DM29" s="184"/>
      <c r="DN29" s="184"/>
      <c r="DO29" s="88"/>
      <c r="DP29" s="88"/>
      <c r="DQ29" s="88"/>
      <c r="DR29" s="184"/>
      <c r="DS29" s="184"/>
      <c r="DT29" s="88" t="s">
        <v>61</v>
      </c>
      <c r="DU29" s="54" t="s">
        <v>1248</v>
      </c>
      <c r="DV29" s="88" t="s">
        <v>63</v>
      </c>
    </row>
    <row r="30" spans="1:126" ht="15" customHeight="1" x14ac:dyDescent="0.35">
      <c r="A30" s="47" t="s">
        <v>943</v>
      </c>
      <c r="B30" s="86"/>
      <c r="C30" t="s">
        <v>1267</v>
      </c>
      <c r="D30" s="86"/>
      <c r="E30" s="87"/>
      <c r="F30" s="196"/>
      <c r="G30" s="196"/>
      <c r="H30" s="196"/>
      <c r="I30" s="196"/>
      <c r="J30" s="196"/>
      <c r="K30" s="196"/>
      <c r="L30" s="196"/>
      <c r="M30" s="196"/>
      <c r="N30" s="196"/>
      <c r="O30" s="196"/>
      <c r="P30" s="196"/>
      <c r="Q30" s="196"/>
      <c r="R30" s="196"/>
      <c r="S30" s="196"/>
      <c r="T30" s="196"/>
      <c r="U30" s="196"/>
      <c r="V30" s="196"/>
      <c r="W30" s="196"/>
      <c r="X30" s="196"/>
      <c r="Y30" s="196"/>
      <c r="Z30" s="196"/>
      <c r="AA30" s="196"/>
      <c r="AB30" s="196"/>
      <c r="AC30" s="196"/>
      <c r="AD30" s="196"/>
      <c r="AE30" s="196"/>
      <c r="AF30" s="196"/>
      <c r="AG30" s="196"/>
      <c r="AH30" s="196"/>
      <c r="AI30" s="196"/>
      <c r="AJ30" s="196"/>
      <c r="AK30" s="196"/>
      <c r="AL30" s="196"/>
      <c r="AM30" s="196"/>
      <c r="AN30" s="196"/>
      <c r="AO30" s="196"/>
      <c r="AP30" s="196"/>
      <c r="AQ30" s="196"/>
      <c r="AR30" s="196"/>
      <c r="AS30" s="196"/>
      <c r="AT30" s="196"/>
      <c r="AU30" s="196"/>
      <c r="AV30" s="196"/>
      <c r="AW30" s="196"/>
      <c r="AX30" s="196"/>
      <c r="AY30" s="196"/>
      <c r="AZ30" s="196"/>
      <c r="BA30" s="196"/>
      <c r="BB30" s="196"/>
      <c r="BC30" s="196"/>
      <c r="BD30" s="196"/>
      <c r="BE30" s="196"/>
      <c r="BF30" s="196"/>
      <c r="BG30" s="196"/>
      <c r="BH30" s="196"/>
      <c r="BI30" s="196"/>
      <c r="BJ30" s="196"/>
      <c r="BK30" s="196"/>
      <c r="BL30" s="196"/>
      <c r="BM30" s="196"/>
      <c r="BN30" s="196"/>
      <c r="BO30" s="196"/>
      <c r="BP30" s="196"/>
      <c r="BQ30" s="196"/>
      <c r="BR30" s="196"/>
      <c r="BS30" s="196"/>
      <c r="BT30" s="196"/>
      <c r="BU30" s="196"/>
      <c r="BV30" s="196"/>
      <c r="BW30" s="196"/>
      <c r="BX30" s="196"/>
      <c r="BY30" s="196"/>
      <c r="BZ30" s="196"/>
      <c r="CA30" s="196"/>
      <c r="CB30" s="196"/>
      <c r="CC30" s="196"/>
      <c r="CD30" s="196"/>
      <c r="CE30" s="196"/>
      <c r="CF30" s="196"/>
      <c r="CG30" s="196"/>
      <c r="CH30" s="196"/>
      <c r="CI30" s="196"/>
      <c r="CJ30" s="196"/>
      <c r="CK30" s="196"/>
      <c r="CL30" s="196" t="s">
        <v>978</v>
      </c>
      <c r="CM30" s="196" t="s">
        <v>978</v>
      </c>
      <c r="CN30" s="196"/>
      <c r="CO30" s="196"/>
      <c r="CP30" s="196"/>
      <c r="CQ30" s="196"/>
      <c r="CR30" s="196"/>
      <c r="CS30" s="196"/>
      <c r="CT30" s="196"/>
      <c r="CU30" s="196"/>
      <c r="CV30" s="196" t="s">
        <v>978</v>
      </c>
      <c r="CW30" s="196"/>
      <c r="CX30" s="196"/>
      <c r="CY30" s="196"/>
      <c r="CZ30" s="196"/>
      <c r="DA30" s="196"/>
      <c r="DB30" s="196"/>
      <c r="DC30" s="196"/>
      <c r="DD30" s="196"/>
      <c r="DE30" s="196"/>
      <c r="DF30" s="196" t="s">
        <v>978</v>
      </c>
      <c r="DG30" s="196" t="s">
        <v>978</v>
      </c>
      <c r="DH30" s="87"/>
      <c r="DI30" s="88"/>
      <c r="DJ30" s="88"/>
      <c r="DK30" s="88"/>
      <c r="DL30" s="88"/>
      <c r="DM30" s="184"/>
      <c r="DN30" s="184"/>
      <c r="DO30" s="88"/>
      <c r="DP30" s="88"/>
      <c r="DQ30" s="88"/>
      <c r="DR30" s="184"/>
      <c r="DS30" s="184"/>
      <c r="DT30" s="88" t="s">
        <v>61</v>
      </c>
      <c r="DU30" s="54" t="s">
        <v>1248</v>
      </c>
      <c r="DV30" s="88" t="s">
        <v>63</v>
      </c>
    </row>
    <row r="31" spans="1:126" ht="15" customHeight="1" x14ac:dyDescent="0.35">
      <c r="A31" s="47" t="s">
        <v>943</v>
      </c>
      <c r="C31" t="s">
        <v>1268</v>
      </c>
      <c r="D31" s="86"/>
      <c r="E31" s="87"/>
      <c r="F31" s="196"/>
      <c r="G31" s="196"/>
      <c r="H31" s="196"/>
      <c r="I31" s="196"/>
      <c r="J31" s="196"/>
      <c r="K31" s="196"/>
      <c r="L31" s="196"/>
      <c r="M31" s="196"/>
      <c r="N31" s="196"/>
      <c r="O31" s="196"/>
      <c r="P31" s="196"/>
      <c r="Q31" s="196" t="s">
        <v>978</v>
      </c>
      <c r="R31" s="196"/>
      <c r="S31" s="196"/>
      <c r="T31" s="196"/>
      <c r="U31" s="196"/>
      <c r="V31" s="196"/>
      <c r="W31" s="196"/>
      <c r="X31" s="196"/>
      <c r="Y31" s="196"/>
      <c r="Z31" s="196"/>
      <c r="AA31" s="196"/>
      <c r="AB31" s="196"/>
      <c r="AC31" s="196"/>
      <c r="AD31" s="196"/>
      <c r="AE31" s="196"/>
      <c r="AF31" s="196"/>
      <c r="AG31" s="196"/>
      <c r="AH31" s="196"/>
      <c r="AI31" s="196"/>
      <c r="AJ31" s="196"/>
      <c r="AK31" s="196"/>
      <c r="AL31" s="196"/>
      <c r="AM31" s="196"/>
      <c r="AN31" s="196"/>
      <c r="AO31" s="196"/>
      <c r="AP31" s="196"/>
      <c r="AQ31" s="196"/>
      <c r="AR31" s="196"/>
      <c r="AS31" s="196"/>
      <c r="AT31" s="196"/>
      <c r="AU31" s="196"/>
      <c r="AV31" s="196"/>
      <c r="AW31" s="196"/>
      <c r="AX31" s="196"/>
      <c r="AY31" s="196"/>
      <c r="AZ31" s="196"/>
      <c r="BA31" s="196"/>
      <c r="BB31" s="196"/>
      <c r="BC31" s="196"/>
      <c r="BD31" s="196"/>
      <c r="BE31" s="196"/>
      <c r="BF31" s="196"/>
      <c r="BG31" s="196"/>
      <c r="BH31" s="196"/>
      <c r="BI31" s="196"/>
      <c r="BJ31" s="196"/>
      <c r="BK31" s="196"/>
      <c r="BL31" s="196"/>
      <c r="BM31" s="196"/>
      <c r="BN31" s="196"/>
      <c r="BO31" s="196"/>
      <c r="BP31" s="196"/>
      <c r="BQ31" s="196"/>
      <c r="BR31" s="196"/>
      <c r="BS31" s="196"/>
      <c r="BT31" s="196"/>
      <c r="BU31" s="196"/>
      <c r="BV31" s="196"/>
      <c r="BW31" s="196"/>
      <c r="BX31" s="196"/>
      <c r="BY31" s="196"/>
      <c r="BZ31" s="196"/>
      <c r="CA31" s="196"/>
      <c r="CB31" s="196"/>
      <c r="CC31" s="196"/>
      <c r="CD31" s="196"/>
      <c r="CE31" s="196"/>
      <c r="CF31" s="196"/>
      <c r="CG31" s="196"/>
      <c r="CH31" s="196"/>
      <c r="CI31" s="196"/>
      <c r="CJ31" s="196"/>
      <c r="CK31" s="196"/>
      <c r="CL31" s="196"/>
      <c r="CM31" s="196"/>
      <c r="CN31" s="196"/>
      <c r="CO31" s="196"/>
      <c r="CP31" s="196"/>
      <c r="CQ31" s="196"/>
      <c r="CR31" s="196"/>
      <c r="CS31" s="196"/>
      <c r="CT31" s="196"/>
      <c r="CU31" s="196"/>
      <c r="CV31" s="196"/>
      <c r="CW31" s="196"/>
      <c r="CX31" s="196"/>
      <c r="CY31" s="196"/>
      <c r="CZ31" s="196"/>
      <c r="DA31" s="196"/>
      <c r="DB31" s="196"/>
      <c r="DC31" s="196"/>
      <c r="DD31" s="196"/>
      <c r="DE31" s="196"/>
      <c r="DF31" s="196"/>
      <c r="DG31" s="196"/>
      <c r="DH31" s="87"/>
      <c r="DI31" s="88"/>
      <c r="DJ31" s="88"/>
      <c r="DK31" s="88"/>
      <c r="DL31" s="88"/>
      <c r="DM31" s="184"/>
      <c r="DN31" s="184"/>
      <c r="DO31" s="88"/>
      <c r="DP31" s="88"/>
      <c r="DQ31" s="88"/>
      <c r="DR31" s="184"/>
      <c r="DS31" s="184"/>
      <c r="DT31" s="88" t="s">
        <v>61</v>
      </c>
      <c r="DU31" s="54" t="s">
        <v>1248</v>
      </c>
      <c r="DV31" s="88" t="s">
        <v>63</v>
      </c>
    </row>
    <row r="32" spans="1:126" ht="15" customHeight="1" x14ac:dyDescent="0.35">
      <c r="A32" s="47" t="s">
        <v>943</v>
      </c>
      <c r="B32" s="86"/>
      <c r="C32" s="107" t="s">
        <v>1269</v>
      </c>
      <c r="D32" s="86"/>
      <c r="E32" s="87"/>
      <c r="F32" s="196"/>
      <c r="G32" s="196"/>
      <c r="H32" s="196"/>
      <c r="I32" s="196"/>
      <c r="J32" s="196"/>
      <c r="K32" s="196"/>
      <c r="L32" s="196"/>
      <c r="M32" s="196"/>
      <c r="N32" s="196"/>
      <c r="O32" s="196"/>
      <c r="P32" s="196"/>
      <c r="Q32" s="196"/>
      <c r="R32" s="196"/>
      <c r="S32" s="196"/>
      <c r="T32" s="196"/>
      <c r="U32" s="196"/>
      <c r="V32" s="196"/>
      <c r="W32" s="196"/>
      <c r="X32" s="196"/>
      <c r="Y32" s="196"/>
      <c r="Z32" s="196"/>
      <c r="AA32" s="196"/>
      <c r="AB32" s="196"/>
      <c r="AC32" s="196"/>
      <c r="AD32" s="196"/>
      <c r="AE32" s="196"/>
      <c r="AF32" s="196"/>
      <c r="AG32" s="196"/>
      <c r="AH32" s="196"/>
      <c r="AI32" s="196"/>
      <c r="AJ32" s="196"/>
      <c r="AK32" s="196"/>
      <c r="AL32" s="196"/>
      <c r="AM32" s="196"/>
      <c r="AN32" s="196"/>
      <c r="AO32" s="196"/>
      <c r="AP32" s="196"/>
      <c r="AQ32" s="196"/>
      <c r="AR32" s="196"/>
      <c r="AS32" s="196"/>
      <c r="AT32" s="196"/>
      <c r="AU32" s="196"/>
      <c r="AV32" s="196"/>
      <c r="AW32" s="196"/>
      <c r="AX32" s="196"/>
      <c r="AY32" s="196"/>
      <c r="AZ32" s="196"/>
      <c r="BA32" s="196"/>
      <c r="BB32" s="196"/>
      <c r="BC32" s="196"/>
      <c r="BD32" s="196"/>
      <c r="BE32" s="196"/>
      <c r="BF32" s="196"/>
      <c r="BG32" s="196"/>
      <c r="BH32" s="196"/>
      <c r="BI32" s="196"/>
      <c r="BJ32" s="196"/>
      <c r="BK32" s="196"/>
      <c r="BL32" s="196"/>
      <c r="BM32" s="196"/>
      <c r="BN32" s="196"/>
      <c r="BO32" s="196"/>
      <c r="BP32" s="196"/>
      <c r="BQ32" s="196"/>
      <c r="BR32" s="196"/>
      <c r="BS32" s="196"/>
      <c r="BT32" s="196"/>
      <c r="BU32" s="196"/>
      <c r="BV32" s="196"/>
      <c r="BW32" s="196"/>
      <c r="BX32" s="196"/>
      <c r="BY32" s="196"/>
      <c r="BZ32" s="196"/>
      <c r="CA32" s="196"/>
      <c r="CB32" s="196"/>
      <c r="CC32" s="196"/>
      <c r="CD32" s="196"/>
      <c r="CE32" s="196"/>
      <c r="CF32" s="196"/>
      <c r="CG32" s="196"/>
      <c r="CH32" s="196"/>
      <c r="CI32" s="196"/>
      <c r="CJ32" s="196"/>
      <c r="CK32" s="196"/>
      <c r="CL32" s="196"/>
      <c r="CM32" s="196"/>
      <c r="CN32" s="196"/>
      <c r="CO32" s="196"/>
      <c r="CP32" s="196"/>
      <c r="CQ32" s="196"/>
      <c r="CR32" s="196"/>
      <c r="CS32" s="196"/>
      <c r="CT32" s="196"/>
      <c r="CU32" s="196" t="s">
        <v>978</v>
      </c>
      <c r="CV32" s="196"/>
      <c r="CW32" s="196" t="s">
        <v>978</v>
      </c>
      <c r="CX32" s="196"/>
      <c r="CY32" s="196"/>
      <c r="CZ32" s="196"/>
      <c r="DA32" s="196"/>
      <c r="DB32" s="196"/>
      <c r="DC32" s="196"/>
      <c r="DD32" s="196"/>
      <c r="DE32" s="196"/>
      <c r="DF32" s="196"/>
      <c r="DG32" s="196"/>
      <c r="DH32" s="87"/>
      <c r="DI32" s="88"/>
      <c r="DJ32" s="88"/>
      <c r="DK32" s="88"/>
      <c r="DL32" s="88"/>
      <c r="DM32" s="184"/>
      <c r="DN32" s="184"/>
      <c r="DO32" s="88"/>
      <c r="DP32" s="88"/>
      <c r="DQ32" s="88"/>
      <c r="DR32" s="184"/>
      <c r="DS32" s="184"/>
      <c r="DT32" s="88" t="s">
        <v>61</v>
      </c>
      <c r="DU32" s="54" t="s">
        <v>1248</v>
      </c>
      <c r="DV32" s="88" t="s">
        <v>63</v>
      </c>
    </row>
    <row r="33" spans="1:126" ht="15" customHeight="1" x14ac:dyDescent="0.35">
      <c r="A33" s="47" t="s">
        <v>943</v>
      </c>
      <c r="B33" s="86"/>
      <c r="C33" s="107" t="s">
        <v>1261</v>
      </c>
      <c r="D33" s="86"/>
      <c r="E33" s="87"/>
      <c r="F33" s="196"/>
      <c r="G33" s="196"/>
      <c r="H33" s="196"/>
      <c r="I33" s="196"/>
      <c r="J33" s="196"/>
      <c r="K33" s="196"/>
      <c r="L33" s="196"/>
      <c r="M33" s="196"/>
      <c r="N33" s="196"/>
      <c r="O33" s="196"/>
      <c r="P33" s="196"/>
      <c r="Q33" s="196"/>
      <c r="R33" s="196"/>
      <c r="S33" s="196"/>
      <c r="T33" s="196"/>
      <c r="U33" s="196"/>
      <c r="V33" s="196"/>
      <c r="W33" s="196"/>
      <c r="X33" s="196"/>
      <c r="Y33" s="196"/>
      <c r="Z33" s="196"/>
      <c r="AA33" s="196"/>
      <c r="AB33" s="196"/>
      <c r="AC33" s="196"/>
      <c r="AD33" s="196"/>
      <c r="AE33" s="196"/>
      <c r="AF33" s="196"/>
      <c r="AG33" s="196"/>
      <c r="AH33" s="196"/>
      <c r="AI33" s="196"/>
      <c r="AJ33" s="196"/>
      <c r="AK33" s="196"/>
      <c r="AL33" s="196"/>
      <c r="AM33" s="196"/>
      <c r="AN33" s="196"/>
      <c r="AO33" s="196"/>
      <c r="AP33" s="196"/>
      <c r="AQ33" s="196"/>
      <c r="AR33" s="196"/>
      <c r="AS33" s="196"/>
      <c r="AT33" s="196"/>
      <c r="AU33" s="196"/>
      <c r="AV33" s="196"/>
      <c r="AW33" s="196"/>
      <c r="AX33" s="196"/>
      <c r="AY33" s="196"/>
      <c r="AZ33" s="196"/>
      <c r="BA33" s="196"/>
      <c r="BB33" s="196"/>
      <c r="BC33" s="196"/>
      <c r="BD33" s="196"/>
      <c r="BE33" s="196"/>
      <c r="BF33" s="196"/>
      <c r="BG33" s="196"/>
      <c r="BH33" s="196"/>
      <c r="BI33" s="196"/>
      <c r="BJ33" s="196"/>
      <c r="BK33" s="196"/>
      <c r="BL33" s="196"/>
      <c r="BM33" s="196"/>
      <c r="BN33" s="196"/>
      <c r="BO33" s="196"/>
      <c r="BP33" s="196"/>
      <c r="BQ33" s="196"/>
      <c r="BR33" s="196"/>
      <c r="BS33" s="196"/>
      <c r="BT33" s="196"/>
      <c r="BU33" s="196"/>
      <c r="BV33" s="196"/>
      <c r="BW33" s="196"/>
      <c r="BX33" s="196"/>
      <c r="BY33" s="196"/>
      <c r="BZ33" s="196"/>
      <c r="CA33" s="196"/>
      <c r="CB33" s="196"/>
      <c r="CC33" s="196"/>
      <c r="CD33" s="196"/>
      <c r="CE33" s="196"/>
      <c r="CF33" s="196"/>
      <c r="CG33" s="196"/>
      <c r="CH33" s="196"/>
      <c r="CI33" s="196"/>
      <c r="CJ33" s="196"/>
      <c r="CK33" s="196"/>
      <c r="CL33" s="196"/>
      <c r="CM33" s="196"/>
      <c r="CN33" s="196"/>
      <c r="CO33" s="196"/>
      <c r="CP33" s="196"/>
      <c r="CQ33" s="196"/>
      <c r="CR33" s="196"/>
      <c r="CS33" s="196"/>
      <c r="CT33" s="196"/>
      <c r="CU33" s="196"/>
      <c r="CV33" s="196"/>
      <c r="CW33" s="196"/>
      <c r="CX33" s="196"/>
      <c r="CY33" s="196"/>
      <c r="CZ33" s="196"/>
      <c r="DA33" s="196"/>
      <c r="DB33" s="196"/>
      <c r="DC33" s="196"/>
      <c r="DD33" s="196"/>
      <c r="DE33" s="196" t="s">
        <v>978</v>
      </c>
      <c r="DF33" s="196"/>
      <c r="DG33" s="196"/>
      <c r="DH33" s="87"/>
      <c r="DI33" s="88"/>
      <c r="DJ33" s="88"/>
      <c r="DK33" s="88"/>
      <c r="DL33" s="88"/>
      <c r="DM33" s="184"/>
      <c r="DN33" s="184"/>
      <c r="DO33" s="88"/>
      <c r="DP33" s="88"/>
      <c r="DQ33" s="88"/>
      <c r="DR33" s="184"/>
      <c r="DS33" s="184"/>
      <c r="DT33" s="88" t="s">
        <v>61</v>
      </c>
      <c r="DU33" s="54" t="s">
        <v>1248</v>
      </c>
      <c r="DV33" s="88" t="s">
        <v>63</v>
      </c>
    </row>
    <row r="34" spans="1:126" ht="15" customHeight="1" x14ac:dyDescent="0.35">
      <c r="A34" s="47" t="s">
        <v>943</v>
      </c>
      <c r="B34" s="86"/>
      <c r="C34" t="s">
        <v>1271</v>
      </c>
      <c r="D34" s="86"/>
      <c r="E34" s="87"/>
      <c r="F34" s="196"/>
      <c r="G34" s="196"/>
      <c r="H34" s="196"/>
      <c r="I34" s="196"/>
      <c r="J34" s="196"/>
      <c r="K34" s="196"/>
      <c r="L34" s="196"/>
      <c r="M34" s="196"/>
      <c r="N34" s="196"/>
      <c r="O34" s="196"/>
      <c r="P34" s="196"/>
      <c r="Q34" s="196"/>
      <c r="R34" s="196"/>
      <c r="S34" s="196"/>
      <c r="T34" s="196"/>
      <c r="U34" s="196"/>
      <c r="V34" s="196"/>
      <c r="W34" s="196"/>
      <c r="X34" s="196"/>
      <c r="Y34" s="196"/>
      <c r="Z34" s="196"/>
      <c r="AA34" s="196"/>
      <c r="AB34" s="196"/>
      <c r="AC34" s="196"/>
      <c r="AD34" s="196"/>
      <c r="AE34" s="196"/>
      <c r="AF34" s="196"/>
      <c r="AG34" s="196"/>
      <c r="AH34" s="196"/>
      <c r="AI34" s="196"/>
      <c r="AJ34" s="196"/>
      <c r="AK34" s="196"/>
      <c r="AL34" s="196"/>
      <c r="AM34" s="196"/>
      <c r="AN34" s="196"/>
      <c r="AO34" s="196"/>
      <c r="AP34" s="196"/>
      <c r="AQ34" s="196"/>
      <c r="AR34" s="196"/>
      <c r="AS34" s="196"/>
      <c r="AT34" s="196"/>
      <c r="AU34" s="196"/>
      <c r="AV34" s="196"/>
      <c r="AW34" s="196"/>
      <c r="AX34" s="196"/>
      <c r="AY34" s="196"/>
      <c r="AZ34" s="196"/>
      <c r="BA34" s="196"/>
      <c r="BB34" s="196"/>
      <c r="BC34" s="196"/>
      <c r="BD34" s="196"/>
      <c r="BE34" s="196"/>
      <c r="BF34" s="196"/>
      <c r="BG34" s="196"/>
      <c r="BH34" s="196"/>
      <c r="BI34" s="196"/>
      <c r="BJ34" s="196"/>
      <c r="BK34" s="196"/>
      <c r="BL34" s="196"/>
      <c r="BM34" s="196"/>
      <c r="BN34" s="196"/>
      <c r="BO34" s="196"/>
      <c r="BP34" s="196"/>
      <c r="BQ34" s="196"/>
      <c r="BR34" s="196"/>
      <c r="BS34" s="196"/>
      <c r="BT34" s="196"/>
      <c r="BU34" s="196"/>
      <c r="BV34" s="196"/>
      <c r="BW34" s="196"/>
      <c r="BX34" s="196"/>
      <c r="BY34" s="196"/>
      <c r="BZ34" s="196"/>
      <c r="CA34" s="196"/>
      <c r="CB34" s="196"/>
      <c r="CC34" s="196"/>
      <c r="CD34" s="196"/>
      <c r="CE34" s="196"/>
      <c r="CF34" s="196"/>
      <c r="CG34" s="196"/>
      <c r="CH34" s="196"/>
      <c r="CI34" s="196"/>
      <c r="CJ34" s="196" t="s">
        <v>978</v>
      </c>
      <c r="CK34" s="196"/>
      <c r="CL34" s="196"/>
      <c r="CM34" s="196"/>
      <c r="CN34" s="196"/>
      <c r="CO34" s="196"/>
      <c r="CP34" s="196"/>
      <c r="CQ34" s="196"/>
      <c r="CR34" s="196"/>
      <c r="CS34" s="196"/>
      <c r="CT34" s="196"/>
      <c r="CU34" s="196"/>
      <c r="CV34" s="196"/>
      <c r="CW34" s="196"/>
      <c r="CX34" s="196" t="s">
        <v>978</v>
      </c>
      <c r="CY34" s="196"/>
      <c r="CZ34" s="196" t="s">
        <v>978</v>
      </c>
      <c r="DA34" s="196"/>
      <c r="DB34" s="196"/>
      <c r="DC34" s="196"/>
      <c r="DD34" s="196"/>
      <c r="DE34" s="196"/>
      <c r="DF34" s="196"/>
      <c r="DG34" s="196"/>
      <c r="DH34" s="87"/>
      <c r="DI34" s="88"/>
      <c r="DJ34" s="88"/>
      <c r="DK34" s="88"/>
      <c r="DL34" s="88"/>
      <c r="DM34" s="184"/>
      <c r="DN34" s="184"/>
      <c r="DO34" s="88"/>
      <c r="DP34" s="88"/>
      <c r="DQ34" s="88"/>
      <c r="DR34" s="184"/>
      <c r="DS34" s="184"/>
      <c r="DT34" s="88" t="s">
        <v>61</v>
      </c>
      <c r="DU34" s="54" t="s">
        <v>1248</v>
      </c>
      <c r="DV34" s="88" t="s">
        <v>63</v>
      </c>
    </row>
    <row r="35" spans="1:126" ht="15" customHeight="1" x14ac:dyDescent="0.35">
      <c r="A35" s="47" t="s">
        <v>943</v>
      </c>
      <c r="B35" s="86"/>
      <c r="C35" s="107" t="s">
        <v>1272</v>
      </c>
      <c r="D35" s="86"/>
      <c r="E35" s="87"/>
      <c r="F35" s="196"/>
      <c r="G35" s="196"/>
      <c r="H35" s="196"/>
      <c r="I35" s="196"/>
      <c r="J35" s="196"/>
      <c r="K35" s="196"/>
      <c r="L35" s="196"/>
      <c r="M35" s="196"/>
      <c r="N35" s="196"/>
      <c r="O35" s="196"/>
      <c r="P35" s="196"/>
      <c r="Q35" s="196"/>
      <c r="R35" s="196"/>
      <c r="S35" s="196"/>
      <c r="T35" s="196"/>
      <c r="U35" s="196"/>
      <c r="V35" s="196"/>
      <c r="W35" s="196"/>
      <c r="X35" s="196"/>
      <c r="Y35" s="196"/>
      <c r="Z35" s="196"/>
      <c r="AA35" s="196"/>
      <c r="AB35" s="196"/>
      <c r="AC35" s="196"/>
      <c r="AD35" s="196"/>
      <c r="AE35" s="196"/>
      <c r="AF35" s="196"/>
      <c r="AG35" s="196"/>
      <c r="AH35" s="196"/>
      <c r="AI35" s="196"/>
      <c r="AJ35" s="196"/>
      <c r="AK35" s="196"/>
      <c r="AL35" s="196"/>
      <c r="AM35" s="196"/>
      <c r="AN35" s="196"/>
      <c r="AO35" s="196"/>
      <c r="AP35" s="196"/>
      <c r="AQ35" s="196"/>
      <c r="AR35" s="196"/>
      <c r="AS35" s="196"/>
      <c r="AT35" s="196"/>
      <c r="AU35" s="196"/>
      <c r="AV35" s="196"/>
      <c r="AW35" s="196"/>
      <c r="AX35" s="196"/>
      <c r="AY35" s="196"/>
      <c r="AZ35" s="196"/>
      <c r="BA35" s="196"/>
      <c r="BB35" s="196"/>
      <c r="BC35" s="196"/>
      <c r="BD35" s="196"/>
      <c r="BE35" s="196"/>
      <c r="BF35" s="196"/>
      <c r="BG35" s="196"/>
      <c r="BH35" s="196"/>
      <c r="BI35" s="196"/>
      <c r="BJ35" s="196"/>
      <c r="BK35" s="196"/>
      <c r="BL35" s="196"/>
      <c r="BM35" s="196"/>
      <c r="BN35" s="196"/>
      <c r="BO35" s="196"/>
      <c r="BP35" s="196"/>
      <c r="BQ35" s="196"/>
      <c r="BR35" s="196"/>
      <c r="BS35" s="196"/>
      <c r="BT35" s="196"/>
      <c r="BU35" s="196"/>
      <c r="BV35" s="196"/>
      <c r="BW35" s="196"/>
      <c r="BX35" s="196"/>
      <c r="BY35" s="196"/>
      <c r="BZ35" s="196"/>
      <c r="CA35" s="196"/>
      <c r="CB35" s="196"/>
      <c r="CC35" s="196"/>
      <c r="CD35" s="196"/>
      <c r="CE35" s="196"/>
      <c r="CF35" s="196"/>
      <c r="CG35" s="196"/>
      <c r="CH35" s="196"/>
      <c r="CI35" s="196"/>
      <c r="CJ35" s="196"/>
      <c r="CK35" s="196"/>
      <c r="CL35" s="196"/>
      <c r="CM35" s="196"/>
      <c r="CN35" s="196"/>
      <c r="CO35" s="196"/>
      <c r="CP35" s="196"/>
      <c r="CQ35" s="196"/>
      <c r="CR35" s="196"/>
      <c r="CS35" s="196" t="s">
        <v>978</v>
      </c>
      <c r="CT35" s="196" t="s">
        <v>978</v>
      </c>
      <c r="CU35" s="196"/>
      <c r="CV35" s="196"/>
      <c r="CW35" s="196"/>
      <c r="CX35" s="196"/>
      <c r="CY35" s="196" t="s">
        <v>978</v>
      </c>
      <c r="CZ35" s="196"/>
      <c r="DA35" s="196" t="s">
        <v>978</v>
      </c>
      <c r="DB35" s="196" t="s">
        <v>978</v>
      </c>
      <c r="DC35" s="196" t="s">
        <v>978</v>
      </c>
      <c r="DD35" s="196" t="s">
        <v>978</v>
      </c>
      <c r="DE35" s="196"/>
      <c r="DF35" s="196"/>
      <c r="DG35" s="196"/>
      <c r="DH35" s="87"/>
      <c r="DI35" s="88"/>
      <c r="DJ35" s="88"/>
      <c r="DK35" s="88"/>
      <c r="DL35" s="88"/>
      <c r="DM35" s="184"/>
      <c r="DN35" s="184"/>
      <c r="DO35" s="88"/>
      <c r="DP35" s="88"/>
      <c r="DQ35" s="88"/>
      <c r="DR35" s="184"/>
      <c r="DS35" s="184"/>
      <c r="DT35" s="88" t="s">
        <v>61</v>
      </c>
      <c r="DU35" s="54" t="s">
        <v>1248</v>
      </c>
      <c r="DV35" s="88" t="s">
        <v>63</v>
      </c>
    </row>
    <row r="36" spans="1:126" ht="15" customHeight="1" x14ac:dyDescent="0.35">
      <c r="A36" s="47" t="s">
        <v>943</v>
      </c>
      <c r="B36" s="86"/>
      <c r="C36" s="107" t="s">
        <v>1273</v>
      </c>
      <c r="D36" s="86"/>
      <c r="E36" s="87"/>
      <c r="F36" s="196"/>
      <c r="G36" s="196"/>
      <c r="H36" s="196"/>
      <c r="I36" s="196"/>
      <c r="J36" s="196"/>
      <c r="K36" s="196"/>
      <c r="L36" s="196"/>
      <c r="M36" s="196"/>
      <c r="N36" s="196"/>
      <c r="O36" s="196"/>
      <c r="P36" s="196"/>
      <c r="Q36" s="196"/>
      <c r="R36" s="196"/>
      <c r="S36" s="196"/>
      <c r="T36" s="196"/>
      <c r="U36" s="196"/>
      <c r="V36" s="196"/>
      <c r="W36" s="196"/>
      <c r="X36" s="196"/>
      <c r="Y36" s="196"/>
      <c r="Z36" s="196"/>
      <c r="AA36" s="196"/>
      <c r="AB36" s="196"/>
      <c r="AC36" s="196"/>
      <c r="AD36" s="196"/>
      <c r="AE36" s="196"/>
      <c r="AF36" s="196"/>
      <c r="AG36" s="196"/>
      <c r="AH36" s="196"/>
      <c r="AI36" s="196"/>
      <c r="AJ36" s="196"/>
      <c r="AK36" s="196"/>
      <c r="AL36" s="196"/>
      <c r="AM36" s="196"/>
      <c r="AN36" s="196"/>
      <c r="AO36" s="196"/>
      <c r="AP36" s="196"/>
      <c r="AQ36" s="196"/>
      <c r="AR36" s="196"/>
      <c r="AS36" s="196"/>
      <c r="AT36" s="196"/>
      <c r="AU36" s="196"/>
      <c r="AV36" s="196"/>
      <c r="AW36" s="196"/>
      <c r="AX36" s="196"/>
      <c r="AY36" s="196"/>
      <c r="AZ36" s="196"/>
      <c r="BA36" s="196"/>
      <c r="BB36" s="196"/>
      <c r="BC36" s="196"/>
      <c r="BD36" s="196"/>
      <c r="BE36" s="196"/>
      <c r="BF36" s="196"/>
      <c r="BG36" s="196"/>
      <c r="BH36" s="196"/>
      <c r="BI36" s="196"/>
      <c r="BJ36" s="196"/>
      <c r="BK36" s="196"/>
      <c r="BL36" s="196"/>
      <c r="BM36" s="196"/>
      <c r="BN36" s="196"/>
      <c r="BO36" s="196"/>
      <c r="BP36" s="196"/>
      <c r="BQ36" s="196"/>
      <c r="BR36" s="196"/>
      <c r="BS36" s="196"/>
      <c r="BT36" s="196"/>
      <c r="BU36" s="196"/>
      <c r="BV36" s="196"/>
      <c r="BW36" s="196"/>
      <c r="BX36" s="196"/>
      <c r="BY36" s="196"/>
      <c r="BZ36" s="196"/>
      <c r="CA36" s="196"/>
      <c r="CB36" s="196"/>
      <c r="CC36" s="196"/>
      <c r="CD36" s="196"/>
      <c r="CE36" s="196"/>
      <c r="CF36" s="196"/>
      <c r="CG36" s="196"/>
      <c r="CH36" s="196"/>
      <c r="CI36" s="196"/>
      <c r="CJ36" s="196"/>
      <c r="CK36" s="196"/>
      <c r="CL36" s="196"/>
      <c r="CM36" s="196"/>
      <c r="CN36" s="196"/>
      <c r="CO36" s="196"/>
      <c r="CP36" s="196"/>
      <c r="CQ36" s="196" t="s">
        <v>978</v>
      </c>
      <c r="CR36" s="196"/>
      <c r="CS36" s="196"/>
      <c r="CT36" s="196"/>
      <c r="CU36" s="196"/>
      <c r="CV36" s="196"/>
      <c r="CW36" s="196"/>
      <c r="CX36" s="196"/>
      <c r="CY36" s="196"/>
      <c r="CZ36" s="196"/>
      <c r="DA36" s="196"/>
      <c r="DB36" s="196"/>
      <c r="DC36" s="196"/>
      <c r="DD36" s="196"/>
      <c r="DE36" s="196"/>
      <c r="DF36" s="196"/>
      <c r="DG36" s="196"/>
      <c r="DH36" s="87"/>
      <c r="DI36" s="88"/>
      <c r="DJ36" s="88"/>
      <c r="DK36" s="88"/>
      <c r="DL36" s="88"/>
      <c r="DM36" s="184"/>
      <c r="DN36" s="184"/>
      <c r="DO36" s="88"/>
      <c r="DP36" s="88"/>
      <c r="DQ36" s="88"/>
      <c r="DR36" s="184"/>
      <c r="DS36" s="184"/>
      <c r="DT36" s="88" t="s">
        <v>61</v>
      </c>
      <c r="DU36" s="54" t="s">
        <v>1248</v>
      </c>
      <c r="DV36" s="88" t="s">
        <v>63</v>
      </c>
    </row>
    <row r="37" spans="1:126" ht="15" customHeight="1" x14ac:dyDescent="0.35">
      <c r="A37" s="47"/>
      <c r="B37" s="86"/>
      <c r="C37" s="88"/>
      <c r="D37" s="86"/>
      <c r="E37" s="87"/>
      <c r="F37" s="88"/>
      <c r="G37" s="42"/>
      <c r="H37" s="88"/>
      <c r="I37" s="42"/>
      <c r="J37" s="88"/>
      <c r="K37" s="88"/>
      <c r="L37" s="42"/>
      <c r="M37" s="42"/>
      <c r="N37" s="88"/>
      <c r="O37" s="88"/>
      <c r="P37" s="42"/>
      <c r="Q37" s="42"/>
      <c r="R37" s="88"/>
      <c r="S37" s="42"/>
      <c r="T37" s="42"/>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c r="CY37" s="88"/>
      <c r="CZ37" s="88"/>
      <c r="DA37" s="88"/>
      <c r="DB37" s="88"/>
      <c r="DC37" s="88"/>
      <c r="DD37" s="88"/>
      <c r="DE37" s="88"/>
      <c r="DF37" s="88"/>
      <c r="DG37" s="88"/>
      <c r="DH37" s="87"/>
      <c r="DI37" s="88"/>
      <c r="DJ37" s="88"/>
      <c r="DK37" s="88"/>
      <c r="DL37" s="88"/>
      <c r="DM37" s="184"/>
      <c r="DN37" s="184"/>
      <c r="DO37" s="88"/>
      <c r="DP37" s="88"/>
      <c r="DQ37" s="88"/>
      <c r="DR37" s="184"/>
      <c r="DS37" s="184"/>
      <c r="DT37" s="88"/>
      <c r="DU37" s="88"/>
      <c r="DV37" s="88"/>
    </row>
    <row r="38" spans="1:126" ht="15" customHeight="1" x14ac:dyDescent="0.35">
      <c r="A38" s="47"/>
      <c r="B38" s="86"/>
      <c r="C38" s="88"/>
      <c r="D38" s="86"/>
      <c r="E38" s="87"/>
      <c r="F38" s="88"/>
      <c r="G38" s="42"/>
      <c r="H38" s="88"/>
      <c r="I38" s="42"/>
      <c r="J38" s="88"/>
      <c r="K38" s="88"/>
      <c r="L38" s="42"/>
      <c r="M38" s="42"/>
      <c r="N38" s="88"/>
      <c r="O38" s="88"/>
      <c r="P38" s="42"/>
      <c r="Q38" s="42"/>
      <c r="R38" s="88"/>
      <c r="S38" s="42"/>
      <c r="T38" s="42"/>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c r="CY38" s="88"/>
      <c r="CZ38" s="88"/>
      <c r="DA38" s="88"/>
      <c r="DB38" s="88"/>
      <c r="DC38" s="88"/>
      <c r="DD38" s="88"/>
      <c r="DE38" s="88"/>
      <c r="DF38" s="88"/>
      <c r="DG38" s="88"/>
      <c r="DH38" s="87"/>
      <c r="DI38" s="88"/>
      <c r="DJ38" s="88"/>
      <c r="DK38" s="88"/>
      <c r="DL38" s="88"/>
      <c r="DM38" s="184"/>
      <c r="DN38" s="184"/>
      <c r="DO38" s="88"/>
      <c r="DP38" s="88"/>
      <c r="DQ38" s="88"/>
      <c r="DR38" s="184"/>
      <c r="DS38" s="184"/>
      <c r="DT38" s="88"/>
      <c r="DU38" s="88"/>
      <c r="DV38" s="88"/>
    </row>
    <row r="39" spans="1:126" ht="15" customHeight="1" x14ac:dyDescent="0.35">
      <c r="A39" s="47"/>
      <c r="B39" s="86"/>
      <c r="C39" s="88"/>
      <c r="D39" s="86"/>
      <c r="E39" s="87"/>
      <c r="F39" s="88"/>
      <c r="G39" s="42"/>
      <c r="H39" s="88"/>
      <c r="I39" s="42"/>
      <c r="J39" s="88"/>
      <c r="K39" s="88"/>
      <c r="L39" s="42"/>
      <c r="M39" s="42"/>
      <c r="N39" s="88"/>
      <c r="O39" s="88"/>
      <c r="P39" s="42"/>
      <c r="Q39" s="42"/>
      <c r="R39" s="88"/>
      <c r="S39" s="42"/>
      <c r="T39" s="42"/>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c r="CY39" s="88"/>
      <c r="CZ39" s="88"/>
      <c r="DA39" s="88"/>
      <c r="DB39" s="88"/>
      <c r="DC39" s="88"/>
      <c r="DD39" s="88"/>
      <c r="DE39" s="88"/>
      <c r="DF39" s="88"/>
      <c r="DG39" s="88"/>
      <c r="DH39" s="87"/>
      <c r="DI39" s="88"/>
      <c r="DJ39" s="88"/>
      <c r="DK39" s="88"/>
      <c r="DL39" s="88"/>
      <c r="DM39" s="184"/>
      <c r="DN39" s="184"/>
      <c r="DO39" s="88"/>
      <c r="DP39" s="88"/>
      <c r="DQ39" s="88"/>
      <c r="DR39" s="184"/>
      <c r="DS39" s="184"/>
      <c r="DT39" s="88"/>
      <c r="DU39" s="88"/>
      <c r="DV39" s="88"/>
    </row>
    <row r="40" spans="1:126" ht="15" customHeight="1" x14ac:dyDescent="0.35">
      <c r="A40" s="47"/>
      <c r="B40" s="86"/>
      <c r="C40" s="88"/>
      <c r="D40" s="86"/>
      <c r="E40" s="87"/>
      <c r="F40" s="88"/>
      <c r="G40" s="42"/>
      <c r="H40" s="88"/>
      <c r="I40" s="42"/>
      <c r="J40" s="88"/>
      <c r="K40" s="88"/>
      <c r="L40" s="42"/>
      <c r="M40" s="42"/>
      <c r="N40" s="88"/>
      <c r="O40" s="88"/>
      <c r="P40" s="42"/>
      <c r="Q40" s="42"/>
      <c r="R40" s="88"/>
      <c r="S40" s="42"/>
      <c r="T40" s="42"/>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c r="CY40" s="88"/>
      <c r="CZ40" s="88"/>
      <c r="DA40" s="88"/>
      <c r="DB40" s="88"/>
      <c r="DC40" s="88"/>
      <c r="DD40" s="88"/>
      <c r="DE40" s="88"/>
      <c r="DF40" s="88"/>
      <c r="DG40" s="88"/>
      <c r="DH40" s="87"/>
      <c r="DI40" s="88"/>
      <c r="DJ40" s="88"/>
      <c r="DK40" s="88"/>
      <c r="DL40" s="88"/>
      <c r="DM40" s="184"/>
      <c r="DN40" s="184"/>
      <c r="DO40" s="88"/>
      <c r="DP40" s="88"/>
      <c r="DQ40" s="88"/>
      <c r="DR40" s="184"/>
      <c r="DS40" s="184"/>
      <c r="DT40" s="88"/>
      <c r="DU40" s="88"/>
      <c r="DV40" s="88"/>
    </row>
    <row r="41" spans="1:126" ht="15" customHeight="1" x14ac:dyDescent="0.35">
      <c r="A41" s="47"/>
      <c r="B41" s="86"/>
      <c r="C41" s="88"/>
      <c r="D41" s="86"/>
      <c r="E41" s="87"/>
      <c r="F41" s="88"/>
      <c r="G41" s="42"/>
      <c r="H41" s="88"/>
      <c r="I41" s="42"/>
      <c r="J41" s="88"/>
      <c r="K41" s="88"/>
      <c r="L41" s="42"/>
      <c r="M41" s="42"/>
      <c r="N41" s="88"/>
      <c r="O41" s="88"/>
      <c r="P41" s="42"/>
      <c r="Q41" s="42"/>
      <c r="R41" s="88"/>
      <c r="S41" s="42"/>
      <c r="T41" s="42"/>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c r="DC41" s="88"/>
      <c r="DD41" s="88"/>
      <c r="DE41" s="88"/>
      <c r="DF41" s="88"/>
      <c r="DG41" s="88"/>
      <c r="DH41" s="87"/>
      <c r="DI41" s="88"/>
      <c r="DJ41" s="88"/>
      <c r="DK41" s="88"/>
      <c r="DL41" s="88"/>
      <c r="DM41" s="184"/>
      <c r="DN41" s="184"/>
      <c r="DO41" s="88"/>
      <c r="DP41" s="88"/>
      <c r="DQ41" s="88"/>
      <c r="DR41" s="184"/>
      <c r="DS41" s="184"/>
      <c r="DT41" s="88"/>
      <c r="DU41" s="88"/>
      <c r="DV41" s="88"/>
    </row>
    <row r="42" spans="1:126" ht="15" customHeight="1" x14ac:dyDescent="0.35">
      <c r="A42" s="47"/>
      <c r="B42" s="86"/>
      <c r="C42" s="88"/>
      <c r="D42" s="86"/>
      <c r="E42" s="87"/>
      <c r="F42" s="88"/>
      <c r="G42" s="42"/>
      <c r="H42" s="88"/>
      <c r="I42" s="42"/>
      <c r="J42" s="88"/>
      <c r="K42" s="88"/>
      <c r="L42" s="42"/>
      <c r="M42" s="42"/>
      <c r="N42" s="88"/>
      <c r="O42" s="88"/>
      <c r="P42" s="42"/>
      <c r="Q42" s="42"/>
      <c r="R42" s="88"/>
      <c r="S42" s="42"/>
      <c r="T42" s="42"/>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c r="DC42" s="88"/>
      <c r="DD42" s="88"/>
      <c r="DE42" s="88"/>
      <c r="DF42" s="88"/>
      <c r="DG42" s="88"/>
      <c r="DH42" s="87"/>
      <c r="DI42" s="88"/>
      <c r="DJ42" s="88"/>
      <c r="DK42" s="88"/>
      <c r="DL42" s="88"/>
      <c r="DM42" s="184"/>
      <c r="DN42" s="184"/>
      <c r="DO42" s="88"/>
      <c r="DP42" s="88"/>
      <c r="DQ42" s="88"/>
      <c r="DR42" s="184"/>
      <c r="DS42" s="184"/>
      <c r="DT42" s="88"/>
      <c r="DU42" s="88"/>
      <c r="DV42" s="88"/>
    </row>
    <row r="43" spans="1:126" ht="15" customHeight="1" x14ac:dyDescent="0.35">
      <c r="A43" s="47"/>
      <c r="B43" s="86"/>
      <c r="C43" s="88"/>
      <c r="D43" s="86"/>
      <c r="E43" s="87"/>
      <c r="F43" s="88"/>
      <c r="G43" s="42"/>
      <c r="H43" s="88"/>
      <c r="I43" s="42"/>
      <c r="J43" s="88"/>
      <c r="K43" s="88"/>
      <c r="L43" s="42"/>
      <c r="M43" s="42"/>
      <c r="N43" s="88"/>
      <c r="O43" s="88"/>
      <c r="P43" s="42"/>
      <c r="Q43" s="42"/>
      <c r="R43" s="88"/>
      <c r="S43" s="42"/>
      <c r="T43" s="42"/>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c r="DC43" s="88"/>
      <c r="DD43" s="88"/>
      <c r="DE43" s="88"/>
      <c r="DF43" s="88"/>
      <c r="DG43" s="88"/>
      <c r="DH43" s="87"/>
      <c r="DI43" s="88"/>
      <c r="DJ43" s="88"/>
      <c r="DK43" s="88"/>
      <c r="DL43" s="88"/>
      <c r="DM43" s="184"/>
      <c r="DN43" s="184"/>
      <c r="DO43" s="88"/>
      <c r="DP43" s="88"/>
      <c r="DQ43" s="88"/>
      <c r="DR43" s="184"/>
      <c r="DS43" s="184"/>
      <c r="DT43" s="88"/>
      <c r="DU43" s="88"/>
      <c r="DV43" s="88"/>
    </row>
    <row r="44" spans="1:126" ht="15" customHeight="1" x14ac:dyDescent="0.35">
      <c r="A44" s="47"/>
      <c r="B44" s="86"/>
      <c r="C44" s="88"/>
      <c r="D44" s="86"/>
      <c r="E44" s="87"/>
      <c r="F44" s="88"/>
      <c r="G44" s="42"/>
      <c r="H44" s="88"/>
      <c r="I44" s="42"/>
      <c r="J44" s="88"/>
      <c r="K44" s="88"/>
      <c r="L44" s="42"/>
      <c r="M44" s="42"/>
      <c r="N44" s="88"/>
      <c r="O44" s="88"/>
      <c r="P44" s="42"/>
      <c r="Q44" s="42"/>
      <c r="R44" s="88"/>
      <c r="S44" s="42"/>
      <c r="T44" s="42"/>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c r="CY44" s="88"/>
      <c r="CZ44" s="88"/>
      <c r="DA44" s="88"/>
      <c r="DB44" s="88"/>
      <c r="DC44" s="88"/>
      <c r="DD44" s="88"/>
      <c r="DE44" s="88"/>
      <c r="DF44" s="88"/>
      <c r="DG44" s="88"/>
      <c r="DH44" s="87"/>
      <c r="DI44" s="88"/>
      <c r="DJ44" s="88"/>
      <c r="DK44" s="88"/>
      <c r="DL44" s="88"/>
      <c r="DM44" s="184"/>
      <c r="DN44" s="184"/>
      <c r="DO44" s="88"/>
      <c r="DP44" s="88"/>
      <c r="DQ44" s="88"/>
      <c r="DR44" s="184"/>
      <c r="DS44" s="184"/>
      <c r="DT44" s="88"/>
      <c r="DU44" s="88"/>
      <c r="DV44" s="88"/>
    </row>
    <row r="45" spans="1:126" ht="15" customHeight="1" x14ac:dyDescent="0.35">
      <c r="A45" s="47"/>
      <c r="B45" s="86"/>
      <c r="C45" s="88"/>
      <c r="D45" s="86"/>
      <c r="E45" s="87"/>
      <c r="F45" s="88"/>
      <c r="G45" s="42"/>
      <c r="H45" s="88"/>
      <c r="I45" s="42"/>
      <c r="J45" s="88"/>
      <c r="K45" s="88"/>
      <c r="L45" s="42"/>
      <c r="M45" s="42"/>
      <c r="N45" s="88"/>
      <c r="O45" s="88"/>
      <c r="P45" s="42"/>
      <c r="Q45" s="42"/>
      <c r="R45" s="88"/>
      <c r="S45" s="42"/>
      <c r="T45" s="42"/>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c r="DC45" s="88"/>
      <c r="DD45" s="88"/>
      <c r="DE45" s="88"/>
      <c r="DF45" s="88"/>
      <c r="DG45" s="88"/>
      <c r="DH45" s="87"/>
      <c r="DI45" s="88"/>
      <c r="DJ45" s="88"/>
      <c r="DK45" s="88"/>
      <c r="DL45" s="88"/>
      <c r="DM45" s="184"/>
      <c r="DN45" s="184"/>
      <c r="DO45" s="88"/>
      <c r="DP45" s="88"/>
      <c r="DQ45" s="88"/>
      <c r="DR45" s="184"/>
      <c r="DS45" s="184"/>
      <c r="DT45" s="88"/>
      <c r="DU45" s="88"/>
      <c r="DV45" s="88"/>
    </row>
    <row r="46" spans="1:126" ht="15" customHeight="1" x14ac:dyDescent="0.35">
      <c r="A46" s="47"/>
      <c r="B46" s="86"/>
      <c r="C46" s="88"/>
      <c r="D46" s="86"/>
      <c r="E46" s="87"/>
      <c r="F46" s="88"/>
      <c r="G46" s="42"/>
      <c r="H46" s="88"/>
      <c r="I46" s="42"/>
      <c r="J46" s="88"/>
      <c r="K46" s="88"/>
      <c r="L46" s="42"/>
      <c r="M46" s="42"/>
      <c r="N46" s="88"/>
      <c r="O46" s="88"/>
      <c r="P46" s="42"/>
      <c r="Q46" s="42"/>
      <c r="R46" s="88"/>
      <c r="S46" s="42"/>
      <c r="T46" s="42"/>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c r="CY46" s="88"/>
      <c r="CZ46" s="88"/>
      <c r="DA46" s="88"/>
      <c r="DB46" s="88"/>
      <c r="DC46" s="88"/>
      <c r="DD46" s="88"/>
      <c r="DE46" s="88"/>
      <c r="DF46" s="88"/>
      <c r="DG46" s="88"/>
      <c r="DH46" s="87"/>
      <c r="DI46" s="88"/>
      <c r="DJ46" s="88"/>
      <c r="DK46" s="88"/>
      <c r="DL46" s="88"/>
      <c r="DM46" s="184"/>
      <c r="DN46" s="184"/>
      <c r="DO46" s="88"/>
      <c r="DP46" s="88"/>
      <c r="DQ46" s="88"/>
      <c r="DR46" s="184"/>
      <c r="DS46" s="184"/>
      <c r="DT46" s="88"/>
      <c r="DU46" s="88"/>
      <c r="DV46" s="88"/>
    </row>
    <row r="47" spans="1:126" ht="15" customHeight="1" x14ac:dyDescent="0.35">
      <c r="A47" s="47"/>
      <c r="B47" s="86"/>
      <c r="C47" s="88"/>
      <c r="D47" s="86"/>
      <c r="E47" s="87"/>
      <c r="F47" s="88"/>
      <c r="G47" s="42"/>
      <c r="H47" s="88"/>
      <c r="I47" s="42"/>
      <c r="J47" s="88"/>
      <c r="K47" s="88"/>
      <c r="L47" s="42"/>
      <c r="M47" s="42"/>
      <c r="N47" s="88"/>
      <c r="O47" s="88"/>
      <c r="P47" s="42"/>
      <c r="Q47" s="42"/>
      <c r="R47" s="88"/>
      <c r="S47" s="42"/>
      <c r="T47" s="42"/>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c r="CY47" s="88"/>
      <c r="CZ47" s="88"/>
      <c r="DA47" s="88"/>
      <c r="DB47" s="88"/>
      <c r="DC47" s="88"/>
      <c r="DD47" s="88"/>
      <c r="DE47" s="88"/>
      <c r="DF47" s="88"/>
      <c r="DG47" s="88"/>
      <c r="DH47" s="87"/>
      <c r="DI47" s="88"/>
      <c r="DJ47" s="88"/>
      <c r="DK47" s="88"/>
      <c r="DL47" s="88"/>
      <c r="DM47" s="184"/>
      <c r="DN47" s="184"/>
      <c r="DO47" s="88"/>
      <c r="DP47" s="88"/>
      <c r="DQ47" s="88"/>
      <c r="DR47" s="184"/>
      <c r="DS47" s="184"/>
      <c r="DT47" s="88"/>
      <c r="DU47" s="88"/>
      <c r="DV47" s="88"/>
    </row>
    <row r="48" spans="1:126" ht="15" customHeight="1" x14ac:dyDescent="0.35">
      <c r="A48" s="47"/>
      <c r="B48" s="86"/>
      <c r="C48" s="88"/>
      <c r="D48" s="86"/>
      <c r="E48" s="87"/>
      <c r="F48" s="88"/>
      <c r="G48" s="42"/>
      <c r="H48" s="88"/>
      <c r="I48" s="42"/>
      <c r="J48" s="88"/>
      <c r="K48" s="88"/>
      <c r="L48" s="42"/>
      <c r="M48" s="42"/>
      <c r="N48" s="88"/>
      <c r="O48" s="88"/>
      <c r="P48" s="42"/>
      <c r="Q48" s="42"/>
      <c r="R48" s="88"/>
      <c r="S48" s="42"/>
      <c r="T48" s="42"/>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c r="CY48" s="88"/>
      <c r="CZ48" s="88"/>
      <c r="DA48" s="88"/>
      <c r="DB48" s="88"/>
      <c r="DC48" s="88"/>
      <c r="DD48" s="88"/>
      <c r="DE48" s="88"/>
      <c r="DF48" s="88"/>
      <c r="DG48" s="88"/>
      <c r="DH48" s="87"/>
      <c r="DI48" s="88"/>
      <c r="DJ48" s="88"/>
      <c r="DK48" s="88"/>
      <c r="DL48" s="88"/>
      <c r="DM48" s="184"/>
      <c r="DN48" s="184"/>
      <c r="DO48" s="88"/>
      <c r="DP48" s="88"/>
      <c r="DQ48" s="88"/>
      <c r="DR48" s="184"/>
      <c r="DS48" s="184"/>
      <c r="DT48" s="88"/>
      <c r="DU48" s="88"/>
      <c r="DV48" s="88"/>
    </row>
    <row r="49" spans="1:126" ht="15" customHeight="1" x14ac:dyDescent="0.35">
      <c r="A49" s="47"/>
      <c r="B49" s="86"/>
      <c r="C49" s="88"/>
      <c r="D49" s="86"/>
      <c r="E49" s="87"/>
      <c r="F49" s="88"/>
      <c r="G49" s="42"/>
      <c r="H49" s="88"/>
      <c r="I49" s="42"/>
      <c r="J49" s="88"/>
      <c r="K49" s="88"/>
      <c r="L49" s="42"/>
      <c r="M49" s="42"/>
      <c r="N49" s="88"/>
      <c r="O49" s="88"/>
      <c r="P49" s="42"/>
      <c r="Q49" s="42"/>
      <c r="R49" s="88"/>
      <c r="S49" s="42"/>
      <c r="T49" s="42"/>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c r="CY49" s="88"/>
      <c r="CZ49" s="88"/>
      <c r="DA49" s="88"/>
      <c r="DB49" s="88"/>
      <c r="DC49" s="88"/>
      <c r="DD49" s="88"/>
      <c r="DE49" s="88"/>
      <c r="DF49" s="88"/>
      <c r="DG49" s="88"/>
      <c r="DH49" s="87"/>
      <c r="DI49" s="88"/>
      <c r="DJ49" s="88"/>
      <c r="DK49" s="88"/>
      <c r="DL49" s="88"/>
      <c r="DM49" s="184"/>
      <c r="DN49" s="184"/>
      <c r="DO49" s="88"/>
      <c r="DP49" s="88"/>
      <c r="DQ49" s="88"/>
      <c r="DR49" s="184"/>
      <c r="DS49" s="184"/>
      <c r="DT49" s="88"/>
      <c r="DU49" s="88"/>
      <c r="DV49" s="88"/>
    </row>
    <row r="50" spans="1:126" ht="15" customHeight="1" x14ac:dyDescent="0.35">
      <c r="A50" s="47"/>
      <c r="B50" s="86"/>
      <c r="C50" s="88"/>
      <c r="D50" s="86"/>
      <c r="E50" s="87"/>
      <c r="F50" s="88"/>
      <c r="G50" s="42"/>
      <c r="H50" s="88"/>
      <c r="I50" s="42"/>
      <c r="J50" s="88"/>
      <c r="K50" s="88"/>
      <c r="L50" s="42"/>
      <c r="M50" s="42"/>
      <c r="N50" s="88"/>
      <c r="O50" s="88"/>
      <c r="P50" s="42"/>
      <c r="Q50" s="42"/>
      <c r="R50" s="88"/>
      <c r="S50" s="42"/>
      <c r="T50" s="42"/>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c r="CY50" s="88"/>
      <c r="CZ50" s="88"/>
      <c r="DA50" s="88"/>
      <c r="DB50" s="88"/>
      <c r="DC50" s="88"/>
      <c r="DD50" s="88"/>
      <c r="DE50" s="88"/>
      <c r="DF50" s="88"/>
      <c r="DG50" s="88"/>
      <c r="DH50" s="87"/>
      <c r="DI50" s="88"/>
      <c r="DJ50" s="88"/>
      <c r="DK50" s="88"/>
      <c r="DL50" s="88"/>
      <c r="DM50" s="184"/>
      <c r="DN50" s="184"/>
      <c r="DO50" s="88"/>
      <c r="DP50" s="88"/>
      <c r="DQ50" s="88"/>
      <c r="DR50" s="184"/>
      <c r="DS50" s="184"/>
      <c r="DT50" s="88"/>
      <c r="DU50" s="88"/>
      <c r="DV50" s="88"/>
    </row>
    <row r="51" spans="1:126" ht="15" customHeight="1" x14ac:dyDescent="0.35">
      <c r="A51" s="47"/>
      <c r="B51" s="86"/>
      <c r="C51" s="88"/>
      <c r="D51" s="86"/>
      <c r="E51" s="87"/>
      <c r="F51" s="88"/>
      <c r="G51" s="42"/>
      <c r="H51" s="88"/>
      <c r="I51" s="42"/>
      <c r="J51" s="88"/>
      <c r="K51" s="88"/>
      <c r="L51" s="42"/>
      <c r="M51" s="42"/>
      <c r="N51" s="88"/>
      <c r="O51" s="88"/>
      <c r="P51" s="42"/>
      <c r="Q51" s="42"/>
      <c r="R51" s="88"/>
      <c r="S51" s="42"/>
      <c r="T51" s="42"/>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c r="CY51" s="88"/>
      <c r="CZ51" s="88"/>
      <c r="DA51" s="88"/>
      <c r="DB51" s="88"/>
      <c r="DC51" s="88"/>
      <c r="DD51" s="88"/>
      <c r="DE51" s="88"/>
      <c r="DF51" s="88"/>
      <c r="DG51" s="88"/>
      <c r="DH51" s="87"/>
      <c r="DI51" s="88"/>
      <c r="DJ51" s="88"/>
      <c r="DK51" s="88"/>
      <c r="DL51" s="88"/>
      <c r="DM51" s="184"/>
      <c r="DN51" s="184"/>
      <c r="DO51" s="88"/>
      <c r="DP51" s="88"/>
      <c r="DQ51" s="88"/>
      <c r="DR51" s="184"/>
      <c r="DS51" s="184"/>
      <c r="DT51" s="88"/>
      <c r="DU51" s="88"/>
      <c r="DV51" s="88"/>
    </row>
    <row r="52" spans="1:126" ht="15" customHeight="1" x14ac:dyDescent="0.35">
      <c r="A52" s="47"/>
      <c r="B52" s="86"/>
      <c r="C52" s="88"/>
      <c r="D52" s="86"/>
      <c r="E52" s="87"/>
      <c r="F52" s="88"/>
      <c r="G52" s="42"/>
      <c r="H52" s="88"/>
      <c r="I52" s="42"/>
      <c r="J52" s="88"/>
      <c r="K52" s="88"/>
      <c r="L52" s="42"/>
      <c r="M52" s="42"/>
      <c r="N52" s="88"/>
      <c r="O52" s="88"/>
      <c r="P52" s="42"/>
      <c r="Q52" s="42"/>
      <c r="R52" s="88"/>
      <c r="S52" s="42"/>
      <c r="T52" s="42"/>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c r="CY52" s="88"/>
      <c r="CZ52" s="88"/>
      <c r="DA52" s="88"/>
      <c r="DB52" s="88"/>
      <c r="DC52" s="88"/>
      <c r="DD52" s="88"/>
      <c r="DE52" s="88"/>
      <c r="DF52" s="88"/>
      <c r="DG52" s="88"/>
      <c r="DH52" s="87"/>
      <c r="DI52" s="88"/>
      <c r="DJ52" s="88"/>
      <c r="DK52" s="88"/>
      <c r="DL52" s="88"/>
      <c r="DM52" s="184"/>
      <c r="DN52" s="184"/>
      <c r="DO52" s="88"/>
      <c r="DP52" s="88"/>
      <c r="DQ52" s="88"/>
      <c r="DR52" s="184"/>
      <c r="DS52" s="184"/>
      <c r="DT52" s="88"/>
      <c r="DU52" s="88"/>
      <c r="DV52" s="88"/>
    </row>
    <row r="53" spans="1:126" ht="15" customHeight="1" x14ac:dyDescent="0.35">
      <c r="A53" s="47"/>
      <c r="B53" s="86"/>
      <c r="C53" s="88"/>
      <c r="D53" s="86"/>
      <c r="E53" s="87"/>
      <c r="F53" s="88"/>
      <c r="G53" s="42"/>
      <c r="H53" s="88"/>
      <c r="I53" s="42"/>
      <c r="J53" s="88"/>
      <c r="K53" s="88"/>
      <c r="L53" s="42"/>
      <c r="M53" s="42"/>
      <c r="N53" s="88"/>
      <c r="O53" s="88"/>
      <c r="P53" s="42"/>
      <c r="Q53" s="42"/>
      <c r="R53" s="88"/>
      <c r="S53" s="42"/>
      <c r="T53" s="42"/>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c r="CY53" s="88"/>
      <c r="CZ53" s="88"/>
      <c r="DA53" s="88"/>
      <c r="DB53" s="88"/>
      <c r="DC53" s="88"/>
      <c r="DD53" s="88"/>
      <c r="DE53" s="88"/>
      <c r="DF53" s="88"/>
      <c r="DG53" s="88"/>
      <c r="DH53" s="87"/>
      <c r="DI53" s="88"/>
      <c r="DJ53" s="88"/>
      <c r="DK53" s="88"/>
      <c r="DL53" s="88"/>
      <c r="DM53" s="184"/>
      <c r="DN53" s="184"/>
      <c r="DO53" s="88"/>
      <c r="DP53" s="88"/>
      <c r="DQ53" s="88"/>
      <c r="DR53" s="184"/>
      <c r="DS53" s="184"/>
      <c r="DT53" s="88"/>
      <c r="DU53" s="88"/>
      <c r="DV53" s="88"/>
    </row>
    <row r="54" spans="1:126" ht="14.25" customHeight="1" x14ac:dyDescent="0.35">
      <c r="A54" s="184"/>
      <c r="B54" s="184"/>
      <c r="C54" s="193"/>
      <c r="D54" s="184"/>
      <c r="E54" s="193"/>
      <c r="F54" s="184"/>
      <c r="G54" s="184"/>
      <c r="H54" s="184"/>
      <c r="I54" s="184"/>
      <c r="J54" s="184"/>
      <c r="K54" s="184"/>
      <c r="L54" s="184"/>
      <c r="M54" s="184"/>
      <c r="N54" s="184"/>
      <c r="O54" s="184"/>
      <c r="P54" s="184"/>
      <c r="Q54" s="184"/>
      <c r="R54" s="184"/>
      <c r="S54" s="184"/>
      <c r="T54" s="184"/>
      <c r="U54" s="184"/>
      <c r="V54" s="184"/>
      <c r="W54" s="184"/>
      <c r="X54" s="184"/>
      <c r="Y54" s="184"/>
      <c r="Z54" s="184"/>
      <c r="AA54" s="184"/>
      <c r="AB54" s="184"/>
      <c r="AC54" s="184"/>
      <c r="AD54" s="184"/>
      <c r="AE54" s="184"/>
      <c r="AF54" s="184"/>
      <c r="AG54" s="184"/>
      <c r="AH54" s="184"/>
      <c r="AI54" s="184"/>
      <c r="AJ54" s="184"/>
      <c r="AK54" s="184"/>
      <c r="AL54" s="184"/>
      <c r="AM54" s="184"/>
      <c r="AN54" s="184"/>
      <c r="AO54" s="184"/>
      <c r="AP54" s="184"/>
      <c r="AQ54" s="184"/>
      <c r="AR54" s="184"/>
      <c r="AS54" s="184"/>
      <c r="AT54" s="184"/>
      <c r="AU54" s="184"/>
      <c r="AV54" s="184"/>
      <c r="AW54" s="184"/>
      <c r="AX54" s="184"/>
      <c r="AY54" s="184"/>
      <c r="AZ54" s="184"/>
      <c r="BA54" s="184"/>
      <c r="BB54" s="184"/>
      <c r="BC54" s="184"/>
      <c r="BD54" s="184"/>
      <c r="BE54" s="184"/>
      <c r="BF54" s="184"/>
      <c r="BG54" s="184"/>
      <c r="BH54" s="184"/>
      <c r="BI54" s="194"/>
      <c r="BJ54" s="184"/>
      <c r="BK54" s="184"/>
      <c r="BL54" s="184"/>
      <c r="BM54" s="184"/>
      <c r="BN54" s="184"/>
      <c r="BO54" s="184"/>
      <c r="BP54" s="184"/>
      <c r="BQ54" s="184"/>
      <c r="BR54" s="184"/>
      <c r="BS54" s="184"/>
      <c r="BT54" s="184"/>
      <c r="BU54" s="184"/>
      <c r="BV54" s="184"/>
      <c r="BW54" s="184"/>
      <c r="BX54" s="184"/>
      <c r="BY54" s="184"/>
      <c r="BZ54" s="184"/>
      <c r="CA54" s="184"/>
      <c r="CB54" s="184"/>
      <c r="CC54" s="184"/>
      <c r="CD54" s="184"/>
      <c r="CE54" s="184"/>
      <c r="CF54" s="184"/>
      <c r="CG54" s="184"/>
      <c r="CH54" s="184"/>
      <c r="CI54" s="184"/>
      <c r="CJ54" s="184"/>
      <c r="CK54" s="184"/>
      <c r="CL54" s="184"/>
      <c r="CM54" s="184"/>
      <c r="CN54" s="184"/>
      <c r="CO54" s="184"/>
      <c r="CP54" s="184"/>
      <c r="CQ54" s="184"/>
      <c r="CR54" s="184"/>
      <c r="CS54" s="184"/>
      <c r="CT54" s="184"/>
      <c r="CU54" s="184"/>
      <c r="CV54" s="184"/>
      <c r="CW54" s="184"/>
      <c r="CX54" s="184"/>
      <c r="CY54" s="184"/>
      <c r="CZ54" s="184"/>
      <c r="DA54" s="184"/>
      <c r="DB54" s="184"/>
      <c r="DC54" s="184"/>
      <c r="DD54" s="184"/>
      <c r="DE54" s="184"/>
      <c r="DF54" s="184"/>
      <c r="DG54" s="184"/>
      <c r="DH54" s="194"/>
      <c r="DI54" s="184"/>
      <c r="DJ54" s="184"/>
      <c r="DK54" s="184"/>
      <c r="DL54" s="184"/>
      <c r="DM54" s="184"/>
      <c r="DN54" s="184"/>
      <c r="DO54" s="184"/>
      <c r="DP54" s="184"/>
      <c r="DQ54" s="184"/>
      <c r="DR54" s="184"/>
      <c r="DS54" s="184"/>
      <c r="DT54" s="184"/>
      <c r="DU54" s="184"/>
      <c r="DV54" s="184"/>
    </row>
    <row r="55" spans="1:126" ht="14.25" customHeight="1" x14ac:dyDescent="0.35">
      <c r="A55" s="184"/>
      <c r="B55" s="184"/>
      <c r="C55" s="193"/>
      <c r="D55" s="184"/>
      <c r="E55" s="193"/>
      <c r="F55" s="184"/>
      <c r="G55" s="184"/>
      <c r="H55" s="184"/>
      <c r="I55" s="184"/>
      <c r="J55" s="184"/>
      <c r="K55" s="184"/>
      <c r="L55" s="184"/>
      <c r="M55" s="184"/>
      <c r="N55" s="184"/>
      <c r="O55" s="184"/>
      <c r="P55" s="184"/>
      <c r="Q55" s="184"/>
      <c r="R55" s="184"/>
      <c r="S55" s="184"/>
      <c r="T55" s="184"/>
      <c r="U55" s="184"/>
      <c r="V55" s="184"/>
      <c r="W55" s="184"/>
      <c r="X55" s="184"/>
      <c r="Y55" s="184"/>
      <c r="Z55" s="184"/>
      <c r="AA55" s="184"/>
      <c r="AB55" s="184"/>
      <c r="AC55" s="184"/>
      <c r="AD55" s="184"/>
      <c r="AE55" s="184"/>
      <c r="AF55" s="184"/>
      <c r="AG55" s="184"/>
      <c r="AH55" s="184"/>
      <c r="AI55" s="184"/>
      <c r="AJ55" s="184"/>
      <c r="AK55" s="184"/>
      <c r="AL55" s="184"/>
      <c r="AM55" s="184"/>
      <c r="AN55" s="184"/>
      <c r="AO55" s="184"/>
      <c r="AP55" s="184"/>
      <c r="AQ55" s="184"/>
      <c r="AR55" s="184"/>
      <c r="AS55" s="184"/>
      <c r="AT55" s="184"/>
      <c r="AU55" s="184"/>
      <c r="AV55" s="184"/>
      <c r="AW55" s="184"/>
      <c r="AX55" s="184"/>
      <c r="AY55" s="184"/>
      <c r="AZ55" s="184"/>
      <c r="BA55" s="184"/>
      <c r="BB55" s="184"/>
      <c r="BC55" s="184"/>
      <c r="BD55" s="184"/>
      <c r="BE55" s="184"/>
      <c r="BF55" s="184"/>
      <c r="BG55" s="184"/>
      <c r="BH55" s="184"/>
      <c r="BI55" s="194"/>
      <c r="BJ55" s="184"/>
      <c r="BK55" s="184"/>
      <c r="BL55" s="184"/>
      <c r="BM55" s="184"/>
      <c r="BN55" s="184"/>
      <c r="BO55" s="184"/>
      <c r="BP55" s="184"/>
      <c r="BQ55" s="184"/>
      <c r="BR55" s="184"/>
      <c r="BS55" s="184"/>
      <c r="BT55" s="184"/>
      <c r="BU55" s="184"/>
      <c r="BV55" s="184"/>
      <c r="BW55" s="184"/>
      <c r="BX55" s="184"/>
      <c r="BY55" s="184"/>
      <c r="BZ55" s="184"/>
      <c r="CA55" s="184"/>
      <c r="CB55" s="184"/>
      <c r="CC55" s="184"/>
      <c r="CD55" s="184"/>
      <c r="CE55" s="184"/>
      <c r="CF55" s="184"/>
      <c r="CG55" s="184"/>
      <c r="CH55" s="184"/>
      <c r="CI55" s="184"/>
      <c r="CJ55" s="184"/>
      <c r="CK55" s="184"/>
      <c r="CL55" s="184"/>
      <c r="CM55" s="184"/>
      <c r="CN55" s="184"/>
      <c r="CO55" s="184"/>
      <c r="CP55" s="184"/>
      <c r="CQ55" s="184"/>
      <c r="CR55" s="184"/>
      <c r="CS55" s="184"/>
      <c r="CT55" s="184"/>
      <c r="CU55" s="184"/>
      <c r="CV55" s="184"/>
      <c r="CW55" s="184"/>
      <c r="CX55" s="184"/>
      <c r="CY55" s="184"/>
      <c r="CZ55" s="184"/>
      <c r="DA55" s="184"/>
      <c r="DB55" s="184"/>
      <c r="DC55" s="184"/>
      <c r="DD55" s="184"/>
      <c r="DE55" s="184"/>
      <c r="DF55" s="184"/>
      <c r="DG55" s="184"/>
      <c r="DH55" s="194"/>
      <c r="DI55" s="184"/>
      <c r="DJ55" s="184"/>
      <c r="DK55" s="184"/>
      <c r="DL55" s="184"/>
      <c r="DM55" s="184"/>
      <c r="DN55" s="184"/>
      <c r="DO55" s="184"/>
      <c r="DP55" s="184"/>
      <c r="DQ55" s="184"/>
      <c r="DR55" s="184"/>
      <c r="DS55" s="184"/>
      <c r="DT55" s="184"/>
      <c r="DU55" s="184"/>
      <c r="DV55" s="184"/>
    </row>
    <row r="56" spans="1:126" ht="14.25" customHeight="1" x14ac:dyDescent="0.35">
      <c r="A56" s="184"/>
      <c r="B56" s="184"/>
      <c r="C56" s="193"/>
      <c r="D56" s="184"/>
      <c r="E56" s="193"/>
      <c r="F56" s="184"/>
      <c r="G56" s="184"/>
      <c r="H56" s="184"/>
      <c r="I56" s="184"/>
      <c r="J56" s="184"/>
      <c r="K56" s="184"/>
      <c r="L56" s="184"/>
      <c r="M56" s="184"/>
      <c r="N56" s="184"/>
      <c r="O56" s="184"/>
      <c r="P56" s="184"/>
      <c r="Q56" s="184"/>
      <c r="R56" s="184"/>
      <c r="S56" s="184"/>
      <c r="T56" s="184"/>
      <c r="U56" s="184"/>
      <c r="V56" s="184"/>
      <c r="W56" s="184"/>
      <c r="X56" s="184"/>
      <c r="Y56" s="184"/>
      <c r="Z56" s="184"/>
      <c r="AA56" s="184"/>
      <c r="AB56" s="184"/>
      <c r="AC56" s="184"/>
      <c r="AD56" s="184"/>
      <c r="AE56" s="184"/>
      <c r="AF56" s="184"/>
      <c r="AG56" s="184"/>
      <c r="AH56" s="184"/>
      <c r="AI56" s="184"/>
      <c r="AJ56" s="184"/>
      <c r="AK56" s="184"/>
      <c r="AL56" s="184"/>
      <c r="AM56" s="184"/>
      <c r="AN56" s="184"/>
      <c r="AO56" s="184"/>
      <c r="AP56" s="184"/>
      <c r="AQ56" s="184"/>
      <c r="AR56" s="184"/>
      <c r="AS56" s="184"/>
      <c r="AT56" s="184"/>
      <c r="AU56" s="184"/>
      <c r="AV56" s="184"/>
      <c r="AW56" s="184"/>
      <c r="AX56" s="184"/>
      <c r="AY56" s="184"/>
      <c r="AZ56" s="184"/>
      <c r="BA56" s="184"/>
      <c r="BB56" s="184"/>
      <c r="BC56" s="184"/>
      <c r="BD56" s="184"/>
      <c r="BE56" s="184"/>
      <c r="BF56" s="184"/>
      <c r="BG56" s="184"/>
      <c r="BH56" s="184"/>
      <c r="BI56" s="194"/>
      <c r="BJ56" s="184"/>
      <c r="BK56" s="184"/>
      <c r="BL56" s="184"/>
      <c r="BM56" s="184"/>
      <c r="BN56" s="184"/>
      <c r="BO56" s="184"/>
      <c r="BP56" s="184"/>
      <c r="BQ56" s="184"/>
      <c r="BR56" s="184"/>
      <c r="BS56" s="184"/>
      <c r="BT56" s="184"/>
      <c r="BU56" s="184"/>
      <c r="BV56" s="184"/>
      <c r="BW56" s="184"/>
      <c r="BX56" s="184"/>
      <c r="BY56" s="184"/>
      <c r="BZ56" s="184"/>
      <c r="CA56" s="184"/>
      <c r="CB56" s="184"/>
      <c r="CC56" s="184"/>
      <c r="CD56" s="184"/>
      <c r="CE56" s="184"/>
      <c r="CF56" s="184"/>
      <c r="CG56" s="184"/>
      <c r="CH56" s="184"/>
      <c r="CI56" s="184"/>
      <c r="CJ56" s="184"/>
      <c r="CK56" s="184"/>
      <c r="CL56" s="184"/>
      <c r="CM56" s="184"/>
      <c r="CN56" s="184"/>
      <c r="CO56" s="184"/>
      <c r="CP56" s="184"/>
      <c r="CQ56" s="184"/>
      <c r="CR56" s="184"/>
      <c r="CS56" s="184"/>
      <c r="CT56" s="184"/>
      <c r="CU56" s="184"/>
      <c r="CV56" s="184"/>
      <c r="CW56" s="184"/>
      <c r="CX56" s="184"/>
      <c r="CY56" s="184"/>
      <c r="CZ56" s="184"/>
      <c r="DA56" s="184"/>
      <c r="DB56" s="184"/>
      <c r="DC56" s="184"/>
      <c r="DD56" s="184"/>
      <c r="DE56" s="184"/>
      <c r="DF56" s="184"/>
      <c r="DG56" s="184"/>
      <c r="DH56" s="194"/>
      <c r="DI56" s="184"/>
      <c r="DJ56" s="184"/>
      <c r="DK56" s="184"/>
      <c r="DL56" s="184"/>
      <c r="DM56" s="184"/>
      <c r="DN56" s="184"/>
      <c r="DO56" s="184"/>
      <c r="DP56" s="184"/>
      <c r="DQ56" s="184"/>
      <c r="DR56" s="184"/>
      <c r="DS56" s="184"/>
      <c r="DT56" s="184"/>
      <c r="DU56" s="184"/>
      <c r="DV56" s="184"/>
    </row>
    <row r="57" spans="1:126" ht="14.25" customHeight="1" x14ac:dyDescent="0.35">
      <c r="A57" s="184"/>
      <c r="B57" s="184"/>
      <c r="C57" s="193"/>
      <c r="D57" s="184"/>
      <c r="E57" s="193"/>
      <c r="F57" s="184"/>
      <c r="G57" s="184"/>
      <c r="H57" s="184"/>
      <c r="I57" s="184"/>
      <c r="J57" s="184"/>
      <c r="K57" s="184"/>
      <c r="L57" s="184"/>
      <c r="M57" s="184"/>
      <c r="N57" s="184"/>
      <c r="O57" s="184"/>
      <c r="P57" s="184"/>
      <c r="Q57" s="184"/>
      <c r="R57" s="184"/>
      <c r="S57" s="184"/>
      <c r="T57" s="184"/>
      <c r="U57" s="184"/>
      <c r="V57" s="184"/>
      <c r="W57" s="184"/>
      <c r="X57" s="184"/>
      <c r="Y57" s="184"/>
      <c r="Z57" s="184"/>
      <c r="AA57" s="184"/>
      <c r="AB57" s="184"/>
      <c r="AC57" s="184"/>
      <c r="AD57" s="184"/>
      <c r="AE57" s="184"/>
      <c r="AF57" s="184"/>
      <c r="AG57" s="184"/>
      <c r="AH57" s="184"/>
      <c r="AI57" s="184"/>
      <c r="AJ57" s="184"/>
      <c r="AK57" s="184"/>
      <c r="AL57" s="184"/>
      <c r="AM57" s="184"/>
      <c r="AN57" s="184"/>
      <c r="AO57" s="184"/>
      <c r="AP57" s="184"/>
      <c r="AQ57" s="184"/>
      <c r="AR57" s="184"/>
      <c r="AS57" s="184"/>
      <c r="AT57" s="184"/>
      <c r="AU57" s="184"/>
      <c r="AV57" s="184"/>
      <c r="AW57" s="184"/>
      <c r="AX57" s="184"/>
      <c r="AY57" s="184"/>
      <c r="AZ57" s="184"/>
      <c r="BA57" s="184"/>
      <c r="BB57" s="184"/>
      <c r="BC57" s="184"/>
      <c r="BD57" s="184"/>
      <c r="BE57" s="184"/>
      <c r="BF57" s="184"/>
      <c r="BG57" s="184"/>
      <c r="BH57" s="184"/>
      <c r="BI57" s="194"/>
      <c r="BJ57" s="184"/>
      <c r="BK57" s="184"/>
      <c r="BL57" s="184"/>
      <c r="BM57" s="184"/>
      <c r="BN57" s="184"/>
      <c r="BO57" s="184"/>
      <c r="BP57" s="184"/>
      <c r="BQ57" s="184"/>
      <c r="BR57" s="184"/>
      <c r="BS57" s="184"/>
      <c r="BT57" s="184"/>
      <c r="BU57" s="184"/>
      <c r="BV57" s="184"/>
      <c r="BW57" s="184"/>
      <c r="BX57" s="184"/>
      <c r="BY57" s="184"/>
      <c r="BZ57" s="184"/>
      <c r="CA57" s="184"/>
      <c r="CB57" s="184"/>
      <c r="CC57" s="184"/>
      <c r="CD57" s="184"/>
      <c r="CE57" s="184"/>
      <c r="CF57" s="184"/>
      <c r="CG57" s="184"/>
      <c r="CH57" s="184"/>
      <c r="CI57" s="184"/>
      <c r="CJ57" s="184"/>
      <c r="CK57" s="184"/>
      <c r="CL57" s="184"/>
      <c r="CM57" s="184"/>
      <c r="CN57" s="184"/>
      <c r="CO57" s="184"/>
      <c r="CP57" s="184"/>
      <c r="CQ57" s="184"/>
      <c r="CR57" s="184"/>
      <c r="CS57" s="184"/>
      <c r="CT57" s="184"/>
      <c r="CU57" s="184"/>
      <c r="CV57" s="184"/>
      <c r="CW57" s="184"/>
      <c r="CX57" s="184"/>
      <c r="CY57" s="184"/>
      <c r="CZ57" s="184"/>
      <c r="DA57" s="184"/>
      <c r="DB57" s="184"/>
      <c r="DC57" s="184"/>
      <c r="DD57" s="184"/>
      <c r="DE57" s="184"/>
      <c r="DF57" s="184"/>
      <c r="DG57" s="184"/>
      <c r="DH57" s="194"/>
      <c r="DI57" s="184"/>
      <c r="DJ57" s="184"/>
      <c r="DK57" s="184"/>
      <c r="DL57" s="184"/>
      <c r="DM57" s="184"/>
      <c r="DN57" s="184"/>
      <c r="DO57" s="184"/>
      <c r="DP57" s="184"/>
      <c r="DQ57" s="184"/>
      <c r="DR57" s="184"/>
      <c r="DS57" s="184"/>
      <c r="DT57" s="184"/>
      <c r="DU57" s="184"/>
      <c r="DV57" s="184"/>
    </row>
    <row r="58" spans="1:126" ht="14.25" customHeight="1" x14ac:dyDescent="0.35">
      <c r="A58" s="184"/>
      <c r="B58" s="184"/>
      <c r="C58" s="193"/>
      <c r="D58" s="184"/>
      <c r="E58" s="193"/>
      <c r="F58" s="184"/>
      <c r="G58" s="184"/>
      <c r="H58" s="184"/>
      <c r="I58" s="184"/>
      <c r="J58" s="184"/>
      <c r="K58" s="184"/>
      <c r="L58" s="184"/>
      <c r="M58" s="184"/>
      <c r="N58" s="184"/>
      <c r="O58" s="184"/>
      <c r="P58" s="184"/>
      <c r="Q58" s="184"/>
      <c r="R58" s="184"/>
      <c r="S58" s="184"/>
      <c r="T58" s="184"/>
      <c r="U58" s="184"/>
      <c r="V58" s="184"/>
      <c r="W58" s="184"/>
      <c r="X58" s="184"/>
      <c r="Y58" s="184"/>
      <c r="Z58" s="184"/>
      <c r="AA58" s="184"/>
      <c r="AB58" s="184"/>
      <c r="AC58" s="184"/>
      <c r="AD58" s="184"/>
      <c r="AE58" s="184"/>
      <c r="AF58" s="184"/>
      <c r="AG58" s="184"/>
      <c r="AH58" s="184"/>
      <c r="AI58" s="184"/>
      <c r="AJ58" s="184"/>
      <c r="AK58" s="184"/>
      <c r="AL58" s="184"/>
      <c r="AM58" s="184"/>
      <c r="AN58" s="184"/>
      <c r="AO58" s="184"/>
      <c r="AP58" s="184"/>
      <c r="AQ58" s="184"/>
      <c r="AR58" s="184"/>
      <c r="AS58" s="184"/>
      <c r="AT58" s="184"/>
      <c r="AU58" s="184"/>
      <c r="AV58" s="184"/>
      <c r="AW58" s="184"/>
      <c r="AX58" s="184"/>
      <c r="AY58" s="184"/>
      <c r="AZ58" s="184"/>
      <c r="BA58" s="184"/>
      <c r="BB58" s="184"/>
      <c r="BC58" s="184"/>
      <c r="BD58" s="184"/>
      <c r="BE58" s="184"/>
      <c r="BF58" s="184"/>
      <c r="BG58" s="184"/>
      <c r="BH58" s="184"/>
      <c r="BI58" s="194"/>
      <c r="BJ58" s="184"/>
      <c r="BK58" s="184"/>
      <c r="BL58" s="184"/>
      <c r="BM58" s="184"/>
      <c r="BN58" s="184"/>
      <c r="BO58" s="184"/>
      <c r="BP58" s="184"/>
      <c r="BQ58" s="184"/>
      <c r="BR58" s="184"/>
      <c r="BS58" s="184"/>
      <c r="BT58" s="184"/>
      <c r="BU58" s="184"/>
      <c r="BV58" s="184"/>
      <c r="BW58" s="184"/>
      <c r="BX58" s="184"/>
      <c r="BY58" s="184"/>
      <c r="BZ58" s="184"/>
      <c r="CA58" s="184"/>
      <c r="CB58" s="184"/>
      <c r="CC58" s="184"/>
      <c r="CD58" s="184"/>
      <c r="CE58" s="184"/>
      <c r="CF58" s="184"/>
      <c r="CG58" s="184"/>
      <c r="CH58" s="184"/>
      <c r="CI58" s="184"/>
      <c r="CJ58" s="184"/>
      <c r="CK58" s="184"/>
      <c r="CL58" s="184"/>
      <c r="CM58" s="184"/>
      <c r="CN58" s="184"/>
      <c r="CO58" s="184"/>
      <c r="CP58" s="184"/>
      <c r="CQ58" s="184"/>
      <c r="CR58" s="184"/>
      <c r="CS58" s="184"/>
      <c r="CT58" s="184"/>
      <c r="CU58" s="184"/>
      <c r="CV58" s="184"/>
      <c r="CW58" s="184"/>
      <c r="CX58" s="184"/>
      <c r="CY58" s="184"/>
      <c r="CZ58" s="184"/>
      <c r="DA58" s="184"/>
      <c r="DB58" s="184"/>
      <c r="DC58" s="184"/>
      <c r="DD58" s="184"/>
      <c r="DE58" s="184"/>
      <c r="DF58" s="184"/>
      <c r="DG58" s="184"/>
      <c r="DH58" s="194"/>
      <c r="DI58" s="184"/>
      <c r="DJ58" s="184"/>
      <c r="DK58" s="184"/>
      <c r="DL58" s="184"/>
      <c r="DM58" s="184"/>
      <c r="DN58" s="184"/>
      <c r="DO58" s="184"/>
      <c r="DP58" s="184"/>
      <c r="DQ58" s="184"/>
      <c r="DR58" s="184"/>
      <c r="DS58" s="184"/>
      <c r="DT58" s="184"/>
      <c r="DU58" s="184"/>
      <c r="DV58" s="184"/>
    </row>
    <row r="59" spans="1:126" ht="14.25" customHeight="1" x14ac:dyDescent="0.35">
      <c r="A59" s="184"/>
      <c r="B59" s="184"/>
      <c r="C59" s="193"/>
      <c r="D59" s="184"/>
      <c r="E59" s="193"/>
      <c r="F59" s="184"/>
      <c r="G59" s="184"/>
      <c r="H59" s="184"/>
      <c r="I59" s="184"/>
      <c r="J59" s="184"/>
      <c r="K59" s="184"/>
      <c r="L59" s="184"/>
      <c r="M59" s="184"/>
      <c r="N59" s="184"/>
      <c r="O59" s="184"/>
      <c r="P59" s="184"/>
      <c r="Q59" s="184"/>
      <c r="R59" s="184"/>
      <c r="S59" s="184"/>
      <c r="T59" s="184"/>
      <c r="U59" s="184"/>
      <c r="V59" s="184"/>
      <c r="W59" s="184"/>
      <c r="X59" s="184"/>
      <c r="Y59" s="184"/>
      <c r="Z59" s="184"/>
      <c r="AA59" s="184"/>
      <c r="AB59" s="184"/>
      <c r="AC59" s="184"/>
      <c r="AD59" s="184"/>
      <c r="AE59" s="184"/>
      <c r="AF59" s="184"/>
      <c r="AG59" s="184"/>
      <c r="AH59" s="184"/>
      <c r="AI59" s="184"/>
      <c r="AJ59" s="184"/>
      <c r="AK59" s="184"/>
      <c r="AL59" s="184"/>
      <c r="AM59" s="184"/>
      <c r="AN59" s="184"/>
      <c r="AO59" s="184"/>
      <c r="AP59" s="184"/>
      <c r="AQ59" s="184"/>
      <c r="AR59" s="184"/>
      <c r="AS59" s="184"/>
      <c r="AT59" s="184"/>
      <c r="AU59" s="184"/>
      <c r="AV59" s="184"/>
      <c r="AW59" s="184"/>
      <c r="AX59" s="184"/>
      <c r="AY59" s="184"/>
      <c r="AZ59" s="184"/>
      <c r="BA59" s="184"/>
      <c r="BB59" s="184"/>
      <c r="BC59" s="184"/>
      <c r="BD59" s="184"/>
      <c r="BE59" s="184"/>
      <c r="BF59" s="184"/>
      <c r="BG59" s="184"/>
      <c r="BH59" s="184"/>
      <c r="BI59" s="194"/>
      <c r="BJ59" s="184"/>
      <c r="BK59" s="184"/>
      <c r="BL59" s="184"/>
      <c r="BM59" s="184"/>
      <c r="BN59" s="184"/>
      <c r="BO59" s="184"/>
      <c r="BP59" s="184"/>
      <c r="BQ59" s="184"/>
      <c r="BR59" s="184"/>
      <c r="BS59" s="184"/>
      <c r="BT59" s="184"/>
      <c r="BU59" s="184"/>
      <c r="BV59" s="184"/>
      <c r="BW59" s="184"/>
      <c r="BX59" s="184"/>
      <c r="BY59" s="184"/>
      <c r="BZ59" s="184"/>
      <c r="CA59" s="184"/>
      <c r="CB59" s="184"/>
      <c r="CC59" s="184"/>
      <c r="CD59" s="184"/>
      <c r="CE59" s="184"/>
      <c r="CF59" s="184"/>
      <c r="CG59" s="184"/>
      <c r="CH59" s="184"/>
      <c r="CI59" s="184"/>
      <c r="CJ59" s="184"/>
      <c r="CK59" s="184"/>
      <c r="CL59" s="184"/>
      <c r="CM59" s="184"/>
      <c r="CN59" s="184"/>
      <c r="CO59" s="184"/>
      <c r="CP59" s="184"/>
      <c r="CQ59" s="184"/>
      <c r="CR59" s="184"/>
      <c r="CS59" s="184"/>
      <c r="CT59" s="184"/>
      <c r="CU59" s="184"/>
      <c r="CV59" s="184"/>
      <c r="CW59" s="184"/>
      <c r="CX59" s="184"/>
      <c r="CY59" s="184"/>
      <c r="CZ59" s="184"/>
      <c r="DA59" s="184"/>
      <c r="DB59" s="184"/>
      <c r="DC59" s="184"/>
      <c r="DD59" s="184"/>
      <c r="DE59" s="184"/>
      <c r="DF59" s="184"/>
      <c r="DG59" s="184"/>
      <c r="DH59" s="194"/>
      <c r="DI59" s="184"/>
      <c r="DJ59" s="184"/>
      <c r="DK59" s="184"/>
      <c r="DL59" s="184"/>
      <c r="DM59" s="184"/>
      <c r="DN59" s="184"/>
      <c r="DO59" s="184"/>
      <c r="DP59" s="184"/>
      <c r="DQ59" s="184"/>
      <c r="DR59" s="184"/>
      <c r="DS59" s="184"/>
      <c r="DT59" s="184"/>
      <c r="DU59" s="184"/>
      <c r="DV59" s="184"/>
    </row>
    <row r="60" spans="1:126" ht="14.25" customHeight="1" x14ac:dyDescent="0.35">
      <c r="A60" s="184"/>
      <c r="B60" s="184"/>
      <c r="C60" s="193"/>
      <c r="D60" s="184"/>
      <c r="E60" s="193"/>
      <c r="F60" s="184"/>
      <c r="G60" s="184"/>
      <c r="H60" s="184"/>
      <c r="I60" s="184"/>
      <c r="J60" s="184"/>
      <c r="K60" s="184"/>
      <c r="L60" s="184"/>
      <c r="M60" s="184"/>
      <c r="N60" s="184"/>
      <c r="O60" s="184"/>
      <c r="P60" s="184"/>
      <c r="Q60" s="184"/>
      <c r="R60" s="184"/>
      <c r="S60" s="184"/>
      <c r="T60" s="184"/>
      <c r="U60" s="184"/>
      <c r="V60" s="184"/>
      <c r="W60" s="184"/>
      <c r="X60" s="184"/>
      <c r="Y60" s="184"/>
      <c r="Z60" s="184"/>
      <c r="AA60" s="184"/>
      <c r="AB60" s="184"/>
      <c r="AC60" s="184"/>
      <c r="AD60" s="184"/>
      <c r="AE60" s="184"/>
      <c r="AF60" s="184"/>
      <c r="AG60" s="184"/>
      <c r="AH60" s="184"/>
      <c r="AI60" s="184"/>
      <c r="AJ60" s="184"/>
      <c r="AK60" s="184"/>
      <c r="AL60" s="184"/>
      <c r="AM60" s="184"/>
      <c r="AN60" s="184"/>
      <c r="AO60" s="184"/>
      <c r="AP60" s="184"/>
      <c r="AQ60" s="184"/>
      <c r="AR60" s="184"/>
      <c r="AS60" s="184"/>
      <c r="AT60" s="184"/>
      <c r="AU60" s="184"/>
      <c r="AV60" s="184"/>
      <c r="AW60" s="184"/>
      <c r="AX60" s="184"/>
      <c r="AY60" s="184"/>
      <c r="AZ60" s="184"/>
      <c r="BA60" s="184"/>
      <c r="BB60" s="184"/>
      <c r="BC60" s="184"/>
      <c r="BD60" s="184"/>
      <c r="BE60" s="184"/>
      <c r="BF60" s="184"/>
      <c r="BG60" s="184"/>
      <c r="BH60" s="184"/>
      <c r="BI60" s="194"/>
      <c r="BJ60" s="184"/>
      <c r="BK60" s="184"/>
      <c r="BL60" s="184"/>
      <c r="BM60" s="184"/>
      <c r="BN60" s="184"/>
      <c r="BO60" s="184"/>
      <c r="BP60" s="184"/>
      <c r="BQ60" s="184"/>
      <c r="BR60" s="184"/>
      <c r="BS60" s="184"/>
      <c r="BT60" s="184"/>
      <c r="BU60" s="184"/>
      <c r="BV60" s="184"/>
      <c r="BW60" s="184"/>
      <c r="BX60" s="184"/>
      <c r="BY60" s="184"/>
      <c r="BZ60" s="184"/>
      <c r="CA60" s="184"/>
      <c r="CB60" s="184"/>
      <c r="CC60" s="184"/>
      <c r="CD60" s="184"/>
      <c r="CE60" s="184"/>
      <c r="CF60" s="184"/>
      <c r="CG60" s="184"/>
      <c r="CH60" s="184"/>
      <c r="CI60" s="184"/>
      <c r="CJ60" s="184"/>
      <c r="CK60" s="184"/>
      <c r="CL60" s="184"/>
      <c r="CM60" s="184"/>
      <c r="CN60" s="184"/>
      <c r="CO60" s="184"/>
      <c r="CP60" s="184"/>
      <c r="CQ60" s="184"/>
      <c r="CR60" s="184"/>
      <c r="CS60" s="184"/>
      <c r="CT60" s="184"/>
      <c r="CU60" s="184"/>
      <c r="CV60" s="184"/>
      <c r="CW60" s="184"/>
      <c r="CX60" s="184"/>
      <c r="CY60" s="184"/>
      <c r="CZ60" s="184"/>
      <c r="DA60" s="184"/>
      <c r="DB60" s="184"/>
      <c r="DC60" s="184"/>
      <c r="DD60" s="184"/>
      <c r="DE60" s="184"/>
      <c r="DF60" s="184"/>
      <c r="DG60" s="184"/>
      <c r="DH60" s="194"/>
      <c r="DI60" s="184"/>
      <c r="DJ60" s="184"/>
      <c r="DK60" s="184"/>
      <c r="DL60" s="184"/>
      <c r="DM60" s="184"/>
      <c r="DN60" s="184"/>
      <c r="DO60" s="184"/>
      <c r="DP60" s="184"/>
      <c r="DQ60" s="184"/>
      <c r="DR60" s="184"/>
      <c r="DS60" s="184"/>
      <c r="DT60" s="184"/>
      <c r="DU60" s="184"/>
      <c r="DV60" s="184"/>
    </row>
    <row r="62" spans="1:126" ht="14.25" customHeight="1" x14ac:dyDescent="0.35"/>
    <row r="69" ht="25.5" customHeight="1" x14ac:dyDescent="0.35"/>
    <row r="70" ht="25.5" customHeight="1" x14ac:dyDescent="0.35"/>
    <row r="71" ht="14.25" customHeight="1" x14ac:dyDescent="0.35"/>
  </sheetData>
  <mergeCells count="4">
    <mergeCell ref="DH1:DL1"/>
    <mergeCell ref="DN1:DQ1"/>
    <mergeCell ref="DS1:DV1"/>
    <mergeCell ref="E1:DG1"/>
  </mergeCells>
  <dataValidations count="2">
    <dataValidation type="date" operator="greaterThanOrEqual" allowBlank="1" sqref="DU37:DU2000" xr:uid="{00000000-0002-0000-0900-000000000000}">
      <formula1>DATE(2000,1,1)</formula1>
    </dataValidation>
    <dataValidation type="list" allowBlank="1" sqref="DT5:DT2000" xr:uid="{00000000-0002-0000-0900-000001000000}">
      <formula1>Status</formula1>
    </dataValidation>
  </dataValidations>
  <pageMargins left="0.75" right="0.75" top="1" bottom="1" header="0.5" footer="0.5"/>
  <headerFooter>
    <oddFooter>&amp;L&amp;"Arial"&amp;7 &amp;K000000_x000D_# C2 - Intern_x000D_&amp;1#&amp;"Arial"&amp;7 &amp;K000000 C2 - Intern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4"/>
  <dimension ref="A1:BE11"/>
  <sheetViews>
    <sheetView workbookViewId="0">
      <selection activeCell="M25" sqref="M25"/>
    </sheetView>
  </sheetViews>
  <sheetFormatPr baseColWidth="10" defaultColWidth="11.453125" defaultRowHeight="14.5" x14ac:dyDescent="0.35"/>
  <cols>
    <col min="1" max="1" width="2.7265625" customWidth="1"/>
    <col min="2" max="2" width="2.1796875" bestFit="1" customWidth="1"/>
    <col min="3" max="3" width="3" bestFit="1" customWidth="1"/>
    <col min="4" max="4" width="1.453125" bestFit="1" customWidth="1"/>
    <col min="5" max="5" width="3" bestFit="1" customWidth="1"/>
    <col min="6" max="6" width="1.453125" bestFit="1" customWidth="1"/>
    <col min="7" max="7" width="4" bestFit="1" customWidth="1"/>
    <col min="8" max="8" width="1.453125" bestFit="1" customWidth="1"/>
    <col min="9" max="9" width="4" bestFit="1" customWidth="1"/>
    <col min="10" max="11" width="2.7265625" customWidth="1"/>
    <col min="12" max="12" width="13.1796875" bestFit="1" customWidth="1"/>
    <col min="13" max="13" width="9.453125" customWidth="1"/>
    <col min="14" max="14" width="5.453125" bestFit="1" customWidth="1"/>
    <col min="15" max="17" width="1.54296875" bestFit="1" customWidth="1"/>
    <col min="18" max="18" width="1.7265625" bestFit="1" customWidth="1"/>
    <col min="19" max="20" width="2.7265625" customWidth="1"/>
    <col min="21" max="21" width="1.7265625" bestFit="1" customWidth="1"/>
    <col min="22" max="22" width="11.26953125" bestFit="1" customWidth="1"/>
    <col min="23" max="24" width="2.7265625" customWidth="1"/>
    <col min="25" max="25" width="16.54296875" bestFit="1" customWidth="1"/>
    <col min="26" max="26" width="16.26953125" bestFit="1" customWidth="1"/>
    <col min="27" max="27" width="18.7265625" bestFit="1" customWidth="1"/>
    <col min="28" max="29" width="2.7265625" customWidth="1"/>
    <col min="30" max="35" width="4" bestFit="1" customWidth="1"/>
    <col min="36" max="47" width="2.7265625" customWidth="1"/>
    <col min="48" max="48" width="1.7265625" bestFit="1" customWidth="1"/>
    <col min="49" max="56" width="2.7265625" customWidth="1"/>
    <col min="57" max="57" width="1.7265625" bestFit="1" customWidth="1"/>
  </cols>
  <sheetData>
    <row r="1" spans="1:57" s="1" customFormat="1" ht="13.15" customHeight="1" x14ac:dyDescent="0.3">
      <c r="A1" s="2"/>
      <c r="B1" s="3" t="s">
        <v>663</v>
      </c>
      <c r="C1" s="4" t="s">
        <v>979</v>
      </c>
      <c r="D1" s="4" t="s">
        <v>980</v>
      </c>
      <c r="E1" s="4" t="s">
        <v>981</v>
      </c>
      <c r="F1" s="4" t="s">
        <v>980</v>
      </c>
      <c r="G1" s="4" t="s">
        <v>982</v>
      </c>
      <c r="H1" s="4" t="s">
        <v>980</v>
      </c>
      <c r="I1" s="5" t="s">
        <v>983</v>
      </c>
      <c r="J1" s="6"/>
      <c r="K1" s="7"/>
      <c r="L1" s="7" t="s">
        <v>984</v>
      </c>
      <c r="M1" s="8"/>
      <c r="N1" s="19" t="s">
        <v>985</v>
      </c>
      <c r="O1" s="26" t="s">
        <v>986</v>
      </c>
      <c r="P1" s="24" t="s">
        <v>986</v>
      </c>
      <c r="Q1" s="25" t="s">
        <v>986</v>
      </c>
      <c r="R1" s="9" t="s">
        <v>978</v>
      </c>
      <c r="S1" s="10"/>
      <c r="T1" s="10"/>
      <c r="U1" s="11" t="s">
        <v>978</v>
      </c>
      <c r="V1" s="12" t="s">
        <v>987</v>
      </c>
      <c r="W1" s="13"/>
      <c r="X1" s="14"/>
      <c r="Y1" s="29" t="s">
        <v>988</v>
      </c>
      <c r="Z1" s="27" t="s">
        <v>989</v>
      </c>
      <c r="AA1" s="13" t="s">
        <v>990</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978</v>
      </c>
      <c r="AW1" s="10"/>
      <c r="AX1" s="10"/>
      <c r="AY1" s="10"/>
      <c r="AZ1" s="10"/>
      <c r="BA1" s="10"/>
      <c r="BB1" s="10"/>
      <c r="BC1" s="10"/>
      <c r="BD1" s="10"/>
      <c r="BE1" s="11" t="str">
        <f t="shared" ref="BE1:BE11" si="0">IF(COUNTIF(AJ1:BD1,"x")&gt;0,"x","")</f>
        <v>x</v>
      </c>
    </row>
    <row r="2" spans="1:57" s="1" customFormat="1" ht="13.15" customHeight="1" x14ac:dyDescent="0.3">
      <c r="A2" s="2"/>
      <c r="B2" s="3" t="s">
        <v>663</v>
      </c>
      <c r="C2" s="4" t="s">
        <v>979</v>
      </c>
      <c r="D2" s="4" t="s">
        <v>980</v>
      </c>
      <c r="E2" s="4" t="s">
        <v>981</v>
      </c>
      <c r="F2" s="4" t="s">
        <v>980</v>
      </c>
      <c r="G2" s="4" t="s">
        <v>982</v>
      </c>
      <c r="H2" s="4" t="s">
        <v>980</v>
      </c>
      <c r="I2" s="5" t="s">
        <v>983</v>
      </c>
      <c r="J2" s="6"/>
      <c r="K2" s="7"/>
      <c r="L2" s="7" t="s">
        <v>991</v>
      </c>
      <c r="M2" s="8"/>
      <c r="N2" s="19" t="s">
        <v>985</v>
      </c>
      <c r="O2" s="26" t="s">
        <v>986</v>
      </c>
      <c r="P2" s="24" t="s">
        <v>986</v>
      </c>
      <c r="Q2" s="25" t="s">
        <v>986</v>
      </c>
      <c r="R2" s="9" t="s">
        <v>978</v>
      </c>
      <c r="S2" s="10"/>
      <c r="T2" s="10"/>
      <c r="U2" s="11" t="s">
        <v>978</v>
      </c>
      <c r="V2" s="12" t="s">
        <v>987</v>
      </c>
      <c r="W2" s="13"/>
      <c r="X2" s="14"/>
      <c r="Y2" s="29" t="s">
        <v>992</v>
      </c>
      <c r="Z2" s="27" t="s">
        <v>993</v>
      </c>
      <c r="AA2" s="13" t="s">
        <v>994</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978</v>
      </c>
      <c r="AW2" s="10"/>
      <c r="AX2" s="10"/>
      <c r="AY2" s="10"/>
      <c r="AZ2" s="10"/>
      <c r="BA2" s="10"/>
      <c r="BB2" s="10"/>
      <c r="BC2" s="10"/>
      <c r="BD2" s="10"/>
      <c r="BE2" s="11" t="str">
        <f t="shared" si="0"/>
        <v>x</v>
      </c>
    </row>
    <row r="3" spans="1:57" s="1" customFormat="1" ht="13.15" customHeight="1" x14ac:dyDescent="0.3">
      <c r="A3" s="2"/>
      <c r="B3" s="3" t="s">
        <v>663</v>
      </c>
      <c r="C3" s="4" t="s">
        <v>979</v>
      </c>
      <c r="D3" s="4" t="s">
        <v>980</v>
      </c>
      <c r="E3" s="4" t="s">
        <v>981</v>
      </c>
      <c r="F3" s="4" t="s">
        <v>980</v>
      </c>
      <c r="G3" s="4" t="s">
        <v>982</v>
      </c>
      <c r="H3" s="4" t="s">
        <v>980</v>
      </c>
      <c r="I3" s="5" t="s">
        <v>983</v>
      </c>
      <c r="J3" s="6"/>
      <c r="K3" s="7"/>
      <c r="L3" s="7" t="s">
        <v>995</v>
      </c>
      <c r="M3" s="8"/>
      <c r="N3" s="19" t="s">
        <v>985</v>
      </c>
      <c r="O3" s="26" t="s">
        <v>986</v>
      </c>
      <c r="P3" s="24" t="s">
        <v>986</v>
      </c>
      <c r="Q3" s="25" t="s">
        <v>986</v>
      </c>
      <c r="R3" s="9" t="s">
        <v>978</v>
      </c>
      <c r="S3" s="10"/>
      <c r="T3" s="10"/>
      <c r="U3" s="11" t="s">
        <v>978</v>
      </c>
      <c r="V3" s="12" t="s">
        <v>996</v>
      </c>
      <c r="W3" s="13"/>
      <c r="X3" s="14"/>
      <c r="Y3" s="29"/>
      <c r="Z3" s="27" t="s">
        <v>997</v>
      </c>
      <c r="AA3" s="13" t="s">
        <v>998</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978</v>
      </c>
      <c r="AW3" s="10"/>
      <c r="AX3" s="10"/>
      <c r="AY3" s="10"/>
      <c r="AZ3" s="10"/>
      <c r="BA3" s="10"/>
      <c r="BB3" s="10"/>
      <c r="BC3" s="10"/>
      <c r="BD3" s="10"/>
      <c r="BE3" s="11" t="str">
        <f t="shared" si="0"/>
        <v>x</v>
      </c>
    </row>
    <row r="4" spans="1:57" s="1" customFormat="1" ht="13.15" customHeight="1" x14ac:dyDescent="0.3">
      <c r="A4" s="2"/>
      <c r="B4" s="3" t="s">
        <v>663</v>
      </c>
      <c r="C4" s="4" t="s">
        <v>979</v>
      </c>
      <c r="D4" s="4" t="s">
        <v>980</v>
      </c>
      <c r="E4" s="4" t="s">
        <v>981</v>
      </c>
      <c r="F4" s="4" t="s">
        <v>980</v>
      </c>
      <c r="G4" s="4" t="s">
        <v>982</v>
      </c>
      <c r="H4" s="4" t="s">
        <v>980</v>
      </c>
      <c r="I4" s="5" t="s">
        <v>983</v>
      </c>
      <c r="J4" s="6"/>
      <c r="K4" s="7"/>
      <c r="L4" s="7" t="s">
        <v>999</v>
      </c>
      <c r="M4" s="8"/>
      <c r="N4" s="19" t="s">
        <v>985</v>
      </c>
      <c r="O4" s="26" t="s">
        <v>986</v>
      </c>
      <c r="P4" s="24" t="s">
        <v>986</v>
      </c>
      <c r="Q4" s="25" t="s">
        <v>986</v>
      </c>
      <c r="R4" s="9" t="s">
        <v>978</v>
      </c>
      <c r="S4" s="10"/>
      <c r="T4" s="10"/>
      <c r="U4" s="11" t="s">
        <v>978</v>
      </c>
      <c r="V4" s="12" t="s">
        <v>996</v>
      </c>
      <c r="W4" s="13"/>
      <c r="X4" s="14"/>
      <c r="Y4" s="29"/>
      <c r="Z4" s="27" t="s">
        <v>1000</v>
      </c>
      <c r="AA4" s="13" t="s">
        <v>1001</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978</v>
      </c>
      <c r="AW4" s="10"/>
      <c r="AX4" s="10"/>
      <c r="AY4" s="10"/>
      <c r="AZ4" s="10"/>
      <c r="BA4" s="10"/>
      <c r="BB4" s="10"/>
      <c r="BC4" s="10"/>
      <c r="BD4" s="10"/>
      <c r="BE4" s="11" t="str">
        <f t="shared" si="0"/>
        <v>x</v>
      </c>
    </row>
    <row r="5" spans="1:57" s="1" customFormat="1" ht="13.15" customHeight="1" x14ac:dyDescent="0.3">
      <c r="A5" s="2"/>
      <c r="B5" s="3" t="s">
        <v>663</v>
      </c>
      <c r="C5" s="4" t="s">
        <v>979</v>
      </c>
      <c r="D5" s="4" t="s">
        <v>980</v>
      </c>
      <c r="E5" s="4" t="s">
        <v>981</v>
      </c>
      <c r="F5" s="4" t="s">
        <v>980</v>
      </c>
      <c r="G5" s="4" t="s">
        <v>982</v>
      </c>
      <c r="H5" s="4" t="s">
        <v>980</v>
      </c>
      <c r="I5" s="5" t="s">
        <v>983</v>
      </c>
      <c r="J5" s="6"/>
      <c r="K5" s="7"/>
      <c r="L5" s="7" t="s">
        <v>1002</v>
      </c>
      <c r="M5" s="8"/>
      <c r="N5" s="19" t="s">
        <v>985</v>
      </c>
      <c r="O5" s="26" t="s">
        <v>986</v>
      </c>
      <c r="P5" s="24" t="s">
        <v>986</v>
      </c>
      <c r="Q5" s="25" t="s">
        <v>986</v>
      </c>
      <c r="R5" s="9" t="s">
        <v>978</v>
      </c>
      <c r="S5" s="10"/>
      <c r="T5" s="10"/>
      <c r="U5" s="11" t="s">
        <v>978</v>
      </c>
      <c r="V5" s="12" t="s">
        <v>987</v>
      </c>
      <c r="W5" s="13"/>
      <c r="X5" s="14"/>
      <c r="Y5" s="29" t="s">
        <v>1003</v>
      </c>
      <c r="Z5" s="27" t="s">
        <v>1004</v>
      </c>
      <c r="AA5" s="13" t="s">
        <v>1005</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978</v>
      </c>
      <c r="AW5" s="10"/>
      <c r="AX5" s="10"/>
      <c r="AY5" s="10"/>
      <c r="AZ5" s="10"/>
      <c r="BA5" s="10"/>
      <c r="BB5" s="10"/>
      <c r="BC5" s="10"/>
      <c r="BD5" s="10"/>
      <c r="BE5" s="11" t="str">
        <f t="shared" si="0"/>
        <v>x</v>
      </c>
    </row>
    <row r="6" spans="1:57" s="1" customFormat="1" ht="13.15" customHeight="1" x14ac:dyDescent="0.3">
      <c r="A6" s="2"/>
      <c r="B6" s="3" t="s">
        <v>663</v>
      </c>
      <c r="C6" s="4" t="s">
        <v>979</v>
      </c>
      <c r="D6" s="4" t="s">
        <v>980</v>
      </c>
      <c r="E6" s="4" t="s">
        <v>981</v>
      </c>
      <c r="F6" s="4" t="s">
        <v>980</v>
      </c>
      <c r="G6" s="4" t="s">
        <v>982</v>
      </c>
      <c r="H6" s="4" t="s">
        <v>980</v>
      </c>
      <c r="I6" s="5" t="s">
        <v>983</v>
      </c>
      <c r="J6" s="6"/>
      <c r="K6" s="7"/>
      <c r="L6" s="7" t="s">
        <v>1006</v>
      </c>
      <c r="M6" s="8"/>
      <c r="N6" s="19" t="s">
        <v>985</v>
      </c>
      <c r="O6" s="26" t="s">
        <v>986</v>
      </c>
      <c r="P6" s="24" t="s">
        <v>986</v>
      </c>
      <c r="Q6" s="25" t="s">
        <v>986</v>
      </c>
      <c r="R6" s="9" t="s">
        <v>978</v>
      </c>
      <c r="S6" s="10"/>
      <c r="T6" s="10"/>
      <c r="U6" s="11" t="s">
        <v>978</v>
      </c>
      <c r="V6" s="12" t="s">
        <v>996</v>
      </c>
      <c r="W6" s="13"/>
      <c r="X6" s="14"/>
      <c r="Y6" s="29"/>
      <c r="Z6" s="27" t="s">
        <v>997</v>
      </c>
      <c r="AA6" s="13" t="s">
        <v>998</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978</v>
      </c>
      <c r="AW6" s="10"/>
      <c r="AX6" s="10"/>
      <c r="AY6" s="10"/>
      <c r="AZ6" s="10"/>
      <c r="BA6" s="10"/>
      <c r="BB6" s="10"/>
      <c r="BC6" s="10"/>
      <c r="BD6" s="10"/>
      <c r="BE6" s="11" t="str">
        <f t="shared" si="0"/>
        <v>x</v>
      </c>
    </row>
    <row r="7" spans="1:57" s="1" customFormat="1" ht="13.15" customHeight="1" x14ac:dyDescent="0.3">
      <c r="A7" s="2"/>
      <c r="B7" s="3" t="s">
        <v>663</v>
      </c>
      <c r="C7" s="4" t="s">
        <v>979</v>
      </c>
      <c r="D7" s="4" t="s">
        <v>980</v>
      </c>
      <c r="E7" s="4" t="s">
        <v>981</v>
      </c>
      <c r="F7" s="4" t="s">
        <v>980</v>
      </c>
      <c r="G7" s="4" t="s">
        <v>982</v>
      </c>
      <c r="H7" s="4" t="s">
        <v>980</v>
      </c>
      <c r="I7" s="5" t="s">
        <v>983</v>
      </c>
      <c r="J7" s="6"/>
      <c r="K7" s="7"/>
      <c r="L7" s="7" t="s">
        <v>1007</v>
      </c>
      <c r="M7" s="8"/>
      <c r="N7" s="19" t="s">
        <v>985</v>
      </c>
      <c r="O7" s="26" t="s">
        <v>986</v>
      </c>
      <c r="P7" s="24" t="s">
        <v>986</v>
      </c>
      <c r="Q7" s="25" t="s">
        <v>986</v>
      </c>
      <c r="R7" s="9" t="s">
        <v>978</v>
      </c>
      <c r="S7" s="10"/>
      <c r="T7" s="10"/>
      <c r="U7" s="11" t="s">
        <v>978</v>
      </c>
      <c r="V7" s="12" t="s">
        <v>987</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978</v>
      </c>
      <c r="AW7" s="10"/>
      <c r="AX7" s="10"/>
      <c r="AY7" s="10"/>
      <c r="AZ7" s="10"/>
      <c r="BA7" s="10"/>
      <c r="BB7" s="10"/>
      <c r="BC7" s="10"/>
      <c r="BD7" s="10"/>
      <c r="BE7" s="11" t="str">
        <f t="shared" si="0"/>
        <v>x</v>
      </c>
    </row>
    <row r="8" spans="1:57" s="1" customFormat="1" ht="13.15" customHeight="1" x14ac:dyDescent="0.3">
      <c r="A8" s="2"/>
      <c r="B8" s="3" t="s">
        <v>663</v>
      </c>
      <c r="C8" s="4" t="s">
        <v>979</v>
      </c>
      <c r="D8" s="4" t="s">
        <v>980</v>
      </c>
      <c r="E8" s="4" t="s">
        <v>981</v>
      </c>
      <c r="F8" s="4" t="s">
        <v>980</v>
      </c>
      <c r="G8" s="4" t="s">
        <v>982</v>
      </c>
      <c r="H8" s="4" t="s">
        <v>980</v>
      </c>
      <c r="I8" s="5" t="s">
        <v>983</v>
      </c>
      <c r="J8" s="6"/>
      <c r="K8" s="7"/>
      <c r="L8" s="23" t="s">
        <v>1008</v>
      </c>
      <c r="M8" s="8"/>
      <c r="N8" s="19" t="s">
        <v>985</v>
      </c>
      <c r="O8" s="26" t="s">
        <v>986</v>
      </c>
      <c r="P8" s="24" t="s">
        <v>986</v>
      </c>
      <c r="Q8" s="25" t="s">
        <v>986</v>
      </c>
      <c r="R8" s="9" t="s">
        <v>978</v>
      </c>
      <c r="S8" s="10"/>
      <c r="T8" s="10"/>
      <c r="U8" s="11" t="s">
        <v>978</v>
      </c>
      <c r="V8" s="12" t="s">
        <v>987</v>
      </c>
      <c r="W8" s="13"/>
      <c r="X8" s="14"/>
      <c r="Y8" s="29" t="s">
        <v>988</v>
      </c>
      <c r="Z8" s="27" t="s">
        <v>1009</v>
      </c>
      <c r="AA8" s="13" t="s">
        <v>1010</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978</v>
      </c>
      <c r="AW8" s="10"/>
      <c r="AX8" s="10"/>
      <c r="AY8" s="10"/>
      <c r="AZ8" s="10"/>
      <c r="BA8" s="10"/>
      <c r="BB8" s="10"/>
      <c r="BC8" s="10"/>
      <c r="BD8" s="10"/>
      <c r="BE8" s="11" t="str">
        <f t="shared" si="0"/>
        <v>x</v>
      </c>
    </row>
    <row r="9" spans="1:57" s="1" customFormat="1" ht="13.15" customHeight="1" x14ac:dyDescent="0.3">
      <c r="A9" s="2"/>
      <c r="B9" s="3" t="s">
        <v>663</v>
      </c>
      <c r="C9" s="4" t="s">
        <v>979</v>
      </c>
      <c r="D9" s="4" t="s">
        <v>980</v>
      </c>
      <c r="E9" s="4" t="s">
        <v>981</v>
      </c>
      <c r="F9" s="4" t="s">
        <v>980</v>
      </c>
      <c r="G9" s="4" t="s">
        <v>982</v>
      </c>
      <c r="H9" s="4" t="s">
        <v>980</v>
      </c>
      <c r="I9" s="5" t="s">
        <v>983</v>
      </c>
      <c r="J9" s="6"/>
      <c r="K9" s="7"/>
      <c r="L9" s="23" t="s">
        <v>1011</v>
      </c>
      <c r="M9" s="8"/>
      <c r="N9" s="19" t="s">
        <v>985</v>
      </c>
      <c r="O9" s="26" t="s">
        <v>986</v>
      </c>
      <c r="P9" s="24" t="s">
        <v>986</v>
      </c>
      <c r="Q9" s="25" t="s">
        <v>986</v>
      </c>
      <c r="R9" s="9" t="s">
        <v>978</v>
      </c>
      <c r="S9" s="10"/>
      <c r="T9" s="10"/>
      <c r="U9" s="11" t="s">
        <v>978</v>
      </c>
      <c r="V9" s="12" t="s">
        <v>996</v>
      </c>
      <c r="W9" s="13"/>
      <c r="X9" s="14"/>
      <c r="Y9" s="29"/>
      <c r="Z9" s="27" t="s">
        <v>1000</v>
      </c>
      <c r="AA9" s="13" t="s">
        <v>1012</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978</v>
      </c>
      <c r="AW9" s="10"/>
      <c r="AX9" s="10"/>
      <c r="AY9" s="10"/>
      <c r="AZ9" s="10"/>
      <c r="BA9" s="10"/>
      <c r="BB9" s="10"/>
      <c r="BC9" s="10"/>
      <c r="BD9" s="10"/>
      <c r="BE9" s="11" t="str">
        <f t="shared" si="0"/>
        <v>x</v>
      </c>
    </row>
    <row r="10" spans="1:57" s="1" customFormat="1" ht="13.15" customHeight="1" x14ac:dyDescent="0.3">
      <c r="A10" s="2"/>
      <c r="B10" s="3" t="s">
        <v>663</v>
      </c>
      <c r="C10" s="4" t="s">
        <v>979</v>
      </c>
      <c r="D10" s="4" t="s">
        <v>980</v>
      </c>
      <c r="E10" s="4" t="s">
        <v>1013</v>
      </c>
      <c r="F10" s="4" t="s">
        <v>980</v>
      </c>
      <c r="G10" s="4" t="s">
        <v>1014</v>
      </c>
      <c r="H10" s="4" t="s">
        <v>980</v>
      </c>
      <c r="I10" s="5" t="s">
        <v>983</v>
      </c>
      <c r="J10" s="6"/>
      <c r="K10" s="7"/>
      <c r="L10" s="7" t="s">
        <v>1015</v>
      </c>
      <c r="M10" s="8"/>
      <c r="N10" s="19" t="s">
        <v>1016</v>
      </c>
      <c r="O10" s="26" t="s">
        <v>986</v>
      </c>
      <c r="P10" s="24" t="s">
        <v>986</v>
      </c>
      <c r="Q10" s="25" t="s">
        <v>986</v>
      </c>
      <c r="R10" s="9" t="s">
        <v>978</v>
      </c>
      <c r="S10" s="10"/>
      <c r="T10" s="10"/>
      <c r="U10" s="11" t="s">
        <v>978</v>
      </c>
      <c r="V10" s="12" t="s">
        <v>1017</v>
      </c>
      <c r="W10" s="13"/>
      <c r="X10" s="14"/>
      <c r="Y10" s="29" t="s">
        <v>988</v>
      </c>
      <c r="Z10" s="27" t="s">
        <v>1018</v>
      </c>
      <c r="AA10" s="13" t="s">
        <v>986</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978</v>
      </c>
      <c r="AW10" s="10"/>
      <c r="AX10" s="10"/>
      <c r="AY10" s="10"/>
      <c r="AZ10" s="10"/>
      <c r="BA10" s="10"/>
      <c r="BB10" s="10"/>
      <c r="BC10" s="10"/>
      <c r="BD10" s="10"/>
      <c r="BE10" s="11" t="str">
        <f t="shared" si="0"/>
        <v>x</v>
      </c>
    </row>
    <row r="11" spans="1:57" s="1" customFormat="1" ht="13.15" customHeight="1" x14ac:dyDescent="0.3">
      <c r="A11" s="2"/>
      <c r="B11" s="3" t="s">
        <v>663</v>
      </c>
      <c r="C11" s="4" t="s">
        <v>979</v>
      </c>
      <c r="D11" s="4" t="s">
        <v>980</v>
      </c>
      <c r="E11" s="4" t="s">
        <v>1013</v>
      </c>
      <c r="F11" s="4" t="s">
        <v>980</v>
      </c>
      <c r="G11" s="4" t="s">
        <v>1014</v>
      </c>
      <c r="H11" s="4" t="s">
        <v>980</v>
      </c>
      <c r="I11" s="5" t="s">
        <v>983</v>
      </c>
      <c r="J11" s="6"/>
      <c r="K11" s="7"/>
      <c r="L11" s="7" t="s">
        <v>1019</v>
      </c>
      <c r="M11" s="8"/>
      <c r="N11" s="19" t="s">
        <v>985</v>
      </c>
      <c r="O11" s="26" t="s">
        <v>986</v>
      </c>
      <c r="P11" s="24" t="s">
        <v>986</v>
      </c>
      <c r="Q11" s="25" t="s">
        <v>986</v>
      </c>
      <c r="R11" s="21" t="s">
        <v>978</v>
      </c>
      <c r="S11" s="22"/>
      <c r="T11" s="10"/>
      <c r="U11" s="11" t="s">
        <v>978</v>
      </c>
      <c r="V11" s="12" t="s">
        <v>1017</v>
      </c>
      <c r="W11" s="13"/>
      <c r="X11" s="14"/>
      <c r="Y11" s="29" t="s">
        <v>1020</v>
      </c>
      <c r="Z11" s="27" t="s">
        <v>1021</v>
      </c>
      <c r="AA11" s="13" t="s">
        <v>986</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978</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A00-000000000000}">
      <formula1>DataType</formula1>
    </dataValidation>
    <dataValidation type="list" allowBlank="1" sqref="O2:Q2000" xr:uid="{00000000-0002-0000-0A00-000001000000}">
      <formula1>Objekt_Einordnung</formula1>
    </dataValidation>
  </dataValidations>
  <pageMargins left="0.7" right="0.7" top="0.78740157499999996" bottom="0.78740157499999996" header="0.3" footer="0.3"/>
  <headerFooter>
    <oddFooter>&amp;L&amp;"Arial"&amp;7 &amp;K000000_x000D_# C2 - Intern_x000D_&amp;1#&amp;"Arial"&amp;7 &amp;K000000 C2 - Intern</oddFooter>
  </headerFooter>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5">
    <pageSetUpPr fitToPage="1"/>
  </sheetPr>
  <dimension ref="A1:N47"/>
  <sheetViews>
    <sheetView showGridLines="0" topLeftCell="C1" zoomScaleNormal="100" workbookViewId="0">
      <selection activeCell="J27" sqref="J27"/>
    </sheetView>
  </sheetViews>
  <sheetFormatPr baseColWidth="10" defaultColWidth="9.1796875" defaultRowHeight="14.5" x14ac:dyDescent="0.35"/>
  <cols>
    <col min="1" max="2" width="13" customWidth="1"/>
    <col min="3" max="4" width="13" bestFit="1" customWidth="1"/>
    <col min="5" max="5" width="13" customWidth="1"/>
    <col min="6" max="6" width="13" style="77" customWidth="1"/>
    <col min="7" max="7" width="13" customWidth="1"/>
    <col min="8" max="8" width="13" bestFit="1" customWidth="1"/>
    <col min="9" max="9" width="15.1796875" bestFit="1" customWidth="1"/>
    <col min="10" max="10" width="14.7265625" bestFit="1" customWidth="1"/>
    <col min="11" max="11" width="43.54296875" bestFit="1" customWidth="1"/>
    <col min="12" max="12" width="38.81640625" bestFit="1" customWidth="1"/>
    <col min="13" max="13" width="13" customWidth="1"/>
    <col min="14" max="17" width="38.81640625" customWidth="1"/>
  </cols>
  <sheetData>
    <row r="1" spans="1:14" x14ac:dyDescent="0.35">
      <c r="A1" s="183" t="s">
        <v>895</v>
      </c>
      <c r="B1" s="183" t="s">
        <v>1022</v>
      </c>
      <c r="C1" s="183" t="s">
        <v>1023</v>
      </c>
      <c r="D1" s="183" t="s">
        <v>1024</v>
      </c>
      <c r="E1" s="175" t="s">
        <v>6</v>
      </c>
      <c r="F1" s="175" t="s">
        <v>1025</v>
      </c>
      <c r="G1" s="175" t="s">
        <v>1026</v>
      </c>
      <c r="H1" s="175" t="s">
        <v>1027</v>
      </c>
      <c r="I1" s="175" t="s">
        <v>1028</v>
      </c>
      <c r="J1" s="175" t="s">
        <v>1029</v>
      </c>
      <c r="K1" s="175" t="s">
        <v>31</v>
      </c>
      <c r="L1" s="175" t="s">
        <v>1030</v>
      </c>
      <c r="M1" s="175" t="s">
        <v>1031</v>
      </c>
      <c r="N1" s="175" t="s">
        <v>818</v>
      </c>
    </row>
    <row r="2" spans="1:14" s="76" customFormat="1" x14ac:dyDescent="0.35">
      <c r="A2" s="39" t="s">
        <v>1032</v>
      </c>
      <c r="B2" s="39" t="s">
        <v>1033</v>
      </c>
      <c r="C2" s="39" t="s">
        <v>1034</v>
      </c>
      <c r="D2" s="39" t="s">
        <v>1035</v>
      </c>
      <c r="E2" s="74" t="s">
        <v>1036</v>
      </c>
      <c r="F2" s="74" t="s">
        <v>1037</v>
      </c>
      <c r="G2" s="74" t="s">
        <v>1038</v>
      </c>
      <c r="H2" s="74" t="s">
        <v>1039</v>
      </c>
      <c r="I2" s="74" t="s">
        <v>1040</v>
      </c>
      <c r="J2" s="74" t="s">
        <v>1037</v>
      </c>
      <c r="K2" s="74" t="s">
        <v>1041</v>
      </c>
      <c r="L2" s="74" t="s">
        <v>964</v>
      </c>
      <c r="M2" s="74" t="s">
        <v>1042</v>
      </c>
      <c r="N2" s="74" t="s">
        <v>1041</v>
      </c>
    </row>
    <row r="3" spans="1:14" s="76" customFormat="1" x14ac:dyDescent="0.35">
      <c r="A3" s="39" t="s">
        <v>941</v>
      </c>
      <c r="B3" s="39" t="s">
        <v>1043</v>
      </c>
      <c r="C3" s="39" t="s">
        <v>1044</v>
      </c>
      <c r="D3" s="39" t="s">
        <v>1045</v>
      </c>
      <c r="E3" s="31" t="s">
        <v>1046</v>
      </c>
      <c r="F3" s="31" t="s">
        <v>1047</v>
      </c>
      <c r="G3" s="31" t="s">
        <v>1048</v>
      </c>
      <c r="H3" s="31" t="s">
        <v>1049</v>
      </c>
      <c r="I3" s="31" t="s">
        <v>1050</v>
      </c>
      <c r="J3" s="31" t="s">
        <v>1051</v>
      </c>
      <c r="K3" s="31" t="s">
        <v>1052</v>
      </c>
      <c r="L3" s="31" t="s">
        <v>1053</v>
      </c>
      <c r="M3" s="31" t="s">
        <v>965</v>
      </c>
      <c r="N3" s="31" t="s">
        <v>1052</v>
      </c>
    </row>
    <row r="4" spans="1:14" s="73" customFormat="1" x14ac:dyDescent="0.35">
      <c r="A4" s="39" t="s">
        <v>908</v>
      </c>
      <c r="B4" s="39" t="s">
        <v>1054</v>
      </c>
      <c r="C4" s="39" t="s">
        <v>1055</v>
      </c>
      <c r="D4" s="39" t="s">
        <v>1056</v>
      </c>
      <c r="E4" s="74" t="s">
        <v>1057</v>
      </c>
      <c r="F4" s="74" t="s">
        <v>1058</v>
      </c>
      <c r="G4" s="74" t="s">
        <v>1059</v>
      </c>
      <c r="H4" s="74" t="s">
        <v>1060</v>
      </c>
      <c r="I4" s="74" t="s">
        <v>100</v>
      </c>
      <c r="J4" s="74" t="s">
        <v>1061</v>
      </c>
      <c r="K4" s="74" t="s">
        <v>1062</v>
      </c>
      <c r="L4" s="74" t="s">
        <v>1063</v>
      </c>
      <c r="M4" s="74" t="s">
        <v>1064</v>
      </c>
      <c r="N4" s="74" t="s">
        <v>1062</v>
      </c>
    </row>
    <row r="5" spans="1:14" s="73" customFormat="1" x14ac:dyDescent="0.35">
      <c r="A5" s="39" t="s">
        <v>1065</v>
      </c>
      <c r="B5" s="39" t="s">
        <v>1066</v>
      </c>
      <c r="C5" s="39" t="s">
        <v>1067</v>
      </c>
      <c r="D5" s="39" t="s">
        <v>1068</v>
      </c>
      <c r="E5" s="31" t="s">
        <v>1069</v>
      </c>
      <c r="F5" s="31" t="s">
        <v>1070</v>
      </c>
      <c r="G5" s="31" t="s">
        <v>1071</v>
      </c>
      <c r="H5" s="31" t="s">
        <v>1072</v>
      </c>
      <c r="I5" s="31" t="s">
        <v>116</v>
      </c>
      <c r="J5" s="31" t="s">
        <v>1073</v>
      </c>
      <c r="K5" s="31" t="s">
        <v>1074</v>
      </c>
      <c r="L5" s="31" t="s">
        <v>1075</v>
      </c>
      <c r="M5" s="31" t="s">
        <v>1076</v>
      </c>
      <c r="N5" s="31" t="s">
        <v>1074</v>
      </c>
    </row>
    <row r="6" spans="1:14" s="73" customFormat="1" x14ac:dyDescent="0.35">
      <c r="A6" s="39" t="s">
        <v>1077</v>
      </c>
      <c r="B6" s="39" t="s">
        <v>1078</v>
      </c>
      <c r="C6" s="39" t="s">
        <v>1079</v>
      </c>
      <c r="D6" s="39" t="s">
        <v>1080</v>
      </c>
      <c r="E6" s="74" t="s">
        <v>1081</v>
      </c>
      <c r="F6" s="74" t="s">
        <v>1082</v>
      </c>
      <c r="G6" s="74" t="s">
        <v>1083</v>
      </c>
      <c r="H6" s="74" t="s">
        <v>1084</v>
      </c>
      <c r="I6" s="74" t="s">
        <v>58</v>
      </c>
      <c r="J6" s="74" t="s">
        <v>1085</v>
      </c>
      <c r="K6" s="74" t="s">
        <v>1086</v>
      </c>
      <c r="L6" s="74"/>
      <c r="M6" s="74"/>
      <c r="N6" s="74" t="s">
        <v>1086</v>
      </c>
    </row>
    <row r="7" spans="1:14" s="73" customFormat="1" x14ac:dyDescent="0.35">
      <c r="A7" s="39" t="s">
        <v>1087</v>
      </c>
      <c r="B7" s="39" t="s">
        <v>1088</v>
      </c>
      <c r="C7" s="39" t="s">
        <v>1089</v>
      </c>
      <c r="D7" s="39" t="s">
        <v>1090</v>
      </c>
      <c r="E7" s="31" t="s">
        <v>1091</v>
      </c>
      <c r="F7" s="31" t="s">
        <v>1092</v>
      </c>
      <c r="G7" s="31" t="s">
        <v>1093</v>
      </c>
      <c r="H7" s="31" t="s">
        <v>1094</v>
      </c>
      <c r="I7" s="31" t="s">
        <v>1095</v>
      </c>
      <c r="J7" s="31" t="s">
        <v>1096</v>
      </c>
      <c r="K7" s="31" t="s">
        <v>61</v>
      </c>
      <c r="L7" s="31"/>
      <c r="M7" s="31"/>
      <c r="N7" s="31" t="s">
        <v>61</v>
      </c>
    </row>
    <row r="8" spans="1:14" s="73" customFormat="1" x14ac:dyDescent="0.35">
      <c r="A8" s="39" t="s">
        <v>1097</v>
      </c>
      <c r="B8" s="39" t="s">
        <v>1098</v>
      </c>
      <c r="C8" s="39" t="s">
        <v>1099</v>
      </c>
      <c r="D8" s="39" t="s">
        <v>1100</v>
      </c>
      <c r="E8" s="74" t="s">
        <v>1101</v>
      </c>
      <c r="F8" s="74" t="s">
        <v>1102</v>
      </c>
      <c r="G8" s="74" t="s">
        <v>1103</v>
      </c>
      <c r="H8" s="74" t="s">
        <v>1104</v>
      </c>
      <c r="I8" s="74" t="s">
        <v>1105</v>
      </c>
      <c r="J8" s="74" t="s">
        <v>1106</v>
      </c>
      <c r="K8" s="74" t="s">
        <v>1107</v>
      </c>
      <c r="L8" s="74"/>
      <c r="M8" s="74"/>
      <c r="N8" s="74" t="s">
        <v>1107</v>
      </c>
    </row>
    <row r="9" spans="1:14" s="73" customFormat="1" x14ac:dyDescent="0.35">
      <c r="A9" s="39" t="s">
        <v>1108</v>
      </c>
      <c r="B9" s="39" t="s">
        <v>1109</v>
      </c>
      <c r="C9" s="39" t="s">
        <v>1110</v>
      </c>
      <c r="D9" s="39" t="s">
        <v>1111</v>
      </c>
      <c r="E9" s="31" t="s">
        <v>1112</v>
      </c>
      <c r="F9" s="31" t="s">
        <v>1113</v>
      </c>
      <c r="G9" s="31" t="s">
        <v>1114</v>
      </c>
      <c r="H9" s="31" t="s">
        <v>1115</v>
      </c>
      <c r="I9" s="31"/>
      <c r="J9" s="31" t="s">
        <v>260</v>
      </c>
      <c r="K9" s="31" t="s">
        <v>1116</v>
      </c>
      <c r="L9" s="31"/>
      <c r="M9" s="31"/>
      <c r="N9" s="31" t="s">
        <v>1116</v>
      </c>
    </row>
    <row r="10" spans="1:14" s="73" customFormat="1" x14ac:dyDescent="0.35">
      <c r="A10" s="78"/>
      <c r="B10" s="78"/>
      <c r="C10" s="78"/>
      <c r="D10" s="78"/>
      <c r="E10" s="74" t="s">
        <v>1117</v>
      </c>
      <c r="F10" s="74" t="s">
        <v>1118</v>
      </c>
      <c r="G10" s="74" t="s">
        <v>1119</v>
      </c>
      <c r="H10" s="74" t="s">
        <v>1120</v>
      </c>
      <c r="I10" s="74"/>
      <c r="J10" s="74" t="s">
        <v>59</v>
      </c>
      <c r="K10" s="74" t="s">
        <v>1121</v>
      </c>
      <c r="L10" s="74"/>
      <c r="M10" s="74"/>
      <c r="N10" s="74" t="s">
        <v>1121</v>
      </c>
    </row>
    <row r="11" spans="1:14" s="73" customFormat="1" x14ac:dyDescent="0.35">
      <c r="A11" s="78"/>
      <c r="B11" s="78"/>
      <c r="C11" s="78"/>
      <c r="D11" s="78"/>
      <c r="E11" s="74" t="s">
        <v>1122</v>
      </c>
      <c r="F11" s="74" t="s">
        <v>1123</v>
      </c>
      <c r="G11" s="74" t="s">
        <v>1124</v>
      </c>
      <c r="H11" s="74" t="s">
        <v>1125</v>
      </c>
      <c r="I11" s="74"/>
      <c r="J11" s="74" t="s">
        <v>1126</v>
      </c>
      <c r="K11" s="74"/>
      <c r="L11" s="74"/>
      <c r="M11" s="74"/>
      <c r="N11" s="74"/>
    </row>
    <row r="12" spans="1:14" s="73" customFormat="1" x14ac:dyDescent="0.35">
      <c r="A12" s="78"/>
      <c r="B12" s="78"/>
      <c r="C12" s="78"/>
      <c r="D12" s="78"/>
      <c r="E12" s="31" t="s">
        <v>1127</v>
      </c>
      <c r="F12" s="31" t="s">
        <v>1128</v>
      </c>
      <c r="G12" s="31" t="s">
        <v>1129</v>
      </c>
      <c r="H12" s="31" t="s">
        <v>1130</v>
      </c>
      <c r="I12" s="31"/>
      <c r="J12" s="31" t="s">
        <v>1131</v>
      </c>
      <c r="K12" s="31"/>
      <c r="L12" s="31"/>
      <c r="M12" s="31"/>
      <c r="N12" s="31"/>
    </row>
    <row r="13" spans="1:14" s="73" customFormat="1" x14ac:dyDescent="0.35">
      <c r="A13" s="78"/>
      <c r="B13" s="78"/>
      <c r="C13" s="78"/>
      <c r="D13" s="78"/>
      <c r="E13" s="74" t="s">
        <v>1132</v>
      </c>
      <c r="F13" s="74" t="s">
        <v>1133</v>
      </c>
      <c r="G13" s="74" t="s">
        <v>1134</v>
      </c>
      <c r="H13" s="74" t="s">
        <v>1135</v>
      </c>
      <c r="I13" s="74"/>
      <c r="J13" s="74" t="s">
        <v>1136</v>
      </c>
      <c r="K13" s="74"/>
      <c r="L13" s="74"/>
      <c r="M13" s="74"/>
      <c r="N13" s="74"/>
    </row>
    <row r="14" spans="1:14" s="73" customFormat="1" x14ac:dyDescent="0.35">
      <c r="A14" s="78"/>
      <c r="B14" s="78"/>
      <c r="C14" s="78"/>
      <c r="D14" s="78"/>
      <c r="E14" s="31" t="s">
        <v>1137</v>
      </c>
      <c r="F14" s="31" t="s">
        <v>1138</v>
      </c>
      <c r="G14" s="31" t="s">
        <v>1139</v>
      </c>
      <c r="H14" s="31" t="s">
        <v>1140</v>
      </c>
      <c r="I14" s="31"/>
      <c r="J14" s="31" t="s">
        <v>1141</v>
      </c>
      <c r="K14" s="31"/>
      <c r="L14" s="31"/>
      <c r="M14" s="31"/>
      <c r="N14" s="31"/>
    </row>
    <row r="15" spans="1:14" s="73" customFormat="1" x14ac:dyDescent="0.35">
      <c r="A15" s="78"/>
      <c r="B15" s="78"/>
      <c r="C15" s="78"/>
      <c r="D15" s="78"/>
      <c r="E15" s="74" t="s">
        <v>1142</v>
      </c>
      <c r="F15" s="74" t="s">
        <v>1143</v>
      </c>
      <c r="G15" s="74" t="s">
        <v>1144</v>
      </c>
      <c r="H15" s="74" t="s">
        <v>1145</v>
      </c>
      <c r="I15" s="74"/>
      <c r="J15" s="74" t="s">
        <v>1146</v>
      </c>
      <c r="K15" s="74"/>
      <c r="L15" s="74"/>
      <c r="M15" s="74"/>
      <c r="N15" s="74"/>
    </row>
    <row r="16" spans="1:14" s="73" customFormat="1" x14ac:dyDescent="0.35">
      <c r="A16" s="78"/>
      <c r="B16" s="78"/>
      <c r="C16" s="78"/>
      <c r="D16" s="78"/>
      <c r="E16" s="31" t="s">
        <v>1147</v>
      </c>
      <c r="F16" s="31" t="s">
        <v>1148</v>
      </c>
      <c r="G16" s="31" t="s">
        <v>1149</v>
      </c>
      <c r="H16" s="31" t="s">
        <v>1150</v>
      </c>
      <c r="I16" s="31"/>
      <c r="J16" s="31" t="s">
        <v>1151</v>
      </c>
      <c r="K16" s="31"/>
      <c r="L16" s="31"/>
      <c r="M16" s="31"/>
      <c r="N16" s="31"/>
    </row>
    <row r="17" spans="1:14" s="73" customFormat="1" x14ac:dyDescent="0.35">
      <c r="A17" s="78"/>
      <c r="B17" s="78"/>
      <c r="C17" s="78"/>
      <c r="D17" s="78"/>
      <c r="E17" s="74" t="s">
        <v>1152</v>
      </c>
      <c r="F17" s="74" t="s">
        <v>1153</v>
      </c>
      <c r="G17" s="74" t="s">
        <v>1154</v>
      </c>
      <c r="H17" s="74" t="s">
        <v>1155</v>
      </c>
      <c r="I17" s="74"/>
      <c r="J17" s="74" t="s">
        <v>1156</v>
      </c>
      <c r="K17" s="74"/>
      <c r="L17" s="74"/>
      <c r="M17" s="74"/>
      <c r="N17" s="74"/>
    </row>
    <row r="18" spans="1:14" s="73" customFormat="1" x14ac:dyDescent="0.35">
      <c r="A18" s="78"/>
      <c r="B18" s="78"/>
      <c r="C18" s="78"/>
      <c r="D18" s="78"/>
      <c r="E18" s="184"/>
      <c r="F18" s="184"/>
      <c r="G18" s="184"/>
      <c r="H18" s="184"/>
      <c r="I18" s="184"/>
      <c r="J18" s="184" t="s">
        <v>1157</v>
      </c>
      <c r="K18" s="184"/>
      <c r="L18" s="184"/>
      <c r="M18" s="184"/>
      <c r="N18" s="184"/>
    </row>
    <row r="19" spans="1:14" s="73" customFormat="1" x14ac:dyDescent="0.35">
      <c r="A19" s="78"/>
      <c r="B19" s="78"/>
      <c r="C19" s="78"/>
      <c r="D19" s="78"/>
      <c r="E19" s="184"/>
      <c r="F19" s="184"/>
      <c r="G19" s="184"/>
      <c r="H19" s="184"/>
      <c r="I19" s="184"/>
      <c r="J19" s="184" t="s">
        <v>1158</v>
      </c>
      <c r="K19" s="184"/>
      <c r="L19" s="184"/>
      <c r="M19" s="184"/>
      <c r="N19" s="184"/>
    </row>
    <row r="20" spans="1:14" s="73" customFormat="1" x14ac:dyDescent="0.35">
      <c r="A20" s="78"/>
      <c r="B20" s="78"/>
      <c r="C20" s="78"/>
      <c r="D20" s="78"/>
      <c r="E20" s="184"/>
      <c r="F20" s="184"/>
      <c r="G20" s="184"/>
      <c r="H20" s="184"/>
      <c r="I20" s="184"/>
      <c r="J20" s="184" t="s">
        <v>178</v>
      </c>
      <c r="K20" s="184"/>
      <c r="L20" s="184"/>
      <c r="M20" s="184"/>
      <c r="N20" s="184"/>
    </row>
    <row r="21" spans="1:14" s="73" customFormat="1" x14ac:dyDescent="0.35">
      <c r="A21" s="78"/>
      <c r="B21" s="78"/>
      <c r="C21" s="78"/>
      <c r="D21" s="78"/>
      <c r="E21" s="184"/>
      <c r="F21" s="184"/>
      <c r="G21" s="184"/>
      <c r="H21" s="184"/>
      <c r="I21" s="184"/>
      <c r="J21" s="184" t="s">
        <v>1159</v>
      </c>
      <c r="K21" s="184"/>
      <c r="L21" s="184"/>
      <c r="M21" s="184"/>
      <c r="N21" s="184"/>
    </row>
    <row r="22" spans="1:14" s="73" customFormat="1" x14ac:dyDescent="0.35">
      <c r="A22" s="78"/>
      <c r="B22" s="78"/>
      <c r="C22" s="78"/>
      <c r="D22" s="78"/>
      <c r="E22" s="184"/>
      <c r="F22" s="184"/>
      <c r="G22" s="184"/>
      <c r="H22" s="184"/>
      <c r="I22" s="184"/>
      <c r="J22" s="184" t="s">
        <v>1160</v>
      </c>
      <c r="K22" s="184"/>
      <c r="L22" s="184"/>
      <c r="M22" s="184"/>
      <c r="N22" s="184"/>
    </row>
    <row r="23" spans="1:14" s="73" customFormat="1" x14ac:dyDescent="0.35">
      <c r="A23" s="78"/>
      <c r="B23" s="78"/>
      <c r="C23" s="78"/>
      <c r="D23" s="78"/>
      <c r="E23" s="184"/>
      <c r="F23" s="184"/>
      <c r="G23" s="184"/>
      <c r="H23" s="184"/>
      <c r="I23" s="184"/>
      <c r="J23" s="184" t="s">
        <v>1161</v>
      </c>
      <c r="K23" s="184"/>
      <c r="L23" s="184"/>
      <c r="M23" s="184"/>
      <c r="N23" s="184"/>
    </row>
    <row r="24" spans="1:14" s="73" customFormat="1" x14ac:dyDescent="0.35">
      <c r="A24" s="78"/>
      <c r="B24" s="78"/>
      <c r="C24" s="78"/>
      <c r="D24" s="78"/>
      <c r="E24" s="184"/>
      <c r="F24" s="184"/>
      <c r="G24" s="184"/>
      <c r="H24" s="184"/>
      <c r="I24" s="184"/>
      <c r="J24" s="184" t="s">
        <v>1162</v>
      </c>
      <c r="K24" s="184"/>
      <c r="L24" s="184"/>
      <c r="M24" s="184"/>
      <c r="N24" s="184"/>
    </row>
    <row r="25" spans="1:14" s="73" customFormat="1" x14ac:dyDescent="0.35">
      <c r="A25" s="78"/>
      <c r="B25" s="78"/>
      <c r="C25" s="78"/>
      <c r="D25" s="78"/>
      <c r="E25" s="184"/>
      <c r="F25" s="184"/>
      <c r="G25" s="184"/>
      <c r="H25" s="184"/>
      <c r="I25" s="184"/>
      <c r="J25" s="184"/>
      <c r="K25" s="184"/>
      <c r="L25" s="184"/>
      <c r="M25" s="184"/>
      <c r="N25" s="184"/>
    </row>
    <row r="26" spans="1:14" s="73" customFormat="1" x14ac:dyDescent="0.35">
      <c r="A26" s="78"/>
      <c r="B26" s="78"/>
      <c r="C26" s="78"/>
      <c r="D26" s="78"/>
      <c r="E26" s="184"/>
      <c r="F26" s="184"/>
      <c r="G26" s="184"/>
      <c r="H26" s="184"/>
      <c r="I26" s="184"/>
      <c r="J26" s="184"/>
      <c r="K26" s="184"/>
      <c r="L26" s="184"/>
      <c r="M26" s="184"/>
      <c r="N26" s="184"/>
    </row>
    <row r="27" spans="1:14" s="73" customFormat="1" x14ac:dyDescent="0.35">
      <c r="A27" s="78"/>
      <c r="B27" s="78"/>
      <c r="C27" s="78"/>
      <c r="D27" s="78"/>
      <c r="E27" s="184"/>
      <c r="F27" s="184"/>
      <c r="G27" s="184"/>
      <c r="H27" s="184"/>
      <c r="I27" s="184"/>
      <c r="J27" s="184"/>
      <c r="K27" s="184"/>
      <c r="L27" s="184"/>
      <c r="M27" s="184"/>
      <c r="N27" s="184"/>
    </row>
    <row r="28" spans="1:14" s="73" customFormat="1" x14ac:dyDescent="0.35">
      <c r="A28" s="78"/>
      <c r="B28" s="78"/>
      <c r="C28" s="78"/>
      <c r="D28" s="78"/>
      <c r="E28" s="184"/>
      <c r="F28" s="184"/>
      <c r="G28" s="184"/>
      <c r="H28" s="184"/>
      <c r="I28" s="184"/>
      <c r="J28" s="184"/>
      <c r="K28" s="184"/>
      <c r="L28" s="184"/>
      <c r="M28" s="184"/>
      <c r="N28" s="184"/>
    </row>
    <row r="29" spans="1:14" s="73" customFormat="1" x14ac:dyDescent="0.35">
      <c r="A29" s="78"/>
      <c r="B29" s="78"/>
      <c r="C29" s="78"/>
      <c r="D29" s="78"/>
      <c r="E29" s="184"/>
      <c r="F29" s="184"/>
      <c r="G29" s="184"/>
      <c r="H29" s="184"/>
      <c r="I29" s="184"/>
      <c r="J29" s="184"/>
      <c r="K29" s="184"/>
      <c r="L29" s="184"/>
      <c r="M29" s="184"/>
      <c r="N29" s="184"/>
    </row>
    <row r="30" spans="1:14" s="73" customFormat="1" x14ac:dyDescent="0.35">
      <c r="A30" s="78"/>
      <c r="B30" s="78"/>
      <c r="C30" s="78"/>
      <c r="D30" s="78"/>
      <c r="E30" s="184"/>
      <c r="F30" s="184"/>
      <c r="G30" s="184"/>
      <c r="H30" s="184"/>
      <c r="I30" s="184"/>
      <c r="J30" s="184"/>
      <c r="K30" s="184"/>
      <c r="L30" s="184"/>
      <c r="M30" s="184"/>
      <c r="N30" s="184"/>
    </row>
    <row r="31" spans="1:14" x14ac:dyDescent="0.35">
      <c r="A31" s="78"/>
      <c r="B31" s="78"/>
      <c r="C31" s="78"/>
      <c r="D31" s="78"/>
      <c r="E31" s="184"/>
      <c r="F31" s="184"/>
      <c r="G31" s="184"/>
      <c r="H31" s="184"/>
      <c r="I31" s="184"/>
      <c r="J31" s="184"/>
      <c r="K31" s="184"/>
      <c r="L31" s="184"/>
      <c r="M31" s="184"/>
      <c r="N31" s="184"/>
    </row>
    <row r="32" spans="1:14" x14ac:dyDescent="0.35">
      <c r="A32" s="78"/>
      <c r="B32" s="78"/>
      <c r="C32" s="78"/>
      <c r="D32" s="78"/>
      <c r="E32" s="184"/>
      <c r="F32" s="184"/>
      <c r="G32" s="184"/>
      <c r="H32" s="184"/>
      <c r="I32" s="184"/>
      <c r="J32" s="184"/>
      <c r="K32" s="184"/>
      <c r="L32" s="184"/>
      <c r="M32" s="184"/>
      <c r="N32" s="184"/>
    </row>
    <row r="33" spans="1:14" x14ac:dyDescent="0.35">
      <c r="A33" s="78"/>
      <c r="B33" s="78"/>
      <c r="C33" s="78"/>
      <c r="D33" s="78"/>
      <c r="E33" s="184"/>
      <c r="F33" s="184"/>
      <c r="G33" s="184"/>
      <c r="H33" s="184"/>
      <c r="I33" s="184"/>
      <c r="J33" s="184"/>
      <c r="K33" s="184"/>
      <c r="L33" s="184"/>
      <c r="M33" s="184"/>
      <c r="N33" s="184"/>
    </row>
    <row r="34" spans="1:14" x14ac:dyDescent="0.35">
      <c r="A34" s="78"/>
      <c r="B34" s="78"/>
      <c r="C34" s="78"/>
      <c r="D34" s="78"/>
      <c r="E34" s="184"/>
      <c r="F34" s="184"/>
      <c r="G34" s="184"/>
      <c r="H34" s="184"/>
      <c r="I34" s="184"/>
      <c r="J34" s="184"/>
      <c r="K34" s="184"/>
      <c r="L34" s="184"/>
      <c r="M34" s="184"/>
      <c r="N34" s="184"/>
    </row>
    <row r="35" spans="1:14" x14ac:dyDescent="0.35">
      <c r="A35" s="78"/>
      <c r="B35" s="78"/>
      <c r="C35" s="78"/>
      <c r="D35" s="78"/>
      <c r="E35" s="184"/>
      <c r="F35" s="184"/>
      <c r="G35" s="184"/>
      <c r="H35" s="184"/>
      <c r="I35" s="184"/>
      <c r="J35" s="184"/>
      <c r="K35" s="184"/>
      <c r="L35" s="184"/>
      <c r="M35" s="184"/>
      <c r="N35" s="184"/>
    </row>
    <row r="36" spans="1:14" x14ac:dyDescent="0.35">
      <c r="A36" s="78"/>
      <c r="B36" s="78"/>
      <c r="C36" s="78"/>
      <c r="D36" s="78"/>
      <c r="E36" s="184"/>
      <c r="F36" s="184"/>
      <c r="G36" s="184"/>
      <c r="H36" s="184"/>
      <c r="I36" s="184"/>
      <c r="J36" s="184"/>
      <c r="K36" s="184"/>
      <c r="L36" s="184"/>
      <c r="M36" s="184"/>
      <c r="N36" s="184"/>
    </row>
    <row r="37" spans="1:14" x14ac:dyDescent="0.35">
      <c r="A37" s="78"/>
      <c r="B37" s="78"/>
      <c r="C37" s="78"/>
      <c r="D37" s="78"/>
      <c r="E37" s="184"/>
      <c r="F37" s="184"/>
      <c r="G37" s="184"/>
      <c r="H37" s="184"/>
      <c r="I37" s="184"/>
      <c r="J37" s="184"/>
      <c r="K37" s="184"/>
      <c r="L37" s="184"/>
      <c r="M37" s="184"/>
      <c r="N37" s="184"/>
    </row>
    <row r="38" spans="1:14" x14ac:dyDescent="0.35">
      <c r="A38" s="78"/>
      <c r="B38" s="78"/>
      <c r="C38" s="78"/>
      <c r="D38" s="78"/>
      <c r="E38" s="184"/>
      <c r="F38" s="184"/>
      <c r="G38" s="184"/>
      <c r="H38" s="184"/>
      <c r="I38" s="184"/>
      <c r="J38" s="184"/>
      <c r="K38" s="184"/>
      <c r="L38" s="184"/>
      <c r="M38" s="184"/>
      <c r="N38" s="184"/>
    </row>
    <row r="39" spans="1:14" x14ac:dyDescent="0.35">
      <c r="A39" s="78"/>
      <c r="B39" s="78"/>
      <c r="C39" s="78"/>
      <c r="D39" s="78"/>
      <c r="E39" s="184"/>
      <c r="F39" s="184"/>
      <c r="G39" s="184"/>
      <c r="H39" s="184"/>
      <c r="I39" s="184"/>
      <c r="J39" s="184"/>
      <c r="K39" s="184"/>
      <c r="L39" s="184"/>
      <c r="M39" s="184"/>
      <c r="N39" s="184"/>
    </row>
    <row r="40" spans="1:14" x14ac:dyDescent="0.35">
      <c r="A40" s="78"/>
      <c r="B40" s="78"/>
      <c r="C40" s="78"/>
      <c r="D40" s="78"/>
      <c r="E40" s="184"/>
      <c r="F40" s="184"/>
      <c r="G40" s="184"/>
      <c r="H40" s="184"/>
      <c r="I40" s="184"/>
      <c r="J40" s="184"/>
      <c r="K40" s="184"/>
      <c r="L40" s="184"/>
      <c r="M40" s="184"/>
      <c r="N40" s="184"/>
    </row>
    <row r="41" spans="1:14" x14ac:dyDescent="0.35">
      <c r="A41" s="78"/>
      <c r="B41" s="78"/>
      <c r="C41" s="78"/>
      <c r="D41" s="78"/>
      <c r="E41" s="184"/>
      <c r="F41" s="184"/>
      <c r="G41" s="184"/>
      <c r="H41" s="184"/>
      <c r="I41" s="184"/>
      <c r="J41" s="184"/>
      <c r="K41" s="184"/>
      <c r="L41" s="184"/>
      <c r="M41" s="184"/>
      <c r="N41" s="184"/>
    </row>
    <row r="42" spans="1:14" x14ac:dyDescent="0.35">
      <c r="A42" s="78"/>
      <c r="B42" s="78"/>
      <c r="C42" s="78"/>
      <c r="D42" s="78"/>
      <c r="E42" s="184"/>
      <c r="F42" s="184"/>
      <c r="G42" s="184"/>
      <c r="H42" s="184"/>
      <c r="I42" s="184"/>
      <c r="J42" s="184"/>
      <c r="K42" s="184"/>
      <c r="L42" s="184"/>
      <c r="M42" s="184"/>
      <c r="N42" s="184"/>
    </row>
    <row r="43" spans="1:14" x14ac:dyDescent="0.35">
      <c r="A43" s="78"/>
      <c r="B43" s="78"/>
      <c r="C43" s="78"/>
      <c r="D43" s="78"/>
      <c r="E43" s="184"/>
      <c r="F43" s="184"/>
      <c r="G43" s="184"/>
      <c r="H43" s="184"/>
      <c r="I43" s="184"/>
      <c r="J43" s="184"/>
      <c r="K43" s="184"/>
      <c r="L43" s="184"/>
      <c r="M43" s="184"/>
      <c r="N43" s="184"/>
    </row>
    <row r="44" spans="1:14" x14ac:dyDescent="0.35">
      <c r="A44" s="78"/>
      <c r="B44" s="78"/>
      <c r="C44" s="78"/>
      <c r="D44" s="78"/>
      <c r="E44" s="184"/>
      <c r="F44" s="184"/>
      <c r="G44" s="184"/>
      <c r="H44" s="184"/>
      <c r="I44" s="184"/>
      <c r="J44" s="184"/>
      <c r="K44" s="184"/>
      <c r="L44" s="184"/>
      <c r="M44" s="184"/>
      <c r="N44" s="184"/>
    </row>
    <row r="45" spans="1:14" x14ac:dyDescent="0.35">
      <c r="A45" s="78"/>
      <c r="B45" s="78"/>
      <c r="C45" s="78"/>
      <c r="D45" s="78"/>
      <c r="E45" s="184"/>
      <c r="F45" s="184"/>
      <c r="G45" s="184"/>
      <c r="H45" s="184"/>
      <c r="I45" s="184"/>
      <c r="J45" s="184"/>
      <c r="K45" s="184"/>
      <c r="L45" s="184"/>
      <c r="M45" s="184"/>
      <c r="N45" s="184"/>
    </row>
    <row r="46" spans="1:14" x14ac:dyDescent="0.35">
      <c r="A46" s="78"/>
      <c r="B46" s="78"/>
      <c r="C46" s="78"/>
      <c r="D46" s="78"/>
      <c r="E46" s="184"/>
      <c r="F46" s="184"/>
      <c r="G46" s="184"/>
      <c r="H46" s="184"/>
      <c r="I46" s="184"/>
      <c r="J46" s="184"/>
      <c r="K46" s="184"/>
      <c r="L46" s="184"/>
      <c r="M46" s="184"/>
      <c r="N46" s="184"/>
    </row>
    <row r="47" spans="1:14" x14ac:dyDescent="0.35">
      <c r="A47" s="78"/>
      <c r="B47" s="78"/>
      <c r="C47" s="78"/>
      <c r="D47" s="78"/>
      <c r="E47" s="184"/>
      <c r="F47" s="184"/>
      <c r="G47" s="184"/>
      <c r="H47" s="184"/>
      <c r="I47" s="184"/>
      <c r="J47" s="184"/>
      <c r="K47" s="184"/>
      <c r="L47" s="184"/>
      <c r="M47" s="184"/>
      <c r="N47" s="184"/>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&amp;L&amp;"Arial"&amp;7 &amp;K000000Handlungsempfehlung Datenkatalog_x000D_# C2 - Intern_x000D_&amp;1#&amp;"Arial"&amp;7 &amp;K000000 C2 - Intern&amp;CStrukturvorlage&amp;R&amp;D -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56259C4CE4094489C98335C671559A3" ma:contentTypeVersion="14" ma:contentTypeDescription="Ein neues Dokument erstellen." ma:contentTypeScope="" ma:versionID="b1625201569aeefe387b7725dd22a4d4">
  <xsd:schema xmlns:xsd="http://www.w3.org/2001/XMLSchema" xmlns:xs="http://www.w3.org/2001/XMLSchema" xmlns:p="http://schemas.microsoft.com/office/2006/metadata/properties" xmlns:ns2="860b5404-c371-4839-979c-5e70c214a9a8" xmlns:ns3="ef6ff589-ad87-4911-8994-4f70884f8a5c" targetNamespace="http://schemas.microsoft.com/office/2006/metadata/properties" ma:root="true" ma:fieldsID="40296b9caaec3435cd3127e369c5610d" ns2:_="" ns3:_="">
    <xsd:import namespace="860b5404-c371-4839-979c-5e70c214a9a8"/>
    <xsd:import namespace="ef6ff589-ad87-4911-8994-4f70884f8a5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0b5404-c371-4839-979c-5e70c214a9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3cda131c-542b-4c1e-8bfc-fe33ad395d5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f6ff589-ad87-4911-8994-4f70884f8a5c" elementFormDefault="qualified">
    <xsd:import namespace="http://schemas.microsoft.com/office/2006/documentManagement/types"/>
    <xsd:import namespace="http://schemas.microsoft.com/office/infopath/2007/PartnerControls"/>
    <xsd:element name="SharedWithUsers" ma:index="11"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Freigegeben für - Details" ma:internalName="SharedWithDetails" ma:readOnly="true">
      <xsd:simpleType>
        <xsd:restriction base="dms:Note">
          <xsd:maxLength value="255"/>
        </xsd:restriction>
      </xsd:simpleType>
    </xsd:element>
    <xsd:element name="TaxCatchAll" ma:index="16" nillable="true" ma:displayName="Taxonomy Catch All Column" ma:hidden="true" ma:list="{01297d30-1e10-4b9b-965b-09308ffb9933}" ma:internalName="TaxCatchAll" ma:showField="CatchAllData" ma:web="ef6ff589-ad87-4911-8994-4f70884f8a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f6ff589-ad87-4911-8994-4f70884f8a5c" xsi:nil="true"/>
    <lcf76f155ced4ddcb4097134ff3c332f xmlns="860b5404-c371-4839-979c-5e70c214a9a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94FA95E-A053-487C-8630-F05C806553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0b5404-c371-4839-979c-5e70c214a9a8"/>
    <ds:schemaRef ds:uri="ef6ff589-ad87-4911-8994-4f70884f8a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7CA642-66D8-43A0-9CFA-350C93971E13}">
  <ds:schemaRefs>
    <ds:schemaRef ds:uri="http://schemas.microsoft.com/sharepoint/v3/contenttype/forms"/>
  </ds:schemaRefs>
</ds:datastoreItem>
</file>

<file path=customXml/itemProps3.xml><?xml version="1.0" encoding="utf-8"?>
<ds:datastoreItem xmlns:ds="http://schemas.openxmlformats.org/officeDocument/2006/customXml" ds:itemID="{D7CCD4C8-C5FF-4EE7-A3ED-190E03793DE4}">
  <ds:schemaRefs>
    <ds:schemaRef ds:uri="http://schemas.microsoft.com/office/2006/metadata/properties"/>
    <ds:schemaRef ds:uri="http://schemas.microsoft.com/office/infopath/2007/PartnerControls"/>
    <ds:schemaRef ds:uri="ef6ff589-ad87-4911-8994-4f70884f8a5c"/>
    <ds:schemaRef ds:uri="860b5404-c371-4839-979c-5e70c214a9a8"/>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16</vt:i4>
      </vt:variant>
    </vt:vector>
  </HeadingPairs>
  <TitlesOfParts>
    <vt:vector size="28" baseType="lpstr">
      <vt:lpstr>Impressum</vt:lpstr>
      <vt:lpstr>Anleitung</vt:lpstr>
      <vt:lpstr>Header</vt:lpstr>
      <vt:lpstr>Dictionary_public</vt:lpstr>
      <vt:lpstr>Classes</vt:lpstr>
      <vt:lpstr>Properties</vt:lpstr>
      <vt:lpstr>Values</vt:lpstr>
      <vt:lpstr>Documents</vt:lpstr>
      <vt:lpstr>GroupOfProperties</vt:lpstr>
      <vt:lpstr>Data_Template</vt:lpstr>
      <vt:lpstr>Gelöschte Bauteile</vt:lpstr>
      <vt:lpstr>Rules</vt:lpstr>
      <vt:lpstr>Affectation_de_classe</vt:lpstr>
      <vt:lpstr>Assegnazione_della_classe</vt:lpstr>
      <vt:lpstr>Assegnazione_della_proprieta</vt:lpstr>
      <vt:lpstr>Attribution_de_propriete</vt:lpstr>
      <vt:lpstr>DataType</vt:lpstr>
      <vt:lpstr>FAIR_Prinzipien</vt:lpstr>
      <vt:lpstr>IFC_Data_Type</vt:lpstr>
      <vt:lpstr>ISG___Informationssicherheitsgesetz</vt:lpstr>
      <vt:lpstr>Klassen_Zuordnung</vt:lpstr>
      <vt:lpstr>Klassifikation</vt:lpstr>
      <vt:lpstr>LifecycleStatus</vt:lpstr>
      <vt:lpstr>Markmals_Klassifikation</vt:lpstr>
      <vt:lpstr>Merkmals_Zuordnung</vt:lpstr>
      <vt:lpstr>Objekt_Einordnung</vt:lpstr>
      <vt:lpstr>Property_Classification</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Paulina Felz</cp:lastModifiedBy>
  <cp:lastPrinted>2026-03-25T08:59:43Z</cp:lastPrinted>
  <dcterms:created xsi:type="dcterms:W3CDTF">2024-10-08T09:18:01Z</dcterms:created>
  <dcterms:modified xsi:type="dcterms:W3CDTF">2026-07-31T12:38:43Z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y fmtid="{D5CDD505-2E9C-101B-9397-08002B2CF9AE}" pid="10" name="ContentTypeId">
    <vt:lpwstr>0x010100356259C4CE4094489C98335C671559A3</vt:lpwstr>
  </property>
  <property fmtid="{D5CDD505-2E9C-101B-9397-08002B2CF9AE}" pid="11" name="MediaServiceImageTags">
    <vt:lpwstr/>
  </property>
</Properties>
</file>