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200 Expert Groups/openBIM/P.5502.01 HE Data Dictionaries/2026 07 Strukturvorlage/"/>
    </mc:Choice>
  </mc:AlternateContent>
  <xr:revisionPtr revIDLastSave="296" documentId="8_{52AAC4CE-7E72-49C4-A91A-7E5C1A63C779}" xr6:coauthVersionLast="47" xr6:coauthVersionMax="47" xr10:uidLastSave="{7EC7A3CB-A144-4300-B535-B66F50335B45}"/>
  <bookViews>
    <workbookView xWindow="-120" yWindow="-120" windowWidth="51840" windowHeight="21120" tabRatio="525" activeTab="1"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definedNames>
    <definedName name="_xlnm._FilterDatabase" localSheetId="3" hidden="1">Classes!$A$6:$AE$6</definedName>
    <definedName name="_xlnm._FilterDatabase" localSheetId="7" hidden="1">GroupOfProperties!$A$6:$O$6</definedName>
    <definedName name="_xlnm._FilterDatabase" localSheetId="4" hidden="1">Properties!$A$6:$Z$6</definedName>
    <definedName name="_xlnm._FilterDatabase" localSheetId="5"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9" l="1" a="1"/>
  <c r="F2" i="9" s="1"/>
  <c r="A12" i="9" l="1"/>
  <c r="A11" i="9"/>
  <c r="A10" i="9"/>
  <c r="A9" i="9"/>
  <c r="A8" i="9"/>
  <c r="A7" i="9"/>
  <c r="A6" i="9"/>
  <c r="A5" i="9"/>
  <c r="N9" i="4" l="1"/>
  <c r="BE11" i="10" l="1"/>
  <c r="BE10" i="10"/>
  <c r="BE9" i="10"/>
  <c r="BE8" i="10"/>
  <c r="BE7" i="10"/>
  <c r="BE6" i="10"/>
  <c r="BE5" i="10"/>
  <c r="BE4" i="10"/>
  <c r="BE3" i="10"/>
  <c r="BE2" i="10"/>
  <c r="BE1" i="10"/>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I38" i="5"/>
  <c r="H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N24" i="4"/>
  <c r="M24" i="4"/>
  <c r="L24" i="4"/>
  <c r="N23" i="4"/>
  <c r="M23" i="4"/>
  <c r="L23" i="4"/>
  <c r="N22" i="4"/>
  <c r="M22" i="4"/>
  <c r="L22" i="4"/>
  <c r="N21" i="4"/>
  <c r="M21" i="4"/>
  <c r="L21" i="4"/>
  <c r="N20" i="4"/>
  <c r="M20" i="4"/>
  <c r="L20" i="4"/>
  <c r="N19" i="4"/>
  <c r="M19" i="4"/>
  <c r="L19" i="4"/>
  <c r="N18" i="4"/>
  <c r="M18" i="4"/>
  <c r="L18" i="4"/>
  <c r="N17" i="4"/>
  <c r="M17" i="4"/>
  <c r="L17" i="4"/>
  <c r="N16" i="4"/>
  <c r="M16" i="4"/>
  <c r="N14" i="4"/>
  <c r="M14" i="4"/>
  <c r="L14" i="4"/>
  <c r="N13" i="4"/>
  <c r="M13" i="4"/>
  <c r="L13" i="4"/>
  <c r="N12" i="4"/>
  <c r="M12" i="4"/>
  <c r="L12" i="4"/>
  <c r="N11" i="4"/>
  <c r="M11" i="4"/>
  <c r="L11" i="4"/>
  <c r="N10" i="4"/>
  <c r="M10" i="4"/>
  <c r="L10" i="4"/>
  <c r="M9" i="4"/>
  <c r="L9" i="4"/>
  <c r="N8" i="4"/>
  <c r="M8" i="4"/>
  <c r="L8" i="4"/>
  <c r="N7" i="4"/>
  <c r="M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<sst xmlns="http://schemas.openxmlformats.org/spreadsheetml/2006/main" count="2623" uniqueCount="996">
  <si>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</si>
  <si>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</si>
  <si>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</si>
  <si>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</si>
  <si>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</si>
  <si>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</si>
  <si>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</si>
  <si>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</si>
  <si>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</si>
  <si>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</si>
  <si>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data_dictionary_area_management</t>
  </si>
  <si>
    <t>SYSTEM-GENERATED</t>
  </si>
  <si>
    <t>Generated from DictionaryName (EN)</t>
  </si>
  <si>
    <t>DictionaryName (EN)</t>
  </si>
  <si>
    <t>Data Dictionary Area Management</t>
  </si>
  <si>
    <t>REQUIRED</t>
  </si>
  <si>
    <t>Required authoring title in English — source for DictionaryCode generation</t>
  </si>
  <si>
    <t>DictionaryName (DE)</t>
  </si>
  <si>
    <t>Data Dictionary Flächenmanagement</t>
  </si>
  <si>
    <t>OPTIONAL</t>
  </si>
  <si>
    <t>Core authoring title in German — minimal DCAT</t>
  </si>
  <si>
    <t>DictionaryName (FR)</t>
  </si>
  <si>
    <t>Data Dictionary Gestion des zones</t>
  </si>
  <si>
    <t>Optional multilingual title support</t>
  </si>
  <si>
    <t>DictionaryName (IT)</t>
  </si>
  <si>
    <t>Data Dictionary Gestione dell'area</t>
  </si>
  <si>
    <t>DictionaryVersion</t>
  </si>
  <si>
    <t>Semantic versioning: MAJOR.MINOR.PATCH</t>
  </si>
  <si>
    <t>DictionaryUri</t>
  </si>
  <si>
    <t>https://example.com/BdCH/data_dictionary_area_management</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</si>
  <si>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</si>
  <si>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</si>
  <si>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</si>
  <si>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</si>
  <si>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</si>
  <si>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</si>
  <si>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</si>
  <si>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</si>
  <si>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</si>
  <si>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</si>
  <si>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</si>
  <si>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</si>
  <si>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Data Dictionary - Flächenmanagement</t>
  </si>
  <si>
    <t>Dokumenteninformationen</t>
  </si>
  <si>
    <t>Status</t>
  </si>
  <si>
    <t>Entwurf</t>
  </si>
  <si>
    <t>Version</t>
  </si>
  <si>
    <t>Letzte Änderung</t>
  </si>
  <si>
    <t>Autor</t>
  </si>
  <si>
    <t>Trägerschaft</t>
  </si>
  <si>
    <t>IFMA</t>
  </si>
  <si>
    <t>Bauen digital Schweiz / buildingSMART Switzerland</t>
  </si>
  <si>
    <t>Losinger Marazzi AG</t>
  </si>
  <si>
    <t>Abgrenzung</t>
  </si>
  <si>
    <t>Fokus auf Austauschformat IFC 4.3.2.0 (IFC4X3_ADD2)</t>
  </si>
  <si>
    <t>Andere Formate (z. B. CityGML, gbXML, LandXML) sind kein Bestandteil</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</si>
  <si>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</si>
  <si>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</si>
  <si>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</si>
  <si>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</si>
  <si>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</si>
  <si>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</si>
  <si>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</si>
  <si>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</si>
  <si>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</si>
  <si>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</si>
  <si>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</si>
  <si>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</si>
  <si>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</si>
  <si>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</si>
  <si>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</si>
  <si>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A</t>
  </si>
  <si>
    <t>B</t>
  </si>
  <si>
    <t>C</t>
  </si>
  <si>
    <t>D</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</si>
  <si>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</si>
  <si>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</si>
  <si>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</si>
  <si>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</si>
  <si>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</si>
  <si>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</si>
  <si>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</si>
  <si>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</si>
  <si>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</si>
  <si>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</si>
  <si>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</si>
  <si>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</si>
  <si>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</si>
  <si>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</si>
  <si>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</si>
  <si>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</si>
  <si>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</si>
  <si>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</si>
  <si>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</si>
  <si>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</si>
  <si>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</si>
  <si>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</si>
  <si>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</si>
  <si>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</si>
  <si>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</si>
  <si>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</si>
  <si>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</si>
  <si>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</si>
  <si>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</si>
  <si>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</si>
  <si>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</si>
  <si>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</si>
  <si>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</si>
  <si>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</si>
  <si>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</si>
  <si>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</si>
  <si>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</si>
  <si>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</si>
  <si>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</si>
  <si>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</si>
  <si>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</si>
  <si>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</si>
  <si>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</si>
  <si>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</si>
  <si>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</si>
  <si>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</si>
  <si>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</si>
  <si>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</si>
  <si>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</si>
  <si>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</si>
  <si>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</si>
  <si>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</si>
  <si>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</si>
  <si>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</si>
  <si>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</si>
  <si>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</si>
  <si>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</si>
  <si>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</si>
  <si>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</si>
  <si>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</si>
  <si>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</si>
  <si>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</si>
  <si>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</si>
  <si>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</si>
  <si>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</si>
  <si>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</si>
  <si>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</si>
  <si>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</si>
  <si>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</si>
  <si>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</si>
  <si>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</si>
  <si>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</si>
  <si>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</si>
  <si>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</si>
  <si>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</si>
  <si>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</si>
  <si>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</si>
  <si>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</si>
  <si>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</si>
  <si>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</si>
  <si>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</si>
  <si>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</si>
  <si>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</si>
  <si>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</si>
  <si>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</si>
  <si>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</si>
  <si>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</si>
  <si>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</si>
  <si>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</si>
  <si>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</si>
  <si>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</si>
  <si>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</si>
  <si>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</si>
  <si>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</si>
  <si>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</si>
  <si>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</si>
  <si>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</si>
  <si>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</si>
  <si>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</si>
  <si>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</si>
  <si>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</si>
  <si>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</si>
  <si>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</si>
  <si>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</si>
  <si>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</si>
  <si>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</si>
  <si>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</si>
  <si>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</si>
  <si>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</si>
  <si>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</si>
  <si>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</si>
  <si>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</si>
  <si>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</si>
  <si>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</si>
  <si>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</si>
  <si>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</si>
  <si>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</si>
  <si>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</si>
  <si>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</si>
  <si>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</si>
  <si>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</si>
  <si>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</si>
  <si>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</si>
  <si>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</si>
  <si>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</si>
  <si>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</si>
  <si>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</si>
  <si>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</si>
  <si>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</si>
  <si>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</si>
  <si>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</si>
  <si>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</si>
  <si>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</si>
  <si>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</si>
  <si>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</si>
  <si>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</si>
  <si>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</si>
  <si>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</si>
  <si>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</si>
  <si>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</si>
  <si>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</si>
  <si>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</si>
  <si>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</si>
  <si>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</si>
  <si>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</si>
  <si>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</si>
  <si>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</si>
  <si>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</si>
  <si>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</si>
  <si>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</si>
  <si>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</si>
  <si>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</si>
  <si>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</si>
  <si>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</si>
  <si>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</si>
  <si>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</si>
  <si>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</si>
  <si>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</si>
  <si>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</si>
  <si>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</si>
  <si>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</si>
  <si>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</si>
  <si>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Filter</t>
  </si>
  <si>
    <t>Class-Assignment</t>
  </si>
  <si>
    <t>Klassen-Zuordnung (DE)</t>
  </si>
  <si>
    <t>Affectation de classe (FR)</t>
  </si>
  <si>
    <t>Assegnazione della classe (IT)</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</si>
  <si>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</si>
  <si>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</si>
  <si>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</si>
  <si>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</si>
  <si>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</si>
  <si>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</si>
  <si>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</si>
  <si>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</si>
  <si>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</si>
  <si>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</si>
  <si>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</si>
  <si>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</si>
  <si>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</si>
  <si>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</si>
  <si>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</si>
  <si>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</si>
  <si>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</si>
  <si>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</si>
  <si>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</si>
  <si>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</si>
  <si>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</si>
  <si>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</si>
  <si>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</si>
  <si>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</si>
  <si>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</si>
  <si>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</si>
  <si>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</si>
  <si>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</si>
  <si>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</si>
  <si>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</si>
  <si>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</si>
  <si>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Spatial structure</t>
  </si>
  <si>
    <t>Elevation</t>
  </si>
  <si>
    <t>Geschossebene</t>
  </si>
  <si>
    <t>The physical floor level or storey level of a building.</t>
  </si>
  <si>
    <t>Die physische Geschossebene bzw. Etage eines Gebäudes.</t>
  </si>
  <si>
    <t>https://identifier.buildingsmart.org/uri/buildingsmart/ifc/4.3/class/IfcBuildingStorey</t>
  </si>
  <si>
    <t>IfcBuildingStorey</t>
  </si>
  <si>
    <t>Document type catalogue</t>
  </si>
  <si>
    <t>Site area</t>
  </si>
  <si>
    <t>Grundstückfläche</t>
  </si>
  <si>
    <t>Site area (plot area according to SIA 416)</t>
  </si>
  <si>
    <t>Parzellenfläche (Grundstückfläche gemäss SIA 416)</t>
  </si>
  <si>
    <t>https://identifier.buildingsmart.org/uri/buildingsmart/ifc/4.3/class/IfcSite</t>
  </si>
  <si>
    <t>IfcSite</t>
  </si>
  <si>
    <t>Surrounding area</t>
  </si>
  <si>
    <t>Umgebungsfläche</t>
  </si>
  <si>
    <t>Surrounding area according to SIA 416</t>
  </si>
  <si>
    <t>Umgebungsfläche gemäss SIA 416</t>
  </si>
  <si>
    <t>https://identifier.buildingsmart.org/uri/buildingsmart/ifc/4.3/class/IfcSpace</t>
  </si>
  <si>
    <t>IfcSpace</t>
  </si>
  <si>
    <t>USERDEFINED</t>
  </si>
  <si>
    <t>SITE_AREA</t>
  </si>
  <si>
    <t>Gross floor area</t>
  </si>
  <si>
    <t>Geschossvolumen</t>
  </si>
  <si>
    <t>Volumetric representation of gross floor areas and storey volumes according to SIA 416</t>
  </si>
  <si>
    <t>Volumetrische Darstellung der Geschossflächen (brutto) und Geschossvolumen gemäss SIA 416</t>
  </si>
  <si>
    <t>SURROUNDING_AREA</t>
  </si>
  <si>
    <t>Room</t>
  </si>
  <si>
    <t>Nettogeschossfläche</t>
  </si>
  <si>
    <t>Internal spaces (net floor areas according to SIA 416)</t>
  </si>
  <si>
    <t>Innenräume (Nettogeschossflächen gemäss SIA 416)</t>
  </si>
  <si>
    <t>https://identifier.buildingsmart.org/uri/buildingsmart/ifc/4.3/class/IfcSpaceGFA</t>
  </si>
  <si>
    <t>GFA</t>
  </si>
  <si>
    <t>External room</t>
  </si>
  <si>
    <t>Aussen-Nettogeschossfläche</t>
  </si>
  <si>
    <t>External spaces (external net floor areas according to SIA 416)</t>
  </si>
  <si>
    <t>Aussenräume (Aussen-Nettogeschossflächen gemäss SIA 416)</t>
  </si>
  <si>
    <t>ROOM</t>
  </si>
  <si>
    <t>Parking space</t>
  </si>
  <si>
    <t>Stellplatz</t>
  </si>
  <si>
    <t>Parking spaces such as car parking spaces, moped parking, bicycle parking, fire service access/parking bays</t>
  </si>
  <si>
    <t>Stellplätze wie z.B. Autoparkplatz, Mofa-Parkplatz, Velostellplatz, Feuerwehrstellplatz</t>
  </si>
  <si>
    <t>EXTERNAL_ROOM</t>
  </si>
  <si>
    <t>Rentable area</t>
  </si>
  <si>
    <t>Vermietbare Fläche</t>
  </si>
  <si>
    <t>Representation of lettable area where this differs from net floor areas</t>
  </si>
  <si>
    <t>Darstellung der vermietbaren Fläche, insofern diese von den Nettoraumflächen differiert</t>
  </si>
  <si>
    <t>https://identifier.buildingsmart.org/uri/buildingsmart/ifc/4.3/class/IfcSpacePARKING</t>
  </si>
  <si>
    <t>PARKING</t>
  </si>
  <si>
    <t>Properties</t>
  </si>
  <si>
    <t>Property-Assignment</t>
  </si>
  <si>
    <t>Merkmals-Zuordnung (DE)</t>
  </si>
  <si>
    <t>Attribution de propriété (FR)</t>
  </si>
  <si>
    <t>Assegnazione della proprietà (IT)</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</si>
  <si>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</si>
  <si>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</si>
  <si>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</si>
  <si>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</si>
  <si>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</si>
  <si>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</si>
  <si>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</si>
  <si>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</si>
  <si>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</si>
  <si>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</si>
  <si>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</si>
  <si>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</si>
  <si>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</si>
  <si>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</si>
  <si>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</si>
  <si>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Name</t>
  </si>
  <si>
    <t>ID</t>
  </si>
  <si>
    <t>Unique room number or floor number according to numbering scheme</t>
  </si>
  <si>
    <t>Eindeutige Raumnummer bzw. Geschossnummer gemäss Nummerierungskonzept</t>
  </si>
  <si>
    <t>STRING</t>
  </si>
  <si>
    <t>IfcLabel</t>
  </si>
  <si>
    <t>LongName</t>
  </si>
  <si>
    <t>Raumbezeichnung</t>
  </si>
  <si>
    <t>Designation</t>
  </si>
  <si>
    <t>Bezeichnung</t>
  </si>
  <si>
    <t>Classification according to SIA 416 / 2003</t>
  </si>
  <si>
    <t>Klassifizierung gemäss SIA 416 / 2003</t>
  </si>
  <si>
    <t>Area type SIA 416 code</t>
  </si>
  <si>
    <t>Classification according to SIA 380 / 2015</t>
  </si>
  <si>
    <t>Klassifizierung gemäss SIA 380 / 2015</t>
  </si>
  <si>
    <t>Room designation SIA 380 label</t>
  </si>
  <si>
    <t>Raumnutzung SIA 2024 Code</t>
  </si>
  <si>
    <t>Classification according to SIA 2024 / 2021</t>
  </si>
  <si>
    <t>Klassifizierung gemäss SIA 2024 / 2021</t>
  </si>
  <si>
    <t>Room usage SIA 2024 code</t>
  </si>
  <si>
    <t>Flächenart d0165 Code</t>
  </si>
  <si>
    <t>Classification according to SIA D 0165 / 2000</t>
  </si>
  <si>
    <t>Klassifizierung gemäss SIA D 0165 / 2000</t>
  </si>
  <si>
    <t>Area type d0165 code</t>
  </si>
  <si>
    <t>ProgramUse</t>
  </si>
  <si>
    <t>Raumnutzung</t>
  </si>
  <si>
    <t>Room usage according to room programme</t>
  </si>
  <si>
    <t>Raumnutzung gemäss Raumprogramm</t>
  </si>
  <si>
    <t>Program use</t>
  </si>
  <si>
    <t>RoomType</t>
  </si>
  <si>
    <t>Raumtyp</t>
  </si>
  <si>
    <t>Room type (functional type) according to room catalogue (room data sheets)</t>
  </si>
  <si>
    <t>Raumtyp (Funktionstyp) gemäss Raumkatalog (Raumdatenblätter)</t>
  </si>
  <si>
    <t>Room type</t>
  </si>
  <si>
    <t>UnitType</t>
  </si>
  <si>
    <t>Einheitstyp</t>
  </si>
  <si>
    <t>Unit type, in particular dwelling type (e.g. 3.5-room flat)</t>
  </si>
  <si>
    <t>Einheitstyp, insb. Wohnungstyp
z.B. 3,5-Zi</t>
  </si>
  <si>
    <t>Unit type</t>
  </si>
  <si>
    <t>Unit_ID</t>
  </si>
  <si>
    <t>Einheitsnummer</t>
  </si>
  <si>
    <t>Unique unit number (ID) according to numbering scheme for sale or rental units (e.g. apartment number)</t>
  </si>
  <si>
    <t>Eindeutige Einheitsnummer (ID) gemäss Nummerierungskonzept für Verkaufs- bzw. Mieteinheiten, z.B. Wohnungsnummer</t>
  </si>
  <si>
    <t>Unit ID</t>
  </si>
  <si>
    <t>RoomNumberFM</t>
  </si>
  <si>
    <t>Raumnummer_Betrieb</t>
  </si>
  <si>
    <t>Operational room number</t>
  </si>
  <si>
    <t>Raumnummer Betrieb</t>
  </si>
  <si>
    <t>RoomSignalLabel</t>
  </si>
  <si>
    <t>Raumbeschriftung</t>
  </si>
  <si>
    <t>Room labelled</t>
  </si>
  <si>
    <t>Raum beschriftet</t>
  </si>
  <si>
    <t>Room signal label</t>
  </si>
  <si>
    <t>CleaningGroup</t>
  </si>
  <si>
    <t>Reinigungsgruppe</t>
  </si>
  <si>
    <t>Cleaning group</t>
  </si>
  <si>
    <t>AreaLoad</t>
  </si>
  <si>
    <t>Flächenlast</t>
  </si>
  <si>
    <t>Area load</t>
  </si>
  <si>
    <t>REAL</t>
  </si>
  <si>
    <t>IfcPlanarForceMeasure</t>
  </si>
  <si>
    <t>PointLoad</t>
  </si>
  <si>
    <t>Punktlast</t>
  </si>
  <si>
    <t>Point load</t>
  </si>
  <si>
    <t>IfcForceMeasure</t>
  </si>
  <si>
    <t>EnergyReferenceArea</t>
  </si>
  <si>
    <t>Energiebezugsfläche</t>
  </si>
  <si>
    <t>Energy reference area</t>
  </si>
  <si>
    <t>BOOLEAN</t>
  </si>
  <si>
    <t>IfcBoolean</t>
  </si>
  <si>
    <t>WindowsCleaningArea</t>
  </si>
  <si>
    <t>Fensterfläche</t>
  </si>
  <si>
    <t>Window area</t>
  </si>
  <si>
    <t>WindowsOpenable</t>
  </si>
  <si>
    <t>Fenster öffenbar</t>
  </si>
  <si>
    <t>Window openable</t>
  </si>
  <si>
    <t>Fenster Öffenbar</t>
  </si>
  <si>
    <t>Occupant</t>
  </si>
  <si>
    <t>Raumnutzer</t>
  </si>
  <si>
    <t>Room occupant</t>
  </si>
  <si>
    <t>Shading</t>
  </si>
  <si>
    <t>Sonnenschutz</t>
  </si>
  <si>
    <t>Solar shading</t>
  </si>
  <si>
    <t>IsHumidified</t>
  </si>
  <si>
    <t>Befeuchtet</t>
  </si>
  <si>
    <t>Humidified</t>
  </si>
  <si>
    <t>IsDehumidified</t>
  </si>
  <si>
    <t>Entfeuchtet</t>
  </si>
  <si>
    <t>Dehumidified</t>
  </si>
  <si>
    <t>IsRentable</t>
  </si>
  <si>
    <t>Vermietbarkeit</t>
  </si>
  <si>
    <t>Letting suitability</t>
  </si>
  <si>
    <t>Rentable</t>
  </si>
  <si>
    <t>IsExternal</t>
  </si>
  <si>
    <t>Aussenraum</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</si>
  <si>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</si>
  <si>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</si>
  <si>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External space</t>
  </si>
  <si>
    <t>https://identifier.buildingsmart.org/uri/buildingsmart/ifc/4.3/prop/IsExternal</t>
  </si>
  <si>
    <t>Pset_SpaceCommon</t>
  </si>
  <si>
    <t>OccupancyType</t>
  </si>
  <si>
    <t>Nutzungsart</t>
  </si>
  <si>
    <t>Occupancy type for this object.; It is defined according to the presiding national building code.</t>
  </si>
  <si>
    <t>Nutzungsart dieses Objekts; sie wird gemäss den geltenden nationalen Bauvorschriften definiert.</t>
  </si>
  <si>
    <t>Occupancy type</t>
  </si>
  <si>
    <t>https://identifier.buildingsmart.org/uri/buildingsmart/ifc/4.3/prop/OccupancyType</t>
  </si>
  <si>
    <t>Pset_SpaceOccupancyRequirements</t>
  </si>
  <si>
    <t>MinimumHeadroom</t>
  </si>
  <si>
    <t>Raumnutzhöhe</t>
  </si>
  <si>
    <t>Effective clear height</t>
  </si>
  <si>
    <t>Lichte Höhe</t>
  </si>
  <si>
    <t>IfcLengthMeasure</t>
  </si>
  <si>
    <t>Headroom</t>
  </si>
  <si>
    <t>OccupancyNumberPeak</t>
  </si>
  <si>
    <t>Personenbelegung geplant</t>
  </si>
  <si>
    <t>Maximal number of people required for the activity assigned to this space in peak time.</t>
  </si>
  <si>
    <t>Maximale Anzahl Personen für die zugewiesene Nutzung dieses Raums in Spitzenzeiten.</t>
  </si>
  <si>
    <t>INTEGER</t>
  </si>
  <si>
    <t>IfcInteger</t>
  </si>
  <si>
    <t>Planned occupancy</t>
  </si>
  <si>
    <t>https://identifier.buildingsmart.org/uri/buildingsmart/ifc/4.3/prop/OccupancyNumberPeak</t>
  </si>
  <si>
    <t>OccupancyNumber</t>
  </si>
  <si>
    <t>Personenbelegung ist</t>
  </si>
  <si>
    <t>Number of people required for the activity assigned to this space.</t>
  </si>
  <si>
    <t>Anzahl Personen für die zugewiesene Nutzung dieses Raums.</t>
  </si>
  <si>
    <t>Actual occupancy</t>
  </si>
  <si>
    <t>https://identifier.buildingsmart.org/uri/buildingsmart/ifc/4.3/prop/OccupancyNumber</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</si>
  <si>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</si>
  <si>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</si>
  <si>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</si>
  <si>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</si>
  <si>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Floor covering</t>
  </si>
  <si>
    <t>https://identifier.buildingsmart.org/uri/buildingsmart/ifc/4.3/prop/FloorCovering</t>
  </si>
  <si>
    <t>Pset_SpaceCoveringRequirements</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</si>
  <si>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</si>
  <si>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</si>
  <si>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</si>
  <si>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</si>
  <si>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Wall covering</t>
  </si>
  <si>
    <t>https://identifier.buildingsmart.org/uri/buildingsmart/ifc/4.3/prop/WallCovering</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</si>
  <si>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</si>
  <si>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</si>
  <si>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</si>
  <si>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</si>
  <si>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Ceiling covering</t>
  </si>
  <si>
    <t>https://identifier.buildingsmart.org/uri/buildingsmart/ifc/4.3/prop/CeilingCovering</t>
  </si>
  <si>
    <t>NaturalVentilation</t>
  </si>
  <si>
    <t>Natürliche Belüftung</t>
  </si>
  <si>
    <t>Indication whether the space is required to have natural ventilation (TRUE), or not (FALSE).</t>
  </si>
  <si>
    <t>Angabe, ob für den Raum natürliche Lüftung erforderlich ist (TRUE) oder nicht (FALSE).</t>
  </si>
  <si>
    <t>Natural ventilation</t>
  </si>
  <si>
    <t>https://identifier.buildingsmart.org/uri/buildingsmart/ifc/4.3/prop/NaturalVentilation</t>
  </si>
  <si>
    <t xml:space="preserve"> </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</si>
  <si>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</si>
  <si>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</si>
  <si>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</si>
  <si>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</si>
  <si>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</si>
  <si>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Natural ventilation rate</t>
  </si>
  <si>
    <t>https://identifier.buildingsmart.org/uri/buildingsmart/ifc/4.3/prop/NaturalVentilationRate</t>
  </si>
  <si>
    <t>MechanicalVentilation</t>
  </si>
  <si>
    <t>Mechanische Belüftung</t>
  </si>
  <si>
    <t>Indication whether the space is required to have mechanical ventilation (TRUE), or not (FALSE).</t>
  </si>
  <si>
    <t>Angabe, ob für den Raum mechanische Lüftung erforderlich ist (TRUE) oder nicht (FALSE).</t>
  </si>
  <si>
    <t>Mechanical ventilation</t>
  </si>
  <si>
    <t>https://identifier.buildingsmart.org/uri/buildingsmart/ifc/4.3/prop/MechanicalVentilation</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</si>
  <si>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</si>
  <si>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</si>
  <si>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</si>
  <si>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</si>
  <si>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Mechanical ventilation rate</t>
  </si>
  <si>
    <t>https://identifier.buildingsmart.org/uri/buildingsmart/ifc/4.3/prop/MechanicalVentilationRate</t>
  </si>
  <si>
    <t>AirConditioning</t>
  </si>
  <si>
    <t>Klimatisiert</t>
  </si>
  <si>
    <t>Indication whether this space requires air conditioning provided (TRUE) or not (FALSE).</t>
  </si>
  <si>
    <t>Angabe, ob für diesen Raum eine Klimatisierung erforderlich ist (TRUE) oder nicht (FALSE).</t>
  </si>
  <si>
    <t>Air conditioning</t>
  </si>
  <si>
    <t>https://identifier.buildingsmart.org/uri/buildingsmart/ifc/4.3/prop/AirConditioning</t>
  </si>
  <si>
    <t>TemperatureSetPoint</t>
  </si>
  <si>
    <t>Temperatur Ziel</t>
  </si>
  <si>
    <t>The temperature setpoint range and default setpoint.</t>
  </si>
  <si>
    <t>Temperatur-Sollwertbereich und Standard-Sollwert.</t>
  </si>
  <si>
    <t>IfcThermodynamicTemperatureMeasure</t>
  </si>
  <si>
    <t>Temperature set point</t>
  </si>
  <si>
    <t>https://identifier.buildingsmart.org/uri/buildingsmart/ifc/4.3/prop/TemperatureSetPoint</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</si>
  <si>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</si>
  <si>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</si>
  <si>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</si>
  <si>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</si>
  <si>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IfcReal</t>
  </si>
  <si>
    <t>Humidity set point</t>
  </si>
  <si>
    <t>https://identifier.buildingsmart.org/uri/buildingsmart/ifc/4.3/prop/HumiditySetPoint</t>
  </si>
  <si>
    <t>FireExit</t>
  </si>
  <si>
    <t>Fluchtweg</t>
  </si>
  <si>
    <t>Indication whether this object is designed to serve as an exit in the case of fire (TRUE) or not (FALSE).</t>
  </si>
  <si>
    <t>Angabe, ob dieses Objekt im Brandfall als Ausgang dient (TRUE) oder nicht (FALSE).</t>
  </si>
  <si>
    <t>Fire exit</t>
  </si>
  <si>
    <t>https://identifier.buildingsmart.org/uri/buildingsmart/ifc/4.3/prop/FireExit</t>
  </si>
  <si>
    <t>Pset_SpaceFireSafetyRequirements</t>
  </si>
  <si>
    <t>GrossFloorArea</t>
  </si>
  <si>
    <t>Bruttofläche</t>
  </si>
  <si>
    <t>Sum of all gross floor areas within the spatial structure element</t>
  </si>
  <si>
    <t>Summe aller Bruttogrundflächen innerhalb des räumlichen Strukturelements.</t>
  </si>
  <si>
    <t>IfcAreaMeasure</t>
  </si>
  <si>
    <t>https://identifier.buildingsmart.org/uri/buildingsmart/ifc/4.3/prop/GrossFloorArea</t>
  </si>
  <si>
    <t>Qto_SpaceBaseQuantities</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</si>
  <si>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</si>
  <si>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</si>
  <si>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</si>
  <si>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</si>
  <si>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</si>
  <si>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Gross volume</t>
  </si>
  <si>
    <t>https://identifier.buildingsmart.org/uri/buildingsmart/ifc/4.3/prop/GrossVolume</t>
  </si>
  <si>
    <t>NetFloorArea</t>
  </si>
  <si>
    <t>Nettofläche</t>
  </si>
  <si>
    <t>Sum of all net usable floor areas.</t>
  </si>
  <si>
    <t>Summe aller Nettogrundflächen.</t>
  </si>
  <si>
    <t>Net floor area</t>
  </si>
  <si>
    <t>https://identifier.buildingsmart.org/uri/buildingsmart/ifc/4.3/prop/NetFloorArea</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</si>
  <si>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</si>
  <si>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</si>
  <si>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</si>
  <si>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</si>
  <si>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Net volume</t>
  </si>
  <si>
    <t>https://identifier.buildingsmart.org/uri/buildingsmart/ifc/4.3/prop/NetVolume</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</si>
  <si>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</si>
  <si>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</si>
  <si>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</si>
  <si>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</si>
  <si>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Net wall area</t>
  </si>
  <si>
    <t>Height</t>
  </si>
  <si>
    <t>Höhe</t>
  </si>
  <si>
    <t>Vertical extent or height of the element or space.</t>
  </si>
  <si>
    <t>Vertikale Ausdehnung bzw. Höhe des Elements oder Raums.</t>
  </si>
  <si>
    <t>https://identifier.buildingsmart.org/uri/buildingsmart/ifc/4.3/prop/Height</t>
  </si>
  <si>
    <t>AboveGround</t>
  </si>
  <si>
    <t>Oberirdisch</t>
  </si>
  <si>
    <t>Indication whether this building storey is fully above ground (TRUE), or below ground (FALSE), or partially above and below ground (UNKNOWN) - as in sloped terrain.</t>
  </si>
  <si>
    <t>Angabe, ob sich dieses Stockwerk vollständig über der Erde (TRUE), unter der Erde (FALSE) oder teilweise über und unter der Erde (UNKNOWN) befindet – beispielsweise bei abschüssigem Gelände.</t>
  </si>
  <si>
    <t>CostZone</t>
  </si>
  <si>
    <t>Kostenzone</t>
  </si>
  <si>
    <t>Cost zone: for cost allocation according to commercial use, investor and/or sales product (business line)</t>
  </si>
  <si>
    <t>Kostenzone: für die Kostenaufteilung nach kommerzieller Nutzung bzw. Investor und/oder Verkaufsprodukt (Business Line)</t>
  </si>
  <si>
    <t>Werteliste
(DE)</t>
  </si>
  <si>
    <t>Liste de valeurs
(FR)</t>
  </si>
  <si>
    <t>Lista valori
(IT)</t>
  </si>
  <si>
    <t>must use JSON-style list syntax, e.g. ["A", "B", "C"] or ["A", 1.5, "C"] for alphanumeric/numeric values</t>
  </si>
  <si>
    <t>Vordefinierter Typ</t>
  </si>
  <si>
    <t>["GFA", "PARKING", "USERDEFINED"]</t>
  </si>
  <si>
    <t>Objekttyp</t>
  </si>
  <si>
    <t>["SITE_AREA", "LANDSCAPE_AREA", "ROOM,EXTERNAL_ROOM", "RENTABLE_AREA"]</t>
  </si>
  <si>
    <t>Room designation</t>
  </si>
  <si>
    <t>Flächenart SIA 416 Code</t>
  </si>
  <si>
    <t>Raumbezeichnung SIA 380 Bezeichnung</t>
  </si>
  <si>
    <t>["HNF1", "HNF2", "HNF3", "HNF4", "HNF5", "HNF6", "NNF7", "FF8", "VF9", "BUF10"]</t>
  </si>
  <si>
    <t>["SUP1", "SUP2", "SUP3", "SUP4", "SUP5", "SUP6", "SUS7", "SI8", "SD9", "SAA10"]</t>
  </si>
  <si>
    <t>[1.01, 1.02, 2.01, 2.02, 3.01, 3.02, 3.03, 3.04, 4.01, 4.02, 4.03, 4.04, 4.05, 5.01, 5.02, 5.03, 6.01, 6.02, 6.03, 6.04, 7.01, 7.02, 7.03, 8.01, 8.02, 8.03, 9.01, 9.02, 9.03, 10.01, 11.01, 11.02, 11.03, 12.01, 12.02, 12.03, 12.04, 12.05, 12.06, 12.07, 12.08, 12.09, 12.1, 12.11, 12.12]</t>
  </si>
  <si>
    <t>[1.1, 1.2, 1.3, 1.4, 1.5, 1.6, 2.1, 2.2, 2.3, 2.4, 2.5, 2.6, 2.7, 2.8, 3.1, 3.2, 3.3, 3.4, 3.5, 3.6, 3.7, 3.8, 3.9, 4.1, 4.2, 4.3, 4.4, 4.5, 4.6, 5.1, 5.2, 5.3, 5.4, 5.5, 5.6, 5.7, 5.8, 5.9, 6.1, 6.2, 6.3, 6.4, 6.5, 6.6, 6.7, 6.8, 7.1, 7.2, 7.3, 7.4, 7.5, 7.6, 7.7, 8.1, 8.2, 8.3, 8.4, 8.5, 8.6, 8.7, 8.8, 8.9, 9.1, 9.2, 9.3, 9.4, 10.1]</t>
  </si>
  <si>
    <t>["true", "false"]</t>
  </si>
  <si>
    <t>Natürliche Lüftung</t>
  </si>
  <si>
    <t>Mechanische Lüftung</t>
  </si>
  <si>
    <t>Rules.ISG - Informationssicherheitsgesetz</t>
  </si>
  <si>
    <t>Rules.FAIR Prinzipien</t>
  </si>
  <si>
    <t>system-generated from DocumentName (EN)</t>
  </si>
  <si>
    <t>must match Rules.ISG - Informationssicherheitsgesetz</t>
  </si>
  <si>
    <t>must match Rules.FAIR Prinzipien</t>
  </si>
  <si>
    <t>nicht klassifiziert</t>
  </si>
  <si>
    <t>Zugänglich unentgeltlich</t>
  </si>
  <si>
    <t>must start with &lt;OrganizationCode&gt;_; forbidden prefixes: Pset_, IFC_, CH_</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</si>
  <si>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</si>
  <si>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</si>
  <si>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</si>
  <si>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</si>
  <si>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</si>
  <si>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</si>
  <si>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[1.2, "1.2.1", "1.2.2"]</t>
  </si>
  <si>
    <t>[2, 3, "AIRSPACE", "ROOF"]</t>
  </si>
  <si>
    <t>["2.1.1.1", "2.1.1.2", "2.1.2", "2.1.3"]</t>
  </si>
  <si>
    <t>["HNF1", "HNF2", "HNF3", "HNF4", "HNF5", "HNF6", "NNF7", "FF8", "VF9", "BUF10", "SUP1", "SUP2", "SUP3", "SUP4", "SUP5", "SUP6", "SUS7", "SI8", "SD9", "SAA10"]</t>
  </si>
  <si>
    <t>"false"</t>
  </si>
  <si>
    <t>["3.1.1", "3.1.2", "3.1.3"]</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</si>
  <si>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</si>
  <si>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</si>
  <si>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</si>
  <si>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</si>
  <si>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</si>
  <si>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</si>
  <si>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</si>
  <si>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</si>
  <si>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</si>
  <si>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</si>
  <si>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</si>
  <si>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</si>
  <si>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</si>
  <si>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</si>
  <si>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</si>
  <si>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</si>
  <si>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</si>
  <si>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</si>
  <si>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</si>
  <si>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</si>
  <si>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</si>
  <si>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</si>
  <si>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</si>
  <si>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</si>
  <si>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</si>
  <si>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</si>
  <si>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</si>
  <si>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</si>
  <si>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</si>
  <si>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</si>
  <si>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</si>
  <si>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</si>
  <si>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</si>
  <si>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</si>
  <si>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</si>
  <si>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</si>
  <si>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</si>
  <si>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</si>
  <si>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</si>
  <si>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</si>
  <si>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</si>
  <si>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</si>
  <si>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</si>
  <si>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</si>
  <si>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</si>
  <si>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</si>
  <si>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</si>
  <si>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</si>
  <si>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</si>
  <si>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</si>
  <si>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</si>
  <si>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</si>
  <si>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</si>
  <si>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</si>
  <si>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</si>
  <si>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</si>
  <si>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</si>
  <si>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</si>
  <si>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</si>
  <si>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</si>
  <si>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</si>
  <si>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Preview</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</si>
  <si>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</si>
  <si>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</si>
  <si>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</si>
  <si>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</si>
  <si>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</si>
  <si>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</si>
  <si>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</si>
  <si>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</si>
  <si>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</si>
  <si>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</si>
  <si>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</si>
  <si>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</si>
  <si>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</si>
  <si>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</si>
  <si>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</si>
  <si>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</si>
  <si>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</si>
  <si>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</si>
  <si>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</si>
  <si>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</si>
  <si>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</si>
  <si>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</si>
  <si>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</si>
  <si>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</si>
  <si>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</si>
  <si>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</si>
  <si>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</si>
  <si>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</si>
  <si>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</si>
  <si>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</si>
  <si>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</si>
  <si>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</si>
  <si>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</si>
  <si>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</si>
  <si>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</si>
  <si>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</si>
  <si>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</si>
  <si>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</si>
  <si>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</si>
  <si>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</si>
  <si>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</si>
  <si>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</si>
  <si>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</si>
  <si>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</si>
  <si>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</si>
  <si>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</si>
  <si>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</si>
  <si>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</si>
  <si>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</si>
  <si>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</si>
  <si>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</si>
  <si>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</si>
  <si>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</si>
  <si>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</si>
  <si>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</si>
  <si>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</si>
  <si>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</si>
  <si>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</si>
  <si>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</si>
  <si>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</si>
  <si>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</si>
  <si>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</si>
  <si>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</si>
  <si>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</si>
  <si>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</si>
  <si>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</si>
  <si>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</si>
  <si>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</si>
  <si>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</si>
  <si>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</si>
  <si>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</si>
  <si>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</si>
  <si>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</si>
  <si>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</si>
  <si>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</si>
  <si>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</si>
  <si>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</si>
  <si>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</si>
  <si>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</si>
  <si>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</si>
  <si>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</si>
  <si>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</si>
  <si>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</si>
  <si>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</si>
  <si>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</si>
  <si>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</si>
  <si>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</si>
  <si>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</si>
  <si>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</si>
  <si>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</si>
  <si>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</si>
  <si>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</si>
  <si>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</si>
  <si>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</si>
  <si>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</si>
  <si>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</si>
  <si>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</si>
  <si>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</si>
  <si>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</si>
  <si>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</si>
  <si>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</si>
  <si>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</si>
  <si>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</si>
  <si>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</si>
  <si>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</si>
  <si>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</si>
  <si>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</si>
  <si>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</si>
  <si>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</si>
  <si>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</si>
  <si>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</si>
  <si>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</si>
  <si>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</si>
  <si>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</si>
  <si>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</si>
  <si>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</si>
  <si>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</si>
  <si>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</si>
  <si>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</si>
  <si>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</si>
  <si>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Mit freundlicher Unterstützung von</t>
  </si>
  <si>
    <t>B+S AG</t>
  </si>
  <si>
    <t>MEGA</t>
  </si>
  <si>
    <t>Basler &amp; Hofmann AG</t>
  </si>
  <si>
    <t>Mensch und Maschine Schweiz AG</t>
  </si>
  <si>
    <t>Bauenschweiz</t>
  </si>
  <si>
    <t>open BIM Verband</t>
  </si>
  <si>
    <t>Baumschlager Eberle Zürich AG</t>
  </si>
  <si>
    <t>Penzel Valier AG</t>
  </si>
  <si>
    <t>Buildup AG</t>
  </si>
  <si>
    <t>POM+</t>
  </si>
  <si>
    <t>CADMEC AG</t>
  </si>
  <si>
    <t>Roundtable Gebäudetechnik</t>
  </si>
  <si>
    <t>CRB</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</si>
  <si>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</si>
  <si>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</si>
  <si>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</si>
  <si>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</si>
  <si>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</si>
  <si>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</si>
  <si>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</si>
  <si>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</si>
  <si>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</si>
  <si>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</si>
  <si>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</si>
  <si>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</si>
  <si>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</si>
  <si>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</si>
  <si>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</si>
  <si>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</si>
  <si>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</si>
  <si>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</si>
  <si>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</si>
  <si>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</si>
  <si>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</si>
  <si>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</si>
  <si>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</si>
  <si>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Terradata AG</t>
  </si>
  <si>
    <t>Marti Tunnel AG</t>
  </si>
  <si>
    <t>Walo AG</t>
  </si>
  <si>
    <t>Strukturvorlage ist eine methodische Grundlage, kein vollständiges Data Dictionaries</t>
  </si>
  <si>
    <t>Vollständige Data Dictionariess müssen in Datenbanken realsiert werden</t>
  </si>
  <si>
    <t>Keine spezifischen Referenzen/Anbindungen an externe Data Dictionaries</t>
  </si>
  <si>
    <t>Dieses Dokument ist als Creative Commons Attribution-NonCommercial-ShareAlike 4.0 International Lizenz als Namensnennung – nichtkommerziell Weitergabe – unter gleichen Bedingungen lizenziert</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</si>
  <si>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</si>
  <si>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</si>
  <si>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</si>
  <si>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</si>
  <si>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</si>
  <si>
    <t>Weitere Informationen unter:</t>
  </si>
  <si>
    <t>IFMA_C_31010000</t>
  </si>
  <si>
    <t>IFMA_C_31010001</t>
  </si>
  <si>
    <t>IFMA_C_31010002</t>
  </si>
  <si>
    <t>IFMA_C_31010003</t>
  </si>
  <si>
    <t>IFMA_C_31010004</t>
  </si>
  <si>
    <t>IFMA_C_31010005</t>
  </si>
  <si>
    <t>IFMA_C_31010006</t>
  </si>
  <si>
    <t>IFMA_C_31010007</t>
  </si>
  <si>
    <t>Farbcode zum ausfüllen der Strukturvorlage</t>
  </si>
  <si>
    <t xml:space="preserve">Diese Spalten müssen ausgefüllt werden. </t>
  </si>
  <si>
    <t>Bei sprachabhängigen Texten muss mind. EN und eine Landessprache ausgefüllt werden</t>
  </si>
  <si>
    <t>Diese Spalte ist system-generated, d.h. ist im Excl nicht auszufüllen, sondern wird vom Zielsystem (Datenbank) generiert</t>
  </si>
  <si>
    <t>Grüner Farbcode:</t>
  </si>
  <si>
    <t>Kein Farbcode:</t>
  </si>
  <si>
    <t>Blauer Farbcode:</t>
  </si>
  <si>
    <t>Wird automatisch durch das Validierungskript ausgefüllt</t>
  </si>
  <si>
    <t>Grauer Farbcode:</t>
  </si>
  <si>
    <t>Dropdownliste: Automatische Übersetzung von EN in DE, FR, IT. Basiert auf der Übersetzung im Reiter "Rules"</t>
  </si>
  <si>
    <t>0.5.0</t>
  </si>
  <si>
    <t>IFMA_P_31020002</t>
  </si>
  <si>
    <t>IFMA_P_31020003</t>
  </si>
  <si>
    <t>IFMA_P_31020004</t>
  </si>
  <si>
    <t>IFMA_P_31020007</t>
  </si>
  <si>
    <t>IFMA_P_31020008</t>
  </si>
  <si>
    <t>IFMA_P_31020010</t>
  </si>
  <si>
    <t>IFMA_P_31020012</t>
  </si>
  <si>
    <t>IFMA_P_31020013</t>
  </si>
  <si>
    <t>IFMA_P_31020014</t>
  </si>
  <si>
    <t>IFMA_P_31020015</t>
  </si>
  <si>
    <t>IFMA_P_31020016</t>
  </si>
  <si>
    <t>IFMA_P_31020017</t>
  </si>
  <si>
    <t>IFMA_P_31020018</t>
  </si>
  <si>
    <t>IFMA_P_31020019</t>
  </si>
  <si>
    <t>IFMA_P_31020020</t>
  </si>
  <si>
    <t>IFMA_P_31020021</t>
  </si>
  <si>
    <t>IFMA_P_31020022</t>
  </si>
  <si>
    <t>IFMA_P_31020023</t>
  </si>
  <si>
    <t>IFMA_P_31020024</t>
  </si>
  <si>
    <t>IFMA_P_31020025</t>
  </si>
  <si>
    <t>IFMA_P_31020026</t>
  </si>
  <si>
    <t>IFMA_P_31020027</t>
  </si>
  <si>
    <t>IFMA_P_31020028</t>
  </si>
  <si>
    <t>IFMA_P_31020029</t>
  </si>
  <si>
    <t>IFMA_P_31020030</t>
  </si>
  <si>
    <t>IFMA_P_31020031</t>
  </si>
  <si>
    <t>IFMA_P_31020032</t>
  </si>
  <si>
    <t>IFMA_P_31020033</t>
  </si>
  <si>
    <t>IFMA_P_31020034</t>
  </si>
  <si>
    <t>IFMA_P_31020035</t>
  </si>
  <si>
    <t>IFMA_P_31020036</t>
  </si>
  <si>
    <t>IFMA_P_31020037</t>
  </si>
  <si>
    <t>IFMA_P_31020038</t>
  </si>
  <si>
    <t>IFMA_P_31020039</t>
  </si>
  <si>
    <t>IFMA_P_31020040</t>
  </si>
  <si>
    <t>IFMA_P_31020041</t>
  </si>
  <si>
    <t>IFMA_P_31020042</t>
  </si>
  <si>
    <t>IFMA_P_31020043</t>
  </si>
  <si>
    <t>IFMA_P_31020044</t>
  </si>
  <si>
    <t>IFMA_P_31020045</t>
  </si>
  <si>
    <t>IFMA_P_31020046</t>
  </si>
  <si>
    <t>IFMA_P_31020047</t>
  </si>
  <si>
    <t>IFMA_P_31020048</t>
  </si>
  <si>
    <t>IFMA_P_31020049</t>
  </si>
  <si>
    <t>IFMA_P_31020050</t>
  </si>
  <si>
    <t>IFMA_P_31020051</t>
  </si>
  <si>
    <t>IFMA_P_31020052</t>
  </si>
  <si>
    <t>IFMA_V_31030000</t>
  </si>
  <si>
    <t>IFMA_V_31030001</t>
  </si>
  <si>
    <t>IFMA_V_31030002</t>
  </si>
  <si>
    <t>IFMA_V_31030003</t>
  </si>
  <si>
    <t>IFMA_V_31030004</t>
  </si>
  <si>
    <t>IFMA_V_31030007</t>
  </si>
  <si>
    <t>IFMA_V_31030008</t>
  </si>
  <si>
    <t>IFMA_V_31030010</t>
  </si>
  <si>
    <t>IFMA_V_31030012</t>
  </si>
  <si>
    <t>IFMA_V_31030013</t>
  </si>
  <si>
    <t>IFMA_V_31030014</t>
  </si>
  <si>
    <t>IFMA_V_31030015</t>
  </si>
  <si>
    <t>IFMA_V_31030016</t>
  </si>
  <si>
    <t>IFMA_V_31030017</t>
  </si>
  <si>
    <t>IFMA_V_31030018</t>
  </si>
  <si>
    <t>IFMA_V_31030019</t>
  </si>
  <si>
    <t>IFMA_V_31030020</t>
  </si>
  <si>
    <t>IFMA_V_31030021</t>
  </si>
  <si>
    <t>IFMA_V_31030022</t>
  </si>
  <si>
    <t>IFMA_V_31030023</t>
  </si>
  <si>
    <t>IFMA_V_31030024</t>
  </si>
  <si>
    <t>IFMA_V_31030025</t>
  </si>
  <si>
    <t>IFMA_V_31030026</t>
  </si>
  <si>
    <t>IFMA_V_31030027</t>
  </si>
  <si>
    <t>IFMA_V_31030028</t>
  </si>
  <si>
    <t>IFMA_V_31030029</t>
  </si>
  <si>
    <t>IFMA_V_31030030</t>
  </si>
  <si>
    <t>IFMA_V_31030031</t>
  </si>
  <si>
    <t>IFMA_V_31030032</t>
  </si>
  <si>
    <t>IFMA_V_31030033</t>
  </si>
  <si>
    <t>IFMA_V_31030034</t>
  </si>
  <si>
    <t>IFMA_V_31030035</t>
  </si>
  <si>
    <t>IFMA_V_31030036</t>
  </si>
  <si>
    <t>IFMA_V_31030037</t>
  </si>
  <si>
    <t>IFMA_V_31030038</t>
  </si>
  <si>
    <t>IFMA_V_31030039</t>
  </si>
  <si>
    <t>IFMA_V_31030040</t>
  </si>
  <si>
    <t>IFMA_V_31030041</t>
  </si>
  <si>
    <t>IFMA_V_31030042</t>
  </si>
  <si>
    <t>IFMA_V_31030043</t>
  </si>
  <si>
    <t>IFMA_V_31030044</t>
  </si>
  <si>
    <t>IFMA_V_31030045</t>
  </si>
  <si>
    <t>IFMA_V_31030046</t>
  </si>
  <si>
    <t>IFMA_V_31030047</t>
  </si>
  <si>
    <t>IFMA_V_31030048</t>
  </si>
  <si>
    <t>IFMA_V_31030049</t>
  </si>
  <si>
    <t>IFMA_V_31030050</t>
  </si>
  <si>
    <t>2026-07-09T10:30+02:00</t>
  </si>
  <si>
    <t>SIA 416:2003 Flächenart</t>
  </si>
  <si>
    <t>SIA 380:2015 Raumbezeichnung</t>
  </si>
  <si>
    <t>SIA 2024:2001 Raumnutzung</t>
  </si>
  <si>
    <t>SIA d0165:2000 Nutzungsart</t>
  </si>
  <si>
    <t>SIA_416_2003</t>
  </si>
  <si>
    <t>SIA_380_2015</t>
  </si>
  <si>
    <t>SIA_2024_2021</t>
  </si>
  <si>
    <t>SIA_d0615_2000</t>
  </si>
  <si>
    <t>["1.2", "1.2.1", "1.2.2", 2, "2.1.1.1", "2.1.1.2", "2.1.2", "2.1.3", 3, "3.1.1", "3.1.2", "3.1.3", "AIRSPACE", "ROOF"]</t>
  </si>
  <si>
    <t>["1_GSF", "1.1_GGF", "1.2_UF", "1.2.1_BUF", "1.2.2_UUF", "2_GF", "2.1.1.1_HNF", "2.1.1.2_NNF", "2.1.2_VF", "2.1.3_FF", "3_AGF", "3.1_ANGF", "3.1.1_ANF", "3.1.2_AVF", "3.1.3_AFF", "5_GV", "AIRSPACE_LUFTRAUM", "ROOF_DACH"]</t>
  </si>
  <si>
    <t>["1_ST", "1.1_SB", "1.2_SA", "1.2.1_SAA", "1.2.2_SAN", "2_SP", "2.1.1.1_SUP", "2.1.1.2_SUS", "2.1.2_SD", "2.1.3_SI", "3_SEP", "3.1_SEN", "3.1.1_SEU", "3.1.2_SED", "3.1.3_SEI", "5_VB", "AIRSPACE_VIDE", "ROOF_TOIT"]</t>
  </si>
  <si>
    <t>["1", "2", "3", "4", "5", "6", "1", "8", "9", "10"]</t>
  </si>
  <si>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</si>
  <si>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</si>
  <si>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SN 504 416 - Areas and volumes of buildings</t>
  </si>
  <si>
    <t>SN 504 416 -Flächen und Volumen von Gebäuden</t>
  </si>
  <si>
    <t>IFMA_D_31040000</t>
  </si>
  <si>
    <t>SIA</t>
  </si>
  <si>
    <t>IFMA_AreaMgmt</t>
  </si>
  <si>
    <t>[1]</t>
  </si>
  <si>
    <t>["true"]</t>
  </si>
  <si>
    <t>Enthält alle flächenbezogenen Parameter gemäss Norm SIA 416. Sie definiert Hauptnutz-, Nebennutz- und Verkehrsflächen zur präzisen Steuerung beim Facility Management</t>
  </si>
  <si>
    <t>Includes all area-related parameters in accordance with the SIA 416 standard. It defines primary, secondary and circulation areas to enable precise control of facility management.</t>
  </si>
  <si>
    <t>Hinweis: Dropdown-Liste in Englisch auswählen, DE, FR, IT werden automatisch übersetzt</t>
  </si>
  <si>
    <t>Einheitliche Einordnung von Merkmalen entlang einer strukturierten Gliederung</t>
  </si>
  <si>
    <t>Roter Farbcode:</t>
  </si>
  <si>
    <t>Zusätzliche Sprachen; falls erforderlich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</si>
</sst>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u/>
      <sz val="11"/>
      <color theme="10"/>
      <name val="Arial"/>
      <family val="2"/>
    </font>
    <font>
      <sz val="8"/>
      <name val="Aptos Narrow"/>
      <family val="2"/>
      <scheme val="minor"/>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6">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9" fillId="0" borderId="0" xfId="0" applyFont="1" applyAlignment="1">
      <alignment vertical="top"/>
    </xf>
    <xf numFmtId="0" fontId="2" fillId="0" borderId="0" xfId="0" applyFont="1" applyAlignment="1">
      <alignment vertical="top"/>
    </xf>
    <xf numFmtId="0" fontId="11" fillId="11" borderId="0" xfId="0" applyFont="1" applyFill="1" applyAlignment="1">
      <alignment vertical="top"/>
    </xf>
    <xf numFmtId="0" fontId="34" fillId="0" borderId="0" xfId="0" applyFont="1" applyAlignment="1">
      <alignment vertical="top"/>
    </xf>
    <xf numFmtId="0" fontId="1" fillId="0" borderId="0" xfId="0" applyFont="1"/>
    <xf numFmtId="0" fontId="16" fillId="6" borderId="12" xfId="6" applyFont="1" applyFill="1" applyBorder="1" applyAlignment="1">
      <alignment horizontal="left" wrapText="1"/>
    </xf>
    <xf numFmtId="0" fontId="16" fillId="6" borderId="17" xfId="6" applyFont="1" applyFill="1" applyBorder="1" applyAlignment="1">
      <alignment horizontal="left" wrapText="1"/>
    </xf>
    <xf numFmtId="0" fontId="16" fillId="0" borderId="0" xfId="6" applyFont="1" applyFill="1" applyAlignment="1">
      <alignment horizontal="left" wrapText="1"/>
    </xf>
    <xf numFmtId="0" fontId="1" fillId="11" borderId="0" xfId="0" applyFont="1" applyFill="1" applyAlignment="1">
      <alignment vertical="top"/>
    </xf>
    <xf numFmtId="0" fontId="1" fillId="11" borderId="0" xfId="0" applyFont="1" applyFill="1" applyAlignment="1">
      <alignment vertical="top" wrapText="1"/>
    </xf>
    <xf numFmtId="0" fontId="1" fillId="0" borderId="0" xfId="0" applyFont="1" applyAlignment="1">
      <alignment vertical="top"/>
    </xf>
    <xf numFmtId="0" fontId="16" fillId="4" borderId="16" xfId="6" applyFont="1" applyFill="1" applyBorder="1" applyAlignment="1">
      <alignment horizontal="left" wrapText="1"/>
    </xf>
    <xf numFmtId="0" fontId="0" fillId="0" borderId="0" xfId="0"/>
    <xf numFmtId="0" fontId="27" fillId="13" borderId="0" xfId="6" applyFont="1" applyFill="1" applyAlignment="1">
      <alignment horizontal="left" wrapText="1"/>
    </xf>
    <xf numFmtId="0" fontId="8" fillId="0" borderId="0" xfId="0" applyNumberFormat="1" applyFont="1"/>
    <xf numFmtId="0" fontId="8" fillId="0" borderId="0" xfId="0" applyNumberFormat="1" applyFont="1" applyAlignment="1">
      <alignment horizontal="left" textRotation="90"/>
    </xf>
    <xf numFmtId="0" fontId="15" fillId="4" borderId="0" xfId="0" applyNumberFormat="1" applyFont="1" applyFill="1" applyAlignment="1">
      <alignment horizontal="centerContinuous" vertical="center"/>
    </xf>
    <xf numFmtId="0" fontId="16" fillId="8" borderId="12" xfId="0" applyNumberFormat="1" applyFont="1" applyFill="1" applyBorder="1" applyAlignment="1">
      <alignment horizontal="left" vertical="top" wrapText="1"/>
    </xf>
    <xf numFmtId="0" fontId="8" fillId="0" borderId="0" xfId="0" applyNumberFormat="1" applyFont="1" applyAlignment="1">
      <alignment textRotation="90" wrapText="1"/>
    </xf>
    <xf numFmtId="0" fontId="10" fillId="0" borderId="12" xfId="0" applyNumberFormat="1" applyFont="1" applyBorder="1" applyAlignment="1">
      <alignment horizontal="left" vertical="top" wrapText="1"/>
    </xf>
    <xf numFmtId="0" fontId="15" fillId="5" borderId="0" xfId="0" applyNumberFormat="1" applyFont="1" applyFill="1" applyAlignment="1">
      <alignment horizontal="centerContinuous" vertical="center" wrapText="1"/>
    </xf>
    <xf numFmtId="0" fontId="16" fillId="7" borderId="12" xfId="0" applyNumberFormat="1" applyFont="1" applyFill="1" applyBorder="1" applyAlignment="1">
      <alignment horizontal="left" textRotation="90" wrapText="1"/>
    </xf>
    <xf numFmtId="0" fontId="10" fillId="0" borderId="12" xfId="0" applyNumberFormat="1" applyFont="1" applyBorder="1" applyAlignment="1">
      <alignment horizontal="left" textRotation="90"/>
    </xf>
    <xf numFmtId="0" fontId="8" fillId="0" borderId="0" xfId="0" applyNumberFormat="1" applyFont="1" applyAlignment="1">
      <alignment horizontal="center" vertical="center"/>
    </xf>
    <xf numFmtId="0" fontId="8" fillId="0" borderId="0" xfId="0" applyNumberFormat="1" applyFont="1" applyAlignment="1">
      <alignment horizontal="left" vertical="top"/>
    </xf>
    <xf numFmtId="0" fontId="8" fillId="0" borderId="0" xfId="0" applyNumberFormat="1" applyFont="1" applyAlignment="1">
      <alignment horizontal="center" vertical="center" wrapText="1"/>
    </xf>
    <xf numFmtId="0" fontId="8" fillId="0" borderId="0" xfId="0" applyNumberFormat="1" applyFont="1" applyAlignment="1">
      <alignment horizontal="center" wrapText="1"/>
    </xf>
    <xf numFmtId="0" fontId="8" fillId="0" borderId="0" xfId="0" applyNumberFormat="1" applyFont="1" applyAlignment="1">
      <alignment wrapText="1"/>
    </xf>
    <xf numFmtId="0" fontId="8" fillId="0" borderId="0" xfId="0" applyNumberFormat="1" applyFont="1" applyAlignment="1">
      <alignment horizontal="left" vertical="top" wrapText="1"/>
    </xf>
    <xf numFmtId="0" fontId="20" fillId="0" borderId="0" xfId="0" applyNumberFormat="1" applyFont="1" applyAlignment="1">
      <alignment horizontal="left" vertical="top" wrapText="1"/>
    </xf>
    <xf numFmtId="0" fontId="10" fillId="0" borderId="0" xfId="0" applyNumberFormat="1" applyFont="1" applyAlignment="1">
      <alignment vertical="top" wrapText="1"/>
    </xf>
    <xf numFmtId="0" fontId="8" fillId="0" borderId="0" xfId="0" applyNumberFormat="1" applyFont="1" applyAlignment="1">
      <alignment vertical="top" wrapText="1"/>
    </xf>
    <xf numFmtId="0" fontId="10" fillId="0" borderId="12" xfId="0" applyNumberFormat="1" applyFont="1" applyBorder="1" applyAlignment="1">
      <alignment vertical="top" wrapText="1"/>
    </xf>
    <xf numFmtId="0" fontId="0" fillId="0" borderId="0" xfId="0" applyNumberFormat="1" applyAlignment="1">
      <alignment vertical="top" wrapText="1"/>
    </xf>
    <xf numFmtId="0" fontId="0" fillId="0" borderId="0" xfId="0" applyNumberFormat="1" applyAlignment="1">
      <alignment horizontal="center" vertical="center"/>
    </xf>
    <xf numFmtId="0" fontId="0" fillId="0" borderId="0" xfId="0" applyNumberFormat="1" applyAlignment="1">
      <alignment horizontal="center"/>
    </xf>
    <xf numFmtId="0" fontId="27" fillId="12" borderId="12" xfId="6" applyNumberFormat="1" applyFont="1" applyFill="1" applyBorder="1" applyAlignment="1">
      <alignment horizontal="left" textRotation="90" wrapText="1"/>
    </xf>
    <xf numFmtId="0" fontId="16" fillId="6" borderId="12" xfId="6" applyNumberFormat="1" applyFont="1" applyFill="1" applyBorder="1" applyAlignment="1">
      <alignment horizontal="left" textRotation="90" wrapText="1"/>
    </xf>
    <xf numFmtId="0" fontId="27" fillId="5" borderId="0" xfId="6" applyNumberFormat="1" applyFont="1" applyFill="1" applyAlignment="1">
      <alignment horizontal="left" textRotation="90" wrapText="1"/>
    </xf>
    <xf numFmtId="0" fontId="27" fillId="13" borderId="11" xfId="6" applyNumberFormat="1" applyFont="1" applyFill="1" applyBorder="1" applyAlignment="1">
      <alignment horizontal="left" textRotation="90" wrapText="1"/>
    </xf>
    <xf numFmtId="0" fontId="9" fillId="0" borderId="0" xfId="0" applyNumberFormat="1" applyFont="1" applyAlignment="1">
      <alignment horizontal="left" vertical="center" textRotation="90"/>
    </xf>
    <xf numFmtId="0" fontId="33" fillId="0" borderId="0" xfId="0" applyNumberFormat="1" applyFont="1" applyAlignment="1" applyProtection="1">
      <alignment horizontal="center" vertical="top"/>
      <protection locked="0"/>
    </xf>
    <xf numFmtId="0" fontId="26" fillId="11" borderId="12" xfId="0" applyNumberFormat="1" applyFont="1" applyFill="1" applyBorder="1" applyAlignment="1">
      <alignment horizontal="left" vertical="center"/>
    </xf>
    <xf numFmtId="0" fontId="26" fillId="0" borderId="0" xfId="0" applyNumberFormat="1" applyFont="1" applyAlignment="1" applyProtection="1">
      <alignment horizontal="center" vertical="top"/>
      <protection locked="0"/>
    </xf>
    <xf numFmtId="0" fontId="26" fillId="11" borderId="12" xfId="0" applyNumberFormat="1" applyFont="1" applyFill="1" applyBorder="1" applyAlignment="1">
      <alignment horizontal="center" vertical="center"/>
    </xf>
    <xf numFmtId="0" fontId="16" fillId="0" borderId="0" xfId="6" applyNumberFormat="1" applyFont="1" applyFill="1" applyAlignment="1">
      <alignment horizontal="left" textRotation="90" wrapText="1"/>
    </xf>
    <xf numFmtId="0" fontId="13" fillId="0" borderId="0" xfId="0" applyNumberFormat="1" applyFont="1" applyAlignment="1" applyProtection="1">
      <alignment vertical="center"/>
      <protection locked="0"/>
    </xf>
    <xf numFmtId="0" fontId="8" fillId="0" borderId="0" xfId="0" applyNumberFormat="1" applyFont="1" applyAlignment="1">
      <alignment vertical="center"/>
    </xf>
    <xf numFmtId="0" fontId="28" fillId="0" borderId="0" xfId="0" applyNumberFormat="1" applyFont="1" applyAlignment="1">
      <alignment vertical="center"/>
    </xf>
    <xf numFmtId="0" fontId="28" fillId="11" borderId="12" xfId="0" applyNumberFormat="1" applyFont="1" applyFill="1" applyBorder="1" applyAlignment="1">
      <alignment vertical="center"/>
    </xf>
    <xf numFmtId="0" fontId="33" fillId="0" borderId="0" xfId="0" applyNumberFormat="1" applyFont="1" applyAlignment="1" applyProtection="1">
      <alignment horizontal="center" vertical="top" wrapText="1"/>
      <protection locked="0"/>
    </xf>
    <xf numFmtId="0" fontId="26" fillId="11" borderId="12" xfId="0" applyNumberFormat="1" applyFont="1" applyFill="1" applyBorder="1" applyAlignment="1">
      <alignment horizontal="left" vertical="center" wrapText="1"/>
    </xf>
    <xf numFmtId="0" fontId="26" fillId="0" borderId="0" xfId="0" applyNumberFormat="1" applyFont="1" applyAlignment="1" applyProtection="1">
      <alignment horizontal="center" vertical="top" wrapText="1"/>
      <protection locked="0"/>
    </xf>
    <xf numFmtId="0" fontId="26" fillId="11" borderId="12" xfId="0" applyNumberFormat="1" applyFont="1" applyFill="1" applyBorder="1" applyAlignment="1">
      <alignment horizontal="center" vertical="center" wrapText="1"/>
    </xf>
    <xf numFmtId="0" fontId="33" fillId="0" borderId="0" xfId="0" applyNumberFormat="1" applyFont="1" applyAlignment="1" applyProtection="1">
      <alignment horizontal="center"/>
      <protection locked="0"/>
    </xf>
    <xf numFmtId="0" fontId="8" fillId="0" borderId="0" xfId="0" applyNumberFormat="1" applyFont="1" applyAlignment="1">
      <alignment vertical="center" wrapText="1"/>
    </xf>
    <xf numFmtId="0" fontId="28" fillId="0" borderId="0" xfId="0" applyNumberFormat="1" applyFont="1" applyAlignment="1">
      <alignment vertical="center" wrapText="1"/>
    </xf>
    <xf numFmtId="0" fontId="9" fillId="0" borderId="0" xfId="0" applyNumberFormat="1" applyFont="1" applyAlignment="1" applyProtection="1">
      <alignment horizontal="center" vertical="top" wrapText="1"/>
      <protection locked="0"/>
    </xf>
    <xf numFmtId="0" fontId="9" fillId="0" borderId="0" xfId="0" applyNumberFormat="1" applyFont="1" applyAlignment="1" applyProtection="1">
      <alignment vertical="top" wrapText="1"/>
      <protection locked="0"/>
    </xf>
    <xf numFmtId="0" fontId="10" fillId="18" borderId="12" xfId="0" applyNumberFormat="1" applyFont="1" applyFill="1" applyBorder="1" applyAlignment="1">
      <alignment vertical="top" wrapText="1"/>
    </xf>
    <xf numFmtId="0" fontId="10" fillId="0" borderId="12" xfId="0" applyNumberFormat="1" applyFont="1" applyBorder="1" applyAlignment="1" applyProtection="1">
      <alignment vertical="top" wrapText="1"/>
      <protection locked="0"/>
    </xf>
    <xf numFmtId="0" fontId="10" fillId="17" borderId="12" xfId="0" applyNumberFormat="1" applyFont="1" applyFill="1" applyBorder="1" applyAlignment="1" applyProtection="1">
      <alignment vertical="top" wrapText="1"/>
      <protection locked="0"/>
    </xf>
    <xf numFmtId="0" fontId="9" fillId="0" borderId="0" xfId="0" applyNumberFormat="1" applyFont="1" applyAlignment="1" applyProtection="1">
      <alignment horizontal="center"/>
      <protection locked="0"/>
    </xf>
    <xf numFmtId="0" fontId="9" fillId="0" borderId="0" xfId="0" applyNumberFormat="1" applyFont="1" applyAlignment="1" applyProtection="1">
      <alignment vertical="center" wrapText="1"/>
      <protection locked="0"/>
    </xf>
    <xf numFmtId="0" fontId="10" fillId="0" borderId="12" xfId="0" applyNumberFormat="1" applyFont="1" applyBorder="1" applyAlignment="1" applyProtection="1">
      <alignment horizontal="left" vertical="top" wrapText="1"/>
      <protection locked="0"/>
    </xf>
    <xf numFmtId="0" fontId="10" fillId="17" borderId="12" xfId="0" applyNumberFormat="1" applyFont="1" applyFill="1" applyBorder="1" applyAlignment="1" applyProtection="1">
      <alignment horizontal="left" vertical="top" wrapText="1"/>
      <protection locked="0"/>
    </xf>
    <xf numFmtId="0" fontId="23" fillId="0" borderId="0" xfId="0" applyNumberFormat="1" applyFont="1" applyAlignment="1" applyProtection="1">
      <alignment horizontal="center"/>
      <protection locked="0"/>
    </xf>
    <xf numFmtId="0" fontId="9" fillId="0" borderId="0" xfId="0" applyNumberFormat="1" applyFont="1" applyProtection="1">
      <protection locked="0"/>
    </xf>
    <xf numFmtId="0" fontId="8" fillId="0" borderId="0" xfId="0" applyNumberFormat="1" applyFont="1" applyProtection="1">
      <protection locked="0"/>
    </xf>
    <xf numFmtId="0" fontId="8" fillId="0" borderId="0" xfId="0" applyNumberFormat="1" applyFont="1" applyAlignment="1" applyProtection="1">
      <alignment vertical="center"/>
      <protection locked="0"/>
    </xf>
    <xf numFmtId="0" fontId="27" fillId="15" borderId="12" xfId="6" applyNumberFormat="1" applyFont="1" applyFill="1" applyBorder="1" applyAlignment="1">
      <alignment horizontal="left" textRotation="90" wrapText="1"/>
    </xf>
    <xf numFmtId="0" fontId="16" fillId="6" borderId="17" xfId="6" applyNumberFormat="1" applyFont="1" applyFill="1" applyBorder="1" applyAlignment="1">
      <alignment horizontal="left" textRotation="90" wrapText="1"/>
    </xf>
    <xf numFmtId="0" fontId="27" fillId="13" borderId="12" xfId="6" applyNumberFormat="1" applyFont="1" applyFill="1" applyBorder="1" applyAlignment="1">
      <alignment horizontal="left" textRotation="90" wrapText="1"/>
    </xf>
    <xf numFmtId="0" fontId="3" fillId="0" borderId="0" xfId="0" applyNumberFormat="1" applyFont="1" applyAlignment="1">
      <alignment horizontal="left" textRotation="90"/>
    </xf>
    <xf numFmtId="0" fontId="19" fillId="0" borderId="0" xfId="0" applyNumberFormat="1" applyFont="1" applyAlignment="1" applyProtection="1">
      <alignment horizontal="left" vertical="top"/>
      <protection locked="0"/>
    </xf>
    <xf numFmtId="0" fontId="14" fillId="0" borderId="0" xfId="0" applyNumberFormat="1" applyFont="1" applyAlignment="1" applyProtection="1">
      <alignment vertical="center"/>
      <protection locked="0"/>
    </xf>
    <xf numFmtId="0" fontId="19" fillId="0" borderId="0" xfId="0" applyNumberFormat="1" applyFont="1" applyAlignment="1" applyProtection="1">
      <alignment horizontal="left" vertical="top" wrapText="1"/>
      <protection locked="0"/>
    </xf>
    <xf numFmtId="0" fontId="14" fillId="0" borderId="0" xfId="0" applyNumberFormat="1" applyFont="1" applyAlignment="1">
      <alignment vertical="top" wrapText="1"/>
    </xf>
    <xf numFmtId="0" fontId="10" fillId="16" borderId="12" xfId="0" applyNumberFormat="1" applyFont="1" applyFill="1" applyBorder="1" applyAlignment="1" applyProtection="1">
      <alignment horizontal="fill" vertical="top" wrapText="1"/>
      <protection locked="0"/>
    </xf>
    <xf numFmtId="0" fontId="8" fillId="0" borderId="0" xfId="0" applyNumberFormat="1" applyFont="1" applyAlignment="1">
      <alignment horizontal="right" vertical="center"/>
    </xf>
    <xf numFmtId="0" fontId="27" fillId="5" borderId="12" xfId="6" applyNumberFormat="1" applyFont="1" applyFill="1" applyBorder="1" applyAlignment="1">
      <alignment horizontal="left" textRotation="90" wrapText="1"/>
    </xf>
    <xf numFmtId="0" fontId="9" fillId="0" borderId="0" xfId="0" applyNumberFormat="1" applyFont="1" applyAlignment="1" applyProtection="1">
      <alignment vertical="center"/>
      <protection locked="0"/>
    </xf>
    <xf numFmtId="0" fontId="9" fillId="16" borderId="12" xfId="0" applyNumberFormat="1" applyFont="1" applyFill="1" applyBorder="1" applyAlignment="1" applyProtection="1">
      <alignment vertical="top" wrapText="1"/>
      <protection locked="0"/>
    </xf>
    <xf numFmtId="0" fontId="1" fillId="0" borderId="12" xfId="0" applyNumberFormat="1" applyFont="1" applyBorder="1" applyAlignment="1" applyProtection="1">
      <alignment vertical="top" wrapText="1"/>
      <protection locked="0"/>
    </xf>
    <xf numFmtId="0" fontId="9" fillId="17" borderId="12" xfId="0" applyNumberFormat="1" applyFont="1" applyFill="1" applyBorder="1" applyAlignment="1" applyProtection="1">
      <alignment vertical="top" wrapText="1"/>
      <protection locked="0"/>
    </xf>
    <xf numFmtId="0" fontId="0" fillId="0" borderId="0" xfId="0" applyNumberFormat="1"/>
    <xf numFmtId="0" fontId="16" fillId="0" borderId="17" xfId="6" applyNumberFormat="1" applyFont="1" applyFill="1" applyBorder="1" applyAlignment="1">
      <alignment horizontal="left" textRotation="90" wrapText="1"/>
    </xf>
    <xf numFmtId="0" fontId="9" fillId="0" borderId="0" xfId="0" applyNumberFormat="1" applyFont="1" applyAlignment="1">
      <alignment horizontal="left" vertical="center"/>
    </xf>
    <xf numFmtId="0" fontId="9" fillId="0" borderId="0" xfId="0" applyNumberFormat="1" applyFont="1" applyAlignment="1" applyProtection="1">
      <alignment horizontal="center" vertical="top"/>
      <protection locked="0"/>
    </xf>
    <xf numFmtId="0" fontId="19" fillId="0" borderId="0" xfId="0" applyNumberFormat="1" applyFont="1" applyAlignment="1" applyProtection="1">
      <alignment horizontal="center" vertical="top"/>
      <protection locked="0"/>
    </xf>
    <xf numFmtId="0" fontId="19" fillId="0" borderId="0" xfId="0" applyNumberFormat="1" applyFont="1" applyAlignment="1" applyProtection="1">
      <alignment horizontal="center" vertical="top" wrapText="1"/>
      <protection locked="0"/>
    </xf>
    <xf numFmtId="0" fontId="2" fillId="0" borderId="0" xfId="0" applyNumberFormat="1" applyFont="1" applyAlignment="1" applyProtection="1">
      <alignment horizontal="center" vertical="top" wrapText="1"/>
      <protection locked="0"/>
    </xf>
    <xf numFmtId="0" fontId="2" fillId="0" borderId="0" xfId="0" applyNumberFormat="1" applyFont="1" applyAlignment="1" applyProtection="1">
      <alignment vertical="top" wrapText="1"/>
      <protection locked="0"/>
    </xf>
    <xf numFmtId="0" fontId="25" fillId="0" borderId="12" xfId="4" applyNumberFormat="1" applyFont="1" applyBorder="1" applyAlignment="1" applyProtection="1">
      <alignment horizontal="fill" vertical="top" wrapText="1"/>
      <protection locked="0"/>
    </xf>
    <xf numFmtId="0" fontId="10" fillId="8" borderId="12" xfId="0" applyNumberFormat="1" applyFont="1" applyFill="1" applyBorder="1" applyAlignment="1">
      <alignment horizontal="left" vertical="top" wrapText="1"/>
    </xf>
    <xf numFmtId="0" fontId="8" fillId="0" borderId="0" xfId="0" applyNumberFormat="1" applyFont="1" applyAlignment="1" applyProtection="1">
      <alignment vertical="top" wrapText="1"/>
      <protection locked="0"/>
    </xf>
    <xf numFmtId="0" fontId="8" fillId="0" borderId="0" xfId="0" applyNumberFormat="1" applyFont="1" applyAlignment="1" applyProtection="1">
      <alignment wrapText="1"/>
      <protection locked="0"/>
    </xf>
    <xf numFmtId="0" fontId="4" fillId="0" borderId="0" xfId="0" applyNumberFormat="1" applyFont="1"/>
    <xf numFmtId="0" fontId="16" fillId="4" borderId="12" xfId="6" applyNumberFormat="1" applyFont="1" applyFill="1" applyBorder="1" applyAlignment="1">
      <alignment horizontal="left" textRotation="90" wrapText="1"/>
    </xf>
    <xf numFmtId="0" fontId="16" fillId="4" borderId="14" xfId="6" applyNumberFormat="1" applyFont="1" applyFill="1" applyBorder="1" applyAlignment="1">
      <alignment horizontal="left" textRotation="90" wrapText="1"/>
    </xf>
    <xf numFmtId="0" fontId="16" fillId="4" borderId="15" xfId="6" applyNumberFormat="1" applyFont="1" applyFill="1" applyBorder="1" applyAlignment="1">
      <alignment horizontal="left" textRotation="90" wrapText="1"/>
    </xf>
    <xf numFmtId="0" fontId="27" fillId="13" borderId="15" xfId="6" applyNumberFormat="1" applyFont="1" applyFill="1" applyBorder="1" applyAlignment="1">
      <alignment horizontal="left" textRotation="90" wrapText="1"/>
    </xf>
    <xf numFmtId="0" fontId="27" fillId="5" borderId="15" xfId="6" applyNumberFormat="1" applyFont="1" applyFill="1" applyBorder="1" applyAlignment="1">
      <alignment horizontal="left" textRotation="90" wrapText="1"/>
    </xf>
    <xf numFmtId="0" fontId="9" fillId="0" borderId="0" xfId="0" applyNumberFormat="1" applyFont="1" applyAlignment="1" applyProtection="1">
      <alignment horizontal="left" vertical="center"/>
      <protection locked="0"/>
    </xf>
    <xf numFmtId="0" fontId="23" fillId="0" borderId="0" xfId="0" applyNumberFormat="1" applyFont="1" applyAlignment="1" applyProtection="1">
      <alignment horizontal="center" vertical="top" wrapText="1"/>
      <protection locked="0"/>
    </xf>
    <xf numFmtId="0" fontId="23" fillId="0" borderId="0" xfId="0" applyNumberFormat="1" applyFont="1" applyAlignment="1" applyProtection="1">
      <alignment horizontal="left" vertical="top" wrapText="1"/>
      <protection locked="0"/>
    </xf>
    <xf numFmtId="0" fontId="13" fillId="0" borderId="12" xfId="0" applyNumberFormat="1" applyFont="1" applyBorder="1" applyAlignment="1" applyProtection="1">
      <alignment vertical="top" wrapText="1"/>
      <protection locked="0"/>
    </xf>
    <xf numFmtId="0" fontId="18" fillId="0" borderId="12" xfId="4" applyNumberFormat="1" applyFont="1" applyBorder="1" applyAlignment="1" applyProtection="1">
      <alignment vertical="top" wrapText="1"/>
      <protection locked="0"/>
    </xf>
    <xf numFmtId="0" fontId="17" fillId="0" borderId="0" xfId="4" applyNumberFormat="1" applyAlignment="1">
      <alignment vertical="top" wrapText="1"/>
    </xf>
    <xf numFmtId="0" fontId="8" fillId="0" borderId="0" xfId="0" applyNumberFormat="1" applyFont="1" applyAlignment="1" applyProtection="1">
      <alignment horizontal="center" vertical="center"/>
      <protection locked="0"/>
    </xf>
    <xf numFmtId="0" fontId="8" fillId="0" borderId="0" xfId="0" applyNumberFormat="1" applyFont="1" applyAlignment="1" applyProtection="1">
      <alignment horizontal="right" vertical="center"/>
      <protection locked="0"/>
    </xf>
    <xf numFmtId="0" fontId="15" fillId="12" borderId="0" xfId="0" applyNumberFormat="1" applyFont="1" applyFill="1" applyAlignment="1">
      <alignment horizontal="left" vertical="center"/>
    </xf>
    <xf numFmtId="0" fontId="15" fillId="12" borderId="0" xfId="0" applyNumberFormat="1" applyFont="1" applyFill="1" applyAlignment="1">
      <alignment vertical="center"/>
    </xf>
    <xf numFmtId="0" fontId="21" fillId="0" borderId="0" xfId="0" applyNumberFormat="1" applyFont="1" applyAlignment="1">
      <alignment vertical="center"/>
    </xf>
    <xf numFmtId="0" fontId="11" fillId="0" borderId="0" xfId="0" applyNumberFormat="1" applyFont="1" applyAlignment="1">
      <alignment horizontal="center" vertical="top"/>
    </xf>
    <xf numFmtId="0" fontId="9" fillId="0" borderId="0" xfId="0" applyNumberFormat="1" applyFont="1" applyAlignment="1">
      <alignment vertical="top"/>
    </xf>
    <xf numFmtId="0" fontId="9" fillId="0" borderId="0" xfId="0" applyNumberFormat="1" applyFont="1" applyAlignment="1">
      <alignment vertical="top" wrapText="1"/>
    </xf>
    <xf numFmtId="0" fontId="21" fillId="0" borderId="0" xfId="0" applyNumberFormat="1" applyFont="1" applyAlignment="1">
      <alignment horizontal="center" vertical="center"/>
    </xf>
    <xf numFmtId="0" fontId="15" fillId="12" borderId="14" xfId="0" applyNumberFormat="1" applyFont="1" applyFill="1" applyBorder="1" applyAlignment="1">
      <alignment vertical="center"/>
    </xf>
    <xf numFmtId="0" fontId="15" fillId="12" borderId="15" xfId="0" applyNumberFormat="1" applyFont="1" applyFill="1" applyBorder="1" applyAlignment="1">
      <alignment vertical="center"/>
    </xf>
    <xf numFmtId="0" fontId="15" fillId="12" borderId="11" xfId="0" applyNumberFormat="1" applyFont="1" applyFill="1" applyBorder="1" applyAlignment="1">
      <alignment vertical="center"/>
    </xf>
    <xf numFmtId="0" fontId="9" fillId="0" borderId="0" xfId="0" applyNumberFormat="1" applyFont="1" applyAlignment="1">
      <alignment horizontal="center" vertical="top"/>
    </xf>
    <xf numFmtId="0" fontId="2" fillId="0" borderId="0" xfId="0" applyNumberFormat="1" applyFont="1" applyAlignment="1">
      <alignment vertical="top"/>
    </xf>
    <xf numFmtId="0" fontId="11" fillId="0" borderId="0" xfId="0" applyNumberFormat="1" applyFont="1" applyAlignment="1">
      <alignment vertical="top"/>
    </xf>
    <xf numFmtId="0" fontId="27" fillId="0" borderId="17" xfId="0" applyNumberFormat="1" applyFont="1" applyBorder="1" applyAlignment="1">
      <alignment horizontal="center" vertical="center"/>
    </xf>
    <xf numFmtId="0" fontId="1" fillId="0" borderId="0" xfId="0" applyNumberFormat="1" applyFont="1" applyAlignment="1">
      <alignment vertical="top"/>
    </xf>
    <xf numFmtId="0" fontId="27" fillId="0" borderId="13" xfId="0" applyNumberFormat="1" applyFont="1" applyBorder="1" applyAlignment="1">
      <alignment horizontal="center" vertical="center"/>
    </xf>
    <xf numFmtId="0" fontId="27" fillId="8" borderId="12" xfId="0" applyNumberFormat="1" applyFont="1" applyFill="1" applyBorder="1" applyAlignment="1">
      <alignment horizontal="center" vertical="center"/>
    </xf>
    <xf numFmtId="0" fontId="27" fillId="3" borderId="12" xfId="0" applyNumberFormat="1" applyFont="1" applyFill="1" applyBorder="1" applyAlignment="1">
      <alignment horizontal="center" vertical="center"/>
    </xf>
    <xf numFmtId="0" fontId="27" fillId="17" borderId="12" xfId="0" applyNumberFormat="1" applyFont="1" applyFill="1" applyBorder="1" applyAlignment="1">
      <alignment horizontal="center" vertical="center"/>
    </xf>
    <xf numFmtId="0" fontId="27" fillId="14" borderId="12" xfId="0" applyNumberFormat="1" applyFont="1" applyFill="1" applyBorder="1" applyAlignment="1">
      <alignment horizontal="center" vertical="center"/>
    </xf>
    <xf numFmtId="0" fontId="27" fillId="12" borderId="12" xfId="6" applyNumberFormat="1" applyFont="1" applyFill="1" applyBorder="1" applyAlignment="1">
      <alignment horizontal="center" textRotation="90" wrapText="1"/>
    </xf>
    <xf numFmtId="0" fontId="16" fillId="6" borderId="12" xfId="6" applyNumberFormat="1" applyFont="1" applyFill="1" applyBorder="1" applyAlignment="1">
      <alignment horizontal="center" textRotation="90"/>
    </xf>
    <xf numFmtId="0" fontId="11" fillId="0" borderId="0" xfId="0" applyNumberFormat="1" applyFont="1" applyAlignment="1">
      <alignment vertical="top" wrapText="1"/>
    </xf>
    <xf numFmtId="0" fontId="11" fillId="0" borderId="0" xfId="0" applyNumberFormat="1" applyFont="1" applyAlignment="1">
      <alignment horizontal="center" vertical="center"/>
    </xf>
    <xf numFmtId="0" fontId="27" fillId="14" borderId="17" xfId="0" applyNumberFormat="1" applyFont="1" applyFill="1" applyBorder="1" applyAlignment="1">
      <alignment horizontal="center" vertical="center"/>
    </xf>
    <xf numFmtId="0" fontId="9" fillId="0" borderId="16" xfId="0" applyNumberFormat="1" applyFont="1" applyBorder="1" applyAlignment="1">
      <alignment vertical="center"/>
    </xf>
    <xf numFmtId="0" fontId="9" fillId="0" borderId="0" xfId="0" applyNumberFormat="1" applyFont="1" applyAlignment="1">
      <alignment vertical="center"/>
    </xf>
    <xf numFmtId="0" fontId="9" fillId="0" borderId="0" xfId="0" applyNumberFormat="1" applyFont="1" applyAlignment="1">
      <alignment vertical="center" wrapText="1"/>
    </xf>
    <xf numFmtId="0" fontId="27" fillId="14" borderId="13" xfId="0" applyNumberFormat="1" applyFont="1" applyFill="1" applyBorder="1" applyAlignment="1">
      <alignment horizontal="center" vertical="center"/>
    </xf>
    <xf numFmtId="0" fontId="2" fillId="0" borderId="16" xfId="0" applyNumberFormat="1" applyFont="1" applyBorder="1" applyAlignment="1">
      <alignment horizontal="left" vertical="center" indent="1"/>
    </xf>
    <xf numFmtId="0" fontId="27" fillId="14" borderId="18" xfId="0" applyNumberFormat="1" applyFont="1" applyFill="1" applyBorder="1" applyAlignment="1">
      <alignment horizontal="center" vertical="center"/>
    </xf>
    <xf numFmtId="0" fontId="2" fillId="0" borderId="0" xfId="0" applyNumberFormat="1" applyFont="1" applyAlignment="1">
      <alignment horizontal="left" vertical="center" indent="1"/>
    </xf>
    <xf numFmtId="0" fontId="2" fillId="0" borderId="0" xfId="0" applyNumberFormat="1" applyFont="1" applyAlignment="1">
      <alignment vertical="center"/>
    </xf>
    <xf numFmtId="0" fontId="9" fillId="0" borderId="16" xfId="0" applyNumberFormat="1" applyFont="1" applyBorder="1" applyAlignment="1">
      <alignment horizontal="left" vertical="center" indent="1"/>
    </xf>
    <xf numFmtId="0" fontId="1" fillId="0" borderId="0" xfId="0" applyNumberFormat="1" applyFont="1" applyAlignment="1">
      <alignment horizontal="left" vertical="center" indent="1"/>
    </xf>
    <xf numFmtId="0" fontId="2" fillId="0" borderId="16" xfId="0" applyNumberFormat="1" applyFont="1" applyBorder="1" applyAlignment="1">
      <alignment vertical="center"/>
    </xf>
    <xf numFmtId="0" fontId="9" fillId="0" borderId="0" xfId="0" applyNumberFormat="1" applyFont="1" applyAlignment="1">
      <alignment horizontal="left" vertical="center" indent="1"/>
    </xf>
    <xf numFmtId="0" fontId="15" fillId="13" borderId="14" xfId="0" applyNumberFormat="1" applyFont="1" applyFill="1" applyBorder="1" applyAlignment="1">
      <alignment vertical="center"/>
    </xf>
    <xf numFmtId="0" fontId="15" fillId="13" borderId="15" xfId="0" applyNumberFormat="1" applyFont="1" applyFill="1" applyBorder="1" applyAlignment="1">
      <alignment vertical="center"/>
    </xf>
    <xf numFmtId="0" fontId="15" fillId="13" borderId="11" xfId="0" applyNumberFormat="1" applyFont="1" applyFill="1" applyBorder="1" applyAlignment="1">
      <alignment vertical="center"/>
    </xf>
    <xf numFmtId="0" fontId="11" fillId="0" borderId="0" xfId="0" applyNumberFormat="1" applyFont="1" applyAlignment="1">
      <alignment horizontal="center"/>
    </xf>
    <xf numFmtId="0" fontId="27" fillId="13" borderId="12" xfId="6" applyNumberFormat="1" applyFont="1" applyFill="1" applyBorder="1" applyAlignment="1">
      <alignment horizontal="center" textRotation="90" wrapText="1"/>
    </xf>
    <xf numFmtId="0" fontId="16" fillId="6" borderId="12" xfId="6" applyNumberFormat="1" applyFont="1" applyFill="1" applyBorder="1" applyAlignment="1">
      <alignment horizontal="center" textRotation="90" wrapText="1"/>
    </xf>
    <xf numFmtId="0" fontId="9" fillId="0" borderId="0" xfId="0" applyNumberFormat="1" applyFont="1" applyAlignment="1">
      <alignment horizontal="center"/>
    </xf>
    <xf numFmtId="0" fontId="30" fillId="4" borderId="14" xfId="0" applyNumberFormat="1" applyFont="1" applyFill="1" applyBorder="1" applyAlignment="1">
      <alignment vertical="center"/>
    </xf>
    <xf numFmtId="0" fontId="30" fillId="4" borderId="15" xfId="0" applyNumberFormat="1" applyFont="1" applyFill="1" applyBorder="1" applyAlignment="1">
      <alignment vertical="center"/>
    </xf>
    <xf numFmtId="0" fontId="32" fillId="0" borderId="0" xfId="0" applyNumberFormat="1" applyFont="1" applyAlignment="1">
      <alignment vertical="center"/>
    </xf>
    <xf numFmtId="0" fontId="27" fillId="14" borderId="0" xfId="0" applyNumberFormat="1" applyFont="1" applyFill="1" applyAlignment="1">
      <alignment horizontal="center" vertical="center"/>
    </xf>
    <xf numFmtId="0" fontId="27" fillId="14" borderId="14" xfId="0" applyNumberFormat="1" applyFont="1" applyFill="1" applyBorder="1" applyAlignment="1">
      <alignment horizontal="centerContinuous" vertical="center"/>
    </xf>
    <xf numFmtId="0" fontId="27" fillId="14" borderId="15" xfId="0" applyNumberFormat="1" applyFont="1" applyFill="1" applyBorder="1" applyAlignment="1">
      <alignment horizontal="centerContinuous" vertical="center"/>
    </xf>
    <xf numFmtId="0" fontId="27" fillId="14" borderId="11" xfId="0" applyNumberFormat="1" applyFont="1" applyFill="1" applyBorder="1" applyAlignment="1">
      <alignment horizontal="centerContinuous" vertical="center"/>
    </xf>
    <xf numFmtId="0" fontId="16" fillId="4" borderId="12" xfId="6" applyNumberFormat="1" applyFont="1" applyFill="1" applyBorder="1" applyAlignment="1">
      <alignment horizontal="center" textRotation="90" wrapText="1"/>
    </xf>
    <xf numFmtId="0" fontId="16" fillId="4" borderId="14" xfId="6" applyNumberFormat="1" applyFont="1" applyFill="1" applyBorder="1" applyAlignment="1">
      <alignment horizontal="center" textRotation="90" wrapText="1"/>
    </xf>
    <xf numFmtId="0" fontId="16" fillId="4" borderId="15" xfId="6" applyNumberFormat="1" applyFont="1" applyFill="1" applyBorder="1" applyAlignment="1">
      <alignment horizontal="center" textRotation="90" wrapText="1"/>
    </xf>
    <xf numFmtId="0" fontId="27" fillId="13" borderId="15" xfId="6" applyNumberFormat="1" applyFont="1" applyFill="1" applyBorder="1" applyAlignment="1">
      <alignment horizontal="center" textRotation="90" wrapText="1"/>
    </xf>
    <xf numFmtId="0" fontId="27" fillId="5" borderId="15" xfId="6" applyNumberFormat="1" applyFont="1" applyFill="1" applyBorder="1" applyAlignment="1">
      <alignment horizontal="center" textRotation="90" wrapText="1"/>
    </xf>
    <xf numFmtId="0" fontId="16" fillId="4" borderId="14" xfId="0" applyNumberFormat="1" applyFont="1" applyFill="1" applyBorder="1" applyAlignment="1">
      <alignment vertical="center"/>
    </xf>
    <xf numFmtId="0" fontId="16" fillId="4" borderId="15" xfId="0" applyNumberFormat="1" applyFont="1" applyFill="1" applyBorder="1" applyAlignment="1">
      <alignment vertical="center"/>
    </xf>
    <xf numFmtId="0" fontId="9" fillId="0" borderId="0" xfId="0" applyNumberFormat="1" applyFont="1" applyAlignment="1">
      <alignment horizontal="center" vertical="top" wrapText="1"/>
    </xf>
    <xf numFmtId="0" fontId="16" fillId="4" borderId="11" xfId="0" applyNumberFormat="1" applyFont="1" applyFill="1" applyBorder="1" applyAlignment="1">
      <alignment vertical="center"/>
    </xf>
    <xf numFmtId="0" fontId="11" fillId="0" borderId="0" xfId="0" applyNumberFormat="1" applyFont="1" applyAlignment="1">
      <alignment vertical="center"/>
    </xf>
    <xf numFmtId="0" fontId="16" fillId="6" borderId="17" xfId="6" applyNumberFormat="1" applyFont="1" applyFill="1" applyBorder="1" applyAlignment="1">
      <alignment horizontal="center" textRotation="90" wrapText="1"/>
    </xf>
    <xf numFmtId="0" fontId="9" fillId="0" borderId="0" xfId="0" applyNumberFormat="1" applyFont="1" applyAlignment="1">
      <alignment horizontal="left" vertical="top"/>
    </xf>
    <xf numFmtId="0" fontId="9" fillId="0" borderId="0" xfId="0" applyNumberFormat="1" applyFont="1" applyAlignment="1">
      <alignment horizontal="left" vertical="top" wrapText="1"/>
    </xf>
    <xf numFmtId="0" fontId="21" fillId="0" borderId="0" xfId="0" applyNumberFormat="1" applyFont="1" applyAlignment="1">
      <alignment horizontal="center" vertical="top"/>
    </xf>
    <xf numFmtId="0" fontId="15" fillId="5" borderId="14" xfId="0" applyNumberFormat="1" applyFont="1" applyFill="1" applyBorder="1" applyAlignment="1">
      <alignment horizontal="left" vertical="center"/>
    </xf>
    <xf numFmtId="0" fontId="15" fillId="5" borderId="15" xfId="0" applyNumberFormat="1" applyFont="1" applyFill="1" applyBorder="1" applyAlignment="1">
      <alignment horizontal="left" vertical="center"/>
    </xf>
    <xf numFmtId="0" fontId="15" fillId="5" borderId="11" xfId="0" applyNumberFormat="1" applyFont="1" applyFill="1" applyBorder="1" applyAlignment="1">
      <alignment horizontal="left" vertical="center"/>
    </xf>
    <xf numFmtId="0" fontId="20" fillId="0" borderId="0" xfId="0" applyNumberFormat="1" applyFont="1" applyAlignment="1">
      <alignment horizontal="left" vertical="top"/>
    </xf>
    <xf numFmtId="0" fontId="27" fillId="5" borderId="12" xfId="6" applyNumberFormat="1" applyFont="1" applyFill="1" applyBorder="1" applyAlignment="1">
      <alignment horizontal="center" textRotation="90" wrapText="1"/>
    </xf>
    <xf numFmtId="0" fontId="16" fillId="0" borderId="12" xfId="6" applyNumberFormat="1" applyFont="1" applyFill="1" applyBorder="1" applyAlignment="1">
      <alignment horizontal="center" textRotation="90" wrapText="1"/>
    </xf>
    <xf numFmtId="0" fontId="16" fillId="0" borderId="0" xfId="6" applyNumberFormat="1" applyFont="1" applyFill="1" applyAlignment="1">
      <alignment horizontal="center" textRotation="90" wrapText="1"/>
    </xf>
    <xf numFmtId="0" fontId="27" fillId="5" borderId="14" xfId="0" applyNumberFormat="1" applyFont="1" applyFill="1" applyBorder="1" applyAlignment="1">
      <alignment vertical="center"/>
    </xf>
    <xf numFmtId="0" fontId="27" fillId="5" borderId="15" xfId="0" applyNumberFormat="1" applyFont="1" applyFill="1" applyBorder="1" applyAlignment="1">
      <alignment vertical="center"/>
    </xf>
    <xf numFmtId="0" fontId="27" fillId="5" borderId="11" xfId="0" applyNumberFormat="1" applyFont="1" applyFill="1" applyBorder="1" applyAlignment="1">
      <alignment vertical="center"/>
    </xf>
    <xf numFmtId="0" fontId="27" fillId="5" borderId="0" xfId="6" applyNumberFormat="1" applyFont="1" applyFill="1" applyAlignment="1">
      <alignment horizontal="center" textRotation="90" wrapText="1"/>
    </xf>
    <xf numFmtId="0" fontId="15" fillId="5" borderId="0" xfId="0" applyNumberFormat="1" applyFont="1" applyFill="1" applyAlignment="1">
      <alignment horizontal="left" vertical="center"/>
    </xf>
    <xf numFmtId="0" fontId="15" fillId="15" borderId="0" xfId="0" applyNumberFormat="1" applyFont="1" applyFill="1" applyAlignment="1">
      <alignment horizontal="left" vertical="center"/>
    </xf>
    <xf numFmtId="0" fontId="31" fillId="0" borderId="0" xfId="0" applyNumberFormat="1" applyFont="1" applyAlignment="1">
      <alignment horizontal="center" vertical="center"/>
    </xf>
    <xf numFmtId="0" fontId="27" fillId="15" borderId="12" xfId="6" applyNumberFormat="1" applyFont="1" applyFill="1" applyBorder="1" applyAlignment="1">
      <alignment horizontal="center" textRotation="90" wrapText="1"/>
    </xf>
    <xf numFmtId="0" fontId="16" fillId="0" borderId="0" xfId="0" applyNumberFormat="1" applyFont="1" applyAlignment="1">
      <alignment horizontal="center" textRotation="90"/>
    </xf>
    <xf numFmtId="0" fontId="16" fillId="0" borderId="0" xfId="0" applyNumberFormat="1" applyFont="1" applyAlignment="1">
      <alignment horizontal="left" textRotation="90"/>
    </xf>
    <xf numFmtId="0" fontId="21" fillId="0" borderId="0" xfId="0" applyNumberFormat="1" applyFont="1" applyAlignment="1">
      <alignment vertical="top"/>
    </xf>
    <xf numFmtId="0" fontId="1" fillId="0" borderId="0" xfId="0" applyNumberFormat="1" applyFont="1" applyAlignment="1">
      <alignment vertical="top" wrapText="1"/>
    </xf>
    <xf numFmtId="0" fontId="1" fillId="9" borderId="0" xfId="0" applyNumberFormat="1" applyFont="1" applyFill="1" applyAlignment="1" applyProtection="1">
      <alignment horizontal="left" vertical="top" wrapText="1"/>
      <protection locked="0"/>
    </xf>
    <xf numFmtId="0" fontId="8" fillId="0" borderId="0" xfId="0" applyNumberFormat="1" applyFont="1" applyProtection="1">
      <protection locked="0"/>
    </xf>
    <xf numFmtId="0" fontId="22" fillId="0" borderId="0" xfId="0" applyNumberFormat="1" applyFont="1" applyAlignment="1">
      <alignment vertical="center" wrapText="1"/>
    </xf>
    <xf numFmtId="0" fontId="29" fillId="0" borderId="0" xfId="0" applyNumberFormat="1" applyFont="1" applyAlignment="1">
      <alignment horizontal="left" vertical="center" wrapText="1" readingOrder="1"/>
    </xf>
    <xf numFmtId="0" fontId="1" fillId="0" borderId="0" xfId="0" applyNumberFormat="1" applyFont="1" applyAlignment="1">
      <alignment vertical="center" wrapText="1"/>
    </xf>
    <xf numFmtId="0" fontId="35" fillId="0" borderId="0" xfId="0" applyNumberFormat="1" applyFont="1" applyAlignment="1">
      <alignment vertical="center" wrapText="1"/>
    </xf>
    <xf numFmtId="0" fontId="1" fillId="0" borderId="0" xfId="0" applyNumberFormat="1" applyFont="1" applyAlignment="1">
      <alignment horizontal="left" vertical="top" wrapText="1"/>
    </xf>
    <xf numFmtId="0" fontId="36" fillId="0" borderId="0" xfId="4" applyNumberFormat="1" applyFont="1" applyAlignment="1">
      <alignment horizontal="left" vertical="top"/>
    </xf>
    <xf numFmtId="0" fontId="1" fillId="0" borderId="0" xfId="0" applyNumberFormat="1" applyFont="1" applyAlignment="1">
      <alignment horizontal="left" vertical="top" wrapText="1"/>
    </xf>
    <xf numFmtId="0" fontId="1" fillId="0" borderId="0" xfId="0" applyNumberFormat="1" applyFont="1" applyAlignment="1">
      <alignment horizontal="left" vertical="top"/>
    </xf>
    <xf numFmtId="0" fontId="18" fillId="0" borderId="0" xfId="4" applyNumberFormat="1" applyFont="1" applyAlignment="1">
      <alignment horizontal="left" vertical="top" wrapText="1"/>
    </xf>
    <xf numFmtId="0" fontId="27" fillId="19" borderId="12" xfId="0" applyNumberFormat="1" applyFont="1" applyFill="1" applyBorder="1" applyAlignment="1">
      <alignment vertical="center"/>
    </xf>
    <xf numFmtId="0" fontId="11" fillId="3" borderId="12" xfId="0" applyNumberFormat="1" applyFont="1" applyFill="1" applyBorder="1" applyAlignment="1">
      <alignment horizontal="left" vertical="center"/>
    </xf>
    <xf numFmtId="0" fontId="27" fillId="19" borderId="12" xfId="0" applyNumberFormat="1" applyFont="1" applyFill="1" applyBorder="1" applyAlignment="1">
      <alignment horizontal="left" vertical="center"/>
    </xf>
    <xf numFmtId="0" fontId="10" fillId="0" borderId="13" xfId="0" applyNumberFormat="1" applyFont="1" applyBorder="1" applyAlignment="1">
      <alignment horizontal="left" vertical="top"/>
    </xf>
    <xf numFmtId="0" fontId="0" fillId="0" borderId="0" xfId="0" applyNumberFormat="1" applyAlignment="1">
      <alignment vertical="top"/>
    </xf>
    <xf numFmtId="0" fontId="10" fillId="0" borderId="12" xfId="0" applyNumberFormat="1" applyFont="1" applyBorder="1" applyAlignment="1">
      <alignment horizontal="left" vertical="top"/>
    </xf>
    <xf numFmtId="0" fontId="10" fillId="9" borderId="12" xfId="0" applyNumberFormat="1" applyFont="1" applyFill="1" applyBorder="1" applyAlignment="1">
      <alignment horizontal="left" vertical="top"/>
    </xf>
    <xf numFmtId="0" fontId="10" fillId="9" borderId="12" xfId="0" applyNumberFormat="1" applyFont="1" applyFill="1" applyBorder="1" applyAlignment="1" applyProtection="1">
      <alignment horizontal="left" vertical="top"/>
      <protection locked="0"/>
    </xf>
    <xf numFmtId="0" fontId="10" fillId="9" borderId="12" xfId="0" applyNumberFormat="1" applyFont="1" applyFill="1" applyBorder="1" applyAlignment="1" applyProtection="1">
      <alignment horizontal="left" vertical="top" wrapText="1"/>
      <protection locked="0"/>
    </xf>
    <xf numFmtId="0" fontId="10" fillId="6" borderId="12" xfId="0" applyNumberFormat="1" applyFont="1" applyFill="1" applyBorder="1" applyAlignment="1" applyProtection="1">
      <alignment horizontal="left" vertical="top" wrapText="1"/>
      <protection locked="0"/>
    </xf>
    <xf numFmtId="0" fontId="0" fillId="0" borderId="0" xfId="0" applyNumberFormat="1" applyAlignment="1">
      <alignment wrapText="1"/>
    </xf>
    <xf numFmtId="0" fontId="10" fillId="16" borderId="12" xfId="0" applyNumberFormat="1" applyFont="1" applyFill="1" applyBorder="1" applyAlignment="1" applyProtection="1">
      <alignment vertical="top" wrapText="1"/>
      <protection locked="0"/>
    </xf>
    <xf numFmtId="0" fontId="10" fillId="0" borderId="0" xfId="0" applyNumberFormat="1" applyFont="1" applyAlignment="1" applyProtection="1">
      <alignment vertical="top" wrapText="1"/>
      <protection locked="0"/>
    </xf>
    <xf numFmtId="0" fontId="14" fillId="0" borderId="0" xfId="0" applyNumberFormat="1" applyFont="1" applyAlignment="1" applyProtection="1">
      <alignment vertical="top" wrapText="1"/>
      <protection locked="0"/>
    </xf>
    <xf numFmtId="0" fontId="9" fillId="0" borderId="0" xfId="0" applyNumberFormat="1" applyFont="1" applyAlignment="1" applyProtection="1">
      <alignment horizontal="center" wrapText="1"/>
      <protection locked="0"/>
    </xf>
    <xf numFmtId="0" fontId="1" fillId="0" borderId="16" xfId="0" applyNumberFormat="1" applyFont="1" applyBorder="1" applyAlignment="1">
      <alignment vertical="center"/>
    </xf>
    <xf numFmtId="0" fontId="1" fillId="0" borderId="16" xfId="0" applyNumberFormat="1" applyFont="1" applyFill="1" applyBorder="1" applyAlignment="1">
      <alignment vertical="center"/>
    </xf>
    <xf numFmtId="0" fontId="27" fillId="14" borderId="12" xfId="0" applyNumberFormat="1" applyFont="1" applyFill="1" applyBorder="1" applyAlignment="1">
      <alignment horizontal="centerContinuous" vertical="center"/>
    </xf>
    <xf numFmtId="0" fontId="16" fillId="0" borderId="12" xfId="6" applyNumberFormat="1" applyFont="1" applyFill="1" applyBorder="1" applyAlignment="1">
      <alignment horizontal="left" textRotation="90" wrapText="1"/>
    </xf>
    <xf numFmtId="0" fontId="27" fillId="18" borderId="12" xfId="0" applyNumberFormat="1" applyFont="1" applyFill="1" applyBorder="1" applyAlignment="1">
      <alignment horizontal="center" vertical="center"/>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2352675</xdr:colOff>
      <xdr:row>8</xdr:row>
      <xdr:rowOff>0</xdr:rowOff>
    </xdr:from>
    <xdr:to>
      <xdr:col>4</xdr:col>
      <xdr:colOff>1000125</xdr:colOff>
      <xdr:row>10</xdr:row>
      <xdr:rowOff>162606</xdr:rowOff>
    </xdr:to>
    <xdr:pic>
      <xdr:nvPicPr>
        <xdr:cNvPr id="4" name="Grafik 3">
          <a:extLst>
            <a:ext uri="{FF2B5EF4-FFF2-40B4-BE49-F238E27FC236}">
              <a16:creationId xmlns:a16="http://schemas.microsoft.com/office/drawing/2014/main" id="{26A1BD01-ED45-4680-921A-D12DD1242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81275" y="1485900"/>
          <a:ext cx="5267325" cy="1019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1704975</xdr:colOff>
      <xdr:row>41</xdr:row>
      <xdr:rowOff>47625</xdr:rowOff>
    </xdr:from>
    <xdr:to>
      <xdr:col>3</xdr:col>
      <xdr:colOff>3474720</xdr:colOff>
      <xdr:row>42</xdr:row>
      <xdr:rowOff>144780</xdr:rowOff>
    </xdr:to>
    <xdr:pic>
      <xdr:nvPicPr>
        <xdr:cNvPr id="5" name="Grafik 4" descr="Ein Bild, das Text, ClipArt enthält.&#10;&#10;Automatisch generierte Beschreibung">
          <a:extLst>
            <a:ext uri="{FF2B5EF4-FFF2-40B4-BE49-F238E27FC236}">
              <a16:creationId xmlns:a16="http://schemas.microsoft.com/office/drawing/2014/main" id="{7CDBA995-D57F-4277-B0FD-AA896AADCF05}"/>
            </a:ext>
          </a:extLst>
        </xdr:cNvPr>
        <xdr:cNvPicPr>
          <a:picLocks noChangeAspect="1"/>
        </xdr:cNvPicPr>
      </xdr:nvPicPr>
      <xdr:blipFill>
        <a:blip xmlns:r="http://schemas.openxmlformats.org/officeDocument/2006/relationships" r:embed="rId2" cstate="print"/>
        <a:stretch>
          <a:fillRect/>
        </a:stretch>
      </xdr:blipFill>
      <xdr:spPr>
        <a:xfrm>
          <a:off x="4314825" y="7429500"/>
          <a:ext cx="1769745" cy="25908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49"/>
  <sheetViews>
    <sheetView showGridLines="0" workbookViewId="0">
      <selection activeCell="D52" sqref="D52"/>
    </sheetView>
  </sheetViews>
  <sheetFormatPr baseColWidth="10" defaultColWidth="11.28515625" defaultRowHeight="12.75" x14ac:dyDescent="0.25"/>
  <cols>
    <col min="1" max="1" width="1.7109375" style="155" customWidth="1"/>
    <col min="2" max="2" width="1.7109375" style="153" customWidth="1"/>
    <col min="3" max="3" width="35.7109375" style="155" customWidth="1"/>
    <col min="4" max="4" width="63.5703125" style="224" customWidth="1"/>
    <col min="5" max="5" width="35.7109375" style="155" customWidth="1"/>
    <col min="6" max="16" width="11.28515625" style="155" customWidth="1"/>
    <col min="17" max="16384" width="11.28515625" style="155"/>
  </cols>
  <sheetData>
    <row r="1" spans="2:7" ht="17.850000000000001" customHeight="1" x14ac:dyDescent="0.25">
      <c r="B1" s="223" t="s">
        <v>42</v>
      </c>
      <c r="C1" s="223"/>
    </row>
    <row r="3" spans="2:7" x14ac:dyDescent="0.25">
      <c r="B3" s="153" t="s">
        <v>43</v>
      </c>
    </row>
    <row r="4" spans="2:7" ht="15" customHeight="1" x14ac:dyDescent="0.2">
      <c r="C4" s="155" t="s">
        <v>44</v>
      </c>
      <c r="D4" s="225" t="s">
        <v>45</v>
      </c>
      <c r="E4" s="226"/>
    </row>
    <row r="5" spans="2:7" ht="15" customHeight="1" x14ac:dyDescent="0.2">
      <c r="C5" s="155" t="s">
        <v>46</v>
      </c>
      <c r="D5" s="225" t="s">
        <v>873</v>
      </c>
      <c r="E5" s="226"/>
    </row>
    <row r="6" spans="2:7" ht="15" customHeight="1" x14ac:dyDescent="0.2">
      <c r="C6" s="155" t="s">
        <v>47</v>
      </c>
      <c r="D6" s="225">
        <v>46272</v>
      </c>
      <c r="E6" s="226"/>
    </row>
    <row r="7" spans="2:7" ht="15" customHeight="1" x14ac:dyDescent="0.2">
      <c r="C7" s="155" t="s">
        <v>48</v>
      </c>
      <c r="D7" s="225" t="s">
        <v>51</v>
      </c>
      <c r="E7" s="226"/>
    </row>
    <row r="8" spans="2:7" ht="14.25" customHeight="1" x14ac:dyDescent="0.25"/>
    <row r="9" spans="2:7" ht="14.25" customHeight="1" x14ac:dyDescent="0.25">
      <c r="B9" s="153" t="s">
        <v>49</v>
      </c>
    </row>
    <row r="10" spans="2:7" ht="53.25" customHeight="1" x14ac:dyDescent="0.25"/>
    <row r="11" spans="2:7" ht="14.25" customHeight="1" x14ac:dyDescent="0.25">
      <c r="B11" s="153" t="s">
        <v>805</v>
      </c>
    </row>
    <row r="12" spans="2:7" x14ac:dyDescent="0.25">
      <c r="C12" s="227" t="s">
        <v>806</v>
      </c>
      <c r="D12" s="227" t="s">
        <v>807</v>
      </c>
    </row>
    <row r="13" spans="2:7" x14ac:dyDescent="0.25">
      <c r="C13" s="227" t="s">
        <v>808</v>
      </c>
      <c r="D13" s="227" t="s">
        <v>809</v>
      </c>
      <c r="G13" s="228"/>
    </row>
    <row r="14" spans="2:7" x14ac:dyDescent="0.25">
      <c r="C14" s="227" t="s">
        <v>810</v>
      </c>
      <c r="D14" s="227" t="s">
        <v>811</v>
      </c>
      <c r="G14" s="228"/>
    </row>
    <row r="15" spans="2:7" x14ac:dyDescent="0.25">
      <c r="C15" s="227" t="s">
        <v>812</v>
      </c>
      <c r="D15" s="227" t="s">
        <v>813</v>
      </c>
    </row>
    <row r="16" spans="2:7" x14ac:dyDescent="0.25">
      <c r="C16" s="227" t="s">
        <v>814</v>
      </c>
      <c r="D16" s="229" t="s">
        <v>815</v>
      </c>
    </row>
    <row r="17" spans="3:4" x14ac:dyDescent="0.25">
      <c r="C17" s="227" t="s">
        <v>816</v>
      </c>
      <c r="D17" s="227" t="s">
        <v>817</v>
      </c>
    </row>
    <row r="18" spans="3:4" x14ac:dyDescent="0.25">
      <c r="C18" s="227" t="s">
        <v>818</v>
      </c>
      <c r="D18" s="227" t="s">
        <v>819</v>
      </c>
    </row>
    <row r="19" spans="3:4" x14ac:dyDescent="0.25">
      <c r="C19" s="227" t="s">
        <v>820</v>
      </c>
      <c r="D19" s="227" t="s">
        <v>821</v>
      </c>
    </row>
    <row r="20" spans="3:4" x14ac:dyDescent="0.25">
      <c r="C20" s="227" t="s">
        <v>822</v>
      </c>
      <c r="D20" s="227" t="s">
        <v>823</v>
      </c>
    </row>
    <row r="21" spans="3:4" x14ac:dyDescent="0.25">
      <c r="C21" s="227" t="s">
        <v>824</v>
      </c>
      <c r="D21" s="227" t="s">
        <v>825</v>
      </c>
    </row>
    <row r="22" spans="3:4" x14ac:dyDescent="0.25">
      <c r="C22" s="227" t="s">
        <v>826</v>
      </c>
      <c r="D22" s="227" t="s">
        <v>827</v>
      </c>
    </row>
    <row r="23" spans="3:4" x14ac:dyDescent="0.25">
      <c r="C23" s="227" t="s">
        <v>828</v>
      </c>
      <c r="D23" s="227" t="s">
        <v>829</v>
      </c>
    </row>
    <row r="24" spans="3:4" x14ac:dyDescent="0.25">
      <c r="C24" s="227" t="s">
        <v>830</v>
      </c>
      <c r="D24" s="227" t="s">
        <v>831</v>
      </c>
    </row>
    <row r="25" spans="3:4" x14ac:dyDescent="0.25">
      <c r="C25" s="227" t="s">
        <v>832</v>
      </c>
      <c r="D25" s="227" t="s">
        <v>833</v>
      </c>
    </row>
    <row r="26" spans="3:4" x14ac:dyDescent="0.25">
      <c r="C26" s="230" t="s">
        <v>834</v>
      </c>
      <c r="D26" s="227" t="s">
        <v>835</v>
      </c>
    </row>
    <row r="27" spans="3:4" x14ac:dyDescent="0.25">
      <c r="C27" s="227" t="s">
        <v>836</v>
      </c>
      <c r="D27" s="227" t="s">
        <v>837</v>
      </c>
    </row>
    <row r="28" spans="3:4" x14ac:dyDescent="0.25">
      <c r="C28" s="227" t="s">
        <v>838</v>
      </c>
      <c r="D28" s="227" t="s">
        <v>839</v>
      </c>
    </row>
    <row r="29" spans="3:4" x14ac:dyDescent="0.25">
      <c r="C29" s="227" t="s">
        <v>840</v>
      </c>
      <c r="D29" s="227" t="s">
        <v>841</v>
      </c>
    </row>
    <row r="30" spans="3:4" x14ac:dyDescent="0.25">
      <c r="C30" s="227" t="s">
        <v>52</v>
      </c>
      <c r="D30" s="227" t="s">
        <v>842</v>
      </c>
    </row>
    <row r="31" spans="3:4" x14ac:dyDescent="0.25">
      <c r="C31" s="227" t="s">
        <v>843</v>
      </c>
      <c r="D31" s="227" t="s">
        <v>844</v>
      </c>
    </row>
    <row r="33" spans="2:5" x14ac:dyDescent="0.25">
      <c r="B33" s="153" t="s">
        <v>53</v>
      </c>
      <c r="D33" s="231" t="s">
        <v>54</v>
      </c>
      <c r="E33" s="231"/>
    </row>
    <row r="34" spans="2:5" x14ac:dyDescent="0.25">
      <c r="D34" s="231" t="s">
        <v>55</v>
      </c>
      <c r="E34" s="231"/>
    </row>
    <row r="35" spans="2:5" x14ac:dyDescent="0.25">
      <c r="D35" s="231" t="s">
        <v>845</v>
      </c>
      <c r="E35" s="231"/>
    </row>
    <row r="36" spans="2:5" x14ac:dyDescent="0.25">
      <c r="D36" s="231" t="s">
        <v>846</v>
      </c>
      <c r="E36" s="231"/>
    </row>
    <row r="37" spans="2:5" x14ac:dyDescent="0.25">
      <c r="D37" s="231" t="s">
        <v>56</v>
      </c>
      <c r="E37" s="231"/>
    </row>
    <row r="38" spans="2:5" x14ac:dyDescent="0.25">
      <c r="D38" s="231" t="s">
        <v>57</v>
      </c>
      <c r="E38" s="231"/>
    </row>
    <row r="39" spans="2:5" x14ac:dyDescent="0.25">
      <c r="D39" s="231" t="s">
        <v>847</v>
      </c>
      <c r="E39" s="231"/>
    </row>
    <row r="41" spans="2:5" x14ac:dyDescent="0.25">
      <c r="B41" s="153" t="s">
        <v>58</v>
      </c>
      <c r="D41" s="231" t="s">
        <v>848</v>
      </c>
      <c r="E41" s="231"/>
    </row>
    <row r="42" spans="2:5" x14ac:dyDescent="0.25">
      <c r="D42" s="231" t="s">
        <v>854</v>
      </c>
      <c r="E42" s="231"/>
    </row>
    <row r="43" spans="2:5" ht="14.25" x14ac:dyDescent="0.25">
      <c r="D43" s="232" t="s">
        <v>849</v>
      </c>
      <c r="E43" s="232"/>
    </row>
    <row r="44" spans="2:5" x14ac:dyDescent="0.25">
      <c r="D44" s="233"/>
      <c r="E44" s="234"/>
    </row>
    <row r="45" spans="2:5" x14ac:dyDescent="0.25">
      <c r="B45" s="153" t="s">
        <v>850</v>
      </c>
      <c r="D45" s="231" t="s">
        <v>851</v>
      </c>
      <c r="E45" s="231"/>
    </row>
    <row r="46" spans="2:5" x14ac:dyDescent="0.25">
      <c r="D46" s="233"/>
      <c r="E46" s="234"/>
    </row>
    <row r="47" spans="2:5" x14ac:dyDescent="0.25">
      <c r="B47" s="153" t="s">
        <v>852</v>
      </c>
      <c r="D47" s="231" t="s">
        <v>51</v>
      </c>
      <c r="E47" s="231"/>
    </row>
    <row r="48" spans="2:5" x14ac:dyDescent="0.25">
      <c r="C48" s="234"/>
      <c r="D48" s="235" t="s">
        <v>853</v>
      </c>
      <c r="E48" s="235"/>
    </row>
    <row r="49" spans="4:5" x14ac:dyDescent="0.25">
      <c r="D49" s="233"/>
      <c r="E49" s="234"/>
    </row>
  </sheetData>
  <mergeCells count="17">
    <mergeCell ref="D5:E5"/>
    <mergeCell ref="D4:E4"/>
    <mergeCell ref="D6:E6"/>
    <mergeCell ref="D7:E7"/>
    <mergeCell ref="D33:E33"/>
    <mergeCell ref="D34:E34"/>
    <mergeCell ref="D35:E35"/>
    <mergeCell ref="D36:E36"/>
    <mergeCell ref="D37:E37"/>
    <mergeCell ref="D45:E45"/>
    <mergeCell ref="D47:E47"/>
    <mergeCell ref="D48:E48"/>
    <mergeCell ref="D38:E38"/>
    <mergeCell ref="D39:E39"/>
    <mergeCell ref="D41:E41"/>
    <mergeCell ref="D42:E42"/>
    <mergeCell ref="D43:E43"/>
  </mergeCells>
  <hyperlinks>
    <hyperlink ref="D43" r:id="rId1" xr:uid="{30DA7995-EDF6-4EEB-B105-80E0CC2D729F}"/>
    <hyperlink ref="D48" r:id="rId2" xr:uid="{E0D5C1AE-675E-4B35-9958-B70F0244B8D2}"/>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79"/>
  <sheetViews>
    <sheetView showGridLines="0" tabSelected="1" zoomScaleNormal="100" workbookViewId="0">
      <selection activeCell="AB180" sqref="AB180"/>
    </sheetView>
  </sheetViews>
  <sheetFormatPr baseColWidth="10" defaultColWidth="11.28515625" defaultRowHeight="15" outlineLevelRow="2" x14ac:dyDescent="0.25"/>
  <cols>
    <col min="1" max="1" width="7.85546875" style="144" customWidth="1"/>
    <col min="2" max="3" width="4.28515625" style="145" customWidth="1"/>
    <col min="4" max="4" width="4.28515625" style="115" customWidth="1"/>
    <col min="5" max="5" width="4.28515625" style="145" customWidth="1"/>
    <col min="6" max="8" width="4.28515625" style="146" customWidth="1"/>
    <col min="9" max="10" width="4.28515625" style="145" customWidth="1"/>
    <col min="11" max="13" width="4.28515625" style="146" customWidth="1"/>
    <col min="14" max="14" width="4.28515625" style="145" customWidth="1"/>
    <col min="15" max="17" width="4.28515625" style="146" customWidth="1"/>
    <col min="18" max="33" width="4.28515625" style="145" customWidth="1"/>
    <col min="34" max="34" width="11.28515625" style="145" customWidth="1"/>
    <col min="35" max="16384" width="11.28515625" style="145"/>
  </cols>
  <sheetData>
    <row r="1" spans="1:26" s="143" customFormat="1" ht="20.100000000000001" customHeight="1" x14ac:dyDescent="0.25">
      <c r="A1" s="141" t="s">
        <v>59</v>
      </c>
      <c r="B1" s="142"/>
      <c r="C1" s="142"/>
      <c r="D1" s="142"/>
      <c r="E1" s="142"/>
      <c r="F1" s="142"/>
      <c r="G1" s="142"/>
      <c r="H1" s="142"/>
      <c r="I1" s="142"/>
      <c r="J1" s="142"/>
      <c r="K1" s="142"/>
      <c r="L1" s="142"/>
      <c r="M1" s="142"/>
      <c r="N1" s="142"/>
      <c r="O1" s="142"/>
      <c r="P1" s="142"/>
      <c r="Q1" s="142"/>
      <c r="R1" s="142"/>
      <c r="S1" s="142"/>
    </row>
    <row r="2" spans="1:26" ht="13.35" customHeight="1" x14ac:dyDescent="0.25">
      <c r="D2" s="145"/>
    </row>
    <row r="3" spans="1:26" s="143" customFormat="1" ht="20.100000000000001" customHeight="1" x14ac:dyDescent="0.25">
      <c r="A3" s="147"/>
      <c r="B3" s="148" t="s">
        <v>60</v>
      </c>
      <c r="C3" s="149"/>
      <c r="D3" s="149"/>
      <c r="E3" s="149"/>
      <c r="F3" s="149"/>
      <c r="G3" s="149"/>
      <c r="H3" s="149"/>
      <c r="I3" s="149"/>
      <c r="J3" s="149"/>
      <c r="K3" s="149"/>
      <c r="L3" s="149"/>
      <c r="M3" s="149"/>
      <c r="N3" s="149"/>
      <c r="O3" s="149"/>
      <c r="P3" s="149"/>
      <c r="Q3" s="149"/>
      <c r="R3" s="149"/>
      <c r="S3" s="150"/>
      <c r="Z3" s="145"/>
    </row>
    <row r="4" spans="1:26" ht="13.35" hidden="1" customHeight="1" outlineLevel="1" x14ac:dyDescent="0.25">
      <c r="B4" s="151"/>
      <c r="D4" s="145"/>
    </row>
    <row r="5" spans="1:26" ht="13.35" hidden="1" customHeight="1" outlineLevel="1" x14ac:dyDescent="0.25">
      <c r="B5" s="151">
        <v>1</v>
      </c>
      <c r="C5" s="145" t="s">
        <v>61</v>
      </c>
      <c r="D5" s="145"/>
      <c r="H5" s="145"/>
      <c r="K5" s="145"/>
      <c r="L5" s="145"/>
      <c r="M5" s="145"/>
      <c r="O5" s="145"/>
    </row>
    <row r="6" spans="1:26" ht="13.35" hidden="1" customHeight="1" outlineLevel="1" x14ac:dyDescent="0.25">
      <c r="B6" s="151">
        <v>2</v>
      </c>
      <c r="C6" s="145" t="s">
        <v>62</v>
      </c>
      <c r="D6" s="145"/>
      <c r="H6" s="145"/>
      <c r="K6" s="145"/>
      <c r="L6" s="145"/>
      <c r="M6" s="145"/>
      <c r="O6" s="145"/>
    </row>
    <row r="7" spans="1:26" ht="13.35" hidden="1" customHeight="1" outlineLevel="1" x14ac:dyDescent="0.25">
      <c r="B7" s="151">
        <v>3</v>
      </c>
      <c r="C7" s="152" t="s">
        <v>63</v>
      </c>
      <c r="D7" s="145"/>
      <c r="H7" s="145"/>
      <c r="K7" s="145"/>
      <c r="L7" s="145"/>
      <c r="M7" s="145"/>
      <c r="O7" s="145"/>
    </row>
    <row r="8" spans="1:26" ht="13.35" hidden="1" customHeight="1" outlineLevel="1" x14ac:dyDescent="0.25">
      <c r="B8" s="151">
        <v>4</v>
      </c>
      <c r="C8" s="152" t="s">
        <v>64</v>
      </c>
      <c r="D8" s="145"/>
      <c r="H8" s="145"/>
      <c r="K8" s="145"/>
      <c r="L8" s="145"/>
      <c r="M8" s="145"/>
      <c r="O8" s="145"/>
    </row>
    <row r="9" spans="1:26" ht="13.35" hidden="1" customHeight="1" outlineLevel="1" x14ac:dyDescent="0.25">
      <c r="B9" s="151">
        <v>5</v>
      </c>
      <c r="C9" s="152" t="s">
        <v>65</v>
      </c>
      <c r="D9" s="145"/>
      <c r="H9" s="145"/>
      <c r="K9" s="145"/>
      <c r="L9" s="145"/>
      <c r="M9" s="145"/>
      <c r="O9" s="145"/>
    </row>
    <row r="10" spans="1:26" ht="13.35" hidden="1" customHeight="1" outlineLevel="1" x14ac:dyDescent="0.25">
      <c r="B10" s="151">
        <v>6</v>
      </c>
      <c r="C10" s="152" t="s">
        <v>66</v>
      </c>
      <c r="D10" s="145"/>
      <c r="H10" s="145"/>
      <c r="K10" s="145"/>
      <c r="L10" s="145"/>
      <c r="M10" s="145"/>
      <c r="O10" s="145"/>
    </row>
    <row r="11" spans="1:26" ht="13.35" hidden="1" customHeight="1" outlineLevel="1" x14ac:dyDescent="0.25">
      <c r="B11" s="151">
        <v>7</v>
      </c>
      <c r="C11" s="152" t="s">
        <v>67</v>
      </c>
      <c r="D11" s="145"/>
      <c r="G11" s="152" t="s">
        <v>68</v>
      </c>
      <c r="H11" s="145"/>
      <c r="K11" s="145"/>
      <c r="L11" s="145"/>
      <c r="M11" s="145"/>
      <c r="O11" s="145"/>
    </row>
    <row r="12" spans="1:26" ht="13.35" hidden="1" customHeight="1" outlineLevel="1" x14ac:dyDescent="0.25">
      <c r="B12" s="151">
        <v>8</v>
      </c>
      <c r="C12" s="152" t="s">
        <v>69</v>
      </c>
      <c r="D12" s="145"/>
      <c r="G12" s="152"/>
      <c r="H12" s="145"/>
      <c r="K12" s="145"/>
      <c r="L12" s="145"/>
      <c r="M12" s="145"/>
      <c r="O12" s="145"/>
    </row>
    <row r="13" spans="1:26" ht="13.35" hidden="1" customHeight="1" outlineLevel="1" x14ac:dyDescent="0.25">
      <c r="G13" s="145"/>
      <c r="H13" s="145"/>
      <c r="K13" s="145"/>
      <c r="L13" s="145"/>
      <c r="M13" s="145"/>
      <c r="O13" s="145"/>
    </row>
    <row r="14" spans="1:26" ht="18" customHeight="1" collapsed="1" x14ac:dyDescent="0.25">
      <c r="B14" s="148" t="s">
        <v>70</v>
      </c>
      <c r="C14" s="149"/>
      <c r="D14" s="149"/>
      <c r="E14" s="149"/>
      <c r="F14" s="149"/>
      <c r="G14" s="149"/>
      <c r="H14" s="149"/>
      <c r="I14" s="149"/>
      <c r="J14" s="149"/>
      <c r="K14" s="149"/>
      <c r="L14" s="149"/>
      <c r="M14" s="149"/>
      <c r="N14" s="149"/>
      <c r="O14" s="149"/>
      <c r="P14" s="149"/>
      <c r="Q14" s="149"/>
      <c r="R14" s="149"/>
      <c r="S14" s="149"/>
    </row>
    <row r="15" spans="1:26" hidden="1" outlineLevel="1" x14ac:dyDescent="0.25"/>
    <row r="16" spans="1:26" hidden="1" outlineLevel="1" x14ac:dyDescent="0.25">
      <c r="B16" s="153" t="s">
        <v>863</v>
      </c>
    </row>
    <row r="17" spans="1:17" hidden="1" outlineLevel="1" x14ac:dyDescent="0.25">
      <c r="B17" s="154" t="s">
        <v>74</v>
      </c>
      <c r="C17" s="155" t="s">
        <v>868</v>
      </c>
      <c r="F17" s="145"/>
      <c r="G17" s="145"/>
      <c r="H17" s="155" t="s">
        <v>864</v>
      </c>
      <c r="K17" s="145"/>
      <c r="L17" s="145"/>
      <c r="M17" s="145"/>
      <c r="O17" s="145"/>
      <c r="P17" s="145"/>
      <c r="Q17" s="145"/>
    </row>
    <row r="18" spans="1:17" hidden="1" outlineLevel="1" x14ac:dyDescent="0.25">
      <c r="B18" s="156"/>
      <c r="C18" s="155"/>
      <c r="F18" s="145"/>
      <c r="G18" s="145"/>
      <c r="H18" s="155" t="s">
        <v>865</v>
      </c>
      <c r="K18" s="145"/>
      <c r="L18" s="145"/>
      <c r="M18" s="145"/>
      <c r="O18" s="145"/>
      <c r="P18" s="145"/>
      <c r="Q18" s="145"/>
    </row>
    <row r="19" spans="1:17" hidden="1" outlineLevel="1" x14ac:dyDescent="0.25">
      <c r="B19" s="157"/>
      <c r="C19" s="155" t="s">
        <v>867</v>
      </c>
      <c r="F19" s="145"/>
      <c r="G19" s="145"/>
      <c r="H19" s="155" t="s">
        <v>872</v>
      </c>
      <c r="K19" s="145"/>
      <c r="L19" s="145"/>
      <c r="M19" s="145"/>
      <c r="O19" s="145"/>
      <c r="P19" s="145"/>
      <c r="Q19" s="145"/>
    </row>
    <row r="20" spans="1:17" hidden="1" outlineLevel="1" x14ac:dyDescent="0.25">
      <c r="B20" s="159"/>
      <c r="C20" s="155" t="s">
        <v>871</v>
      </c>
      <c r="F20" s="145"/>
      <c r="G20" s="145"/>
      <c r="H20" s="155" t="s">
        <v>995</v>
      </c>
      <c r="K20" s="145"/>
      <c r="L20" s="145"/>
      <c r="M20" s="145"/>
      <c r="O20" s="145"/>
      <c r="P20" s="145"/>
      <c r="Q20" s="145"/>
    </row>
    <row r="21" spans="1:17" hidden="1" outlineLevel="1" x14ac:dyDescent="0.25">
      <c r="B21" s="158"/>
      <c r="C21" s="155" t="s">
        <v>869</v>
      </c>
      <c r="F21" s="145"/>
      <c r="G21" s="145"/>
      <c r="H21" s="155" t="s">
        <v>866</v>
      </c>
      <c r="K21" s="145"/>
      <c r="L21" s="145"/>
      <c r="M21" s="145"/>
      <c r="O21" s="145"/>
      <c r="P21" s="145"/>
      <c r="Q21" s="145"/>
    </row>
    <row r="22" spans="1:17" hidden="1" outlineLevel="1" x14ac:dyDescent="0.25">
      <c r="B22" s="255"/>
      <c r="C22" s="155" t="s">
        <v>994</v>
      </c>
      <c r="F22" s="145"/>
      <c r="G22" s="145"/>
      <c r="H22" s="155" t="s">
        <v>870</v>
      </c>
      <c r="K22" s="145"/>
      <c r="L22" s="145"/>
      <c r="M22" s="145"/>
      <c r="O22" s="145"/>
      <c r="P22" s="145"/>
      <c r="Q22" s="145"/>
    </row>
    <row r="23" spans="1:17" hidden="1" outlineLevel="1" x14ac:dyDescent="0.25"/>
    <row r="24" spans="1:17" ht="12.75" hidden="1" customHeight="1" outlineLevel="1" x14ac:dyDescent="0.25">
      <c r="C24" s="160" t="s">
        <v>71</v>
      </c>
      <c r="D24" s="160" t="s">
        <v>72</v>
      </c>
      <c r="E24" s="160" t="s">
        <v>73</v>
      </c>
      <c r="F24" s="160" t="s">
        <v>74</v>
      </c>
      <c r="G24" s="160" t="s">
        <v>75</v>
      </c>
      <c r="H24" s="145"/>
      <c r="K24" s="145"/>
      <c r="P24" s="145"/>
      <c r="Q24" s="145"/>
    </row>
    <row r="25" spans="1:17" ht="182.25" hidden="1" customHeight="1" outlineLevel="2" x14ac:dyDescent="0.25">
      <c r="B25" s="161" t="s">
        <v>70</v>
      </c>
      <c r="C25" s="162" t="s">
        <v>76</v>
      </c>
      <c r="D25" s="162" t="s">
        <v>77</v>
      </c>
      <c r="E25" s="162" t="s">
        <v>78</v>
      </c>
      <c r="F25" s="162" t="s">
        <v>79</v>
      </c>
      <c r="G25" s="162" t="s">
        <v>80</v>
      </c>
      <c r="K25" s="145"/>
      <c r="L25" s="163"/>
      <c r="M25" s="163"/>
      <c r="N25" s="153"/>
      <c r="O25" s="163"/>
      <c r="P25" s="145"/>
      <c r="Q25" s="145"/>
    </row>
    <row r="26" spans="1:17" s="167" customFormat="1" ht="15" hidden="1" customHeight="1" outlineLevel="2" x14ac:dyDescent="0.25">
      <c r="A26" s="164"/>
      <c r="B26" s="165" t="s">
        <v>71</v>
      </c>
      <c r="C26" s="166" t="s">
        <v>81</v>
      </c>
      <c r="F26" s="168"/>
      <c r="G26" s="168"/>
      <c r="H26" s="168"/>
      <c r="K26" s="168"/>
      <c r="L26" s="146"/>
      <c r="M26" s="146"/>
      <c r="N26" s="145"/>
      <c r="O26" s="146"/>
      <c r="P26" s="168"/>
      <c r="Q26" s="168"/>
    </row>
    <row r="27" spans="1:17" s="167" customFormat="1" ht="15" hidden="1" customHeight="1" outlineLevel="2" x14ac:dyDescent="0.25">
      <c r="A27" s="164"/>
      <c r="B27" s="169"/>
      <c r="C27" s="170" t="s">
        <v>82</v>
      </c>
      <c r="F27" s="168"/>
      <c r="G27" s="168"/>
      <c r="H27" s="168"/>
      <c r="K27" s="168"/>
      <c r="L27" s="146"/>
      <c r="M27" s="146"/>
      <c r="N27" s="145"/>
      <c r="O27" s="146"/>
      <c r="P27" s="168"/>
      <c r="Q27" s="168"/>
    </row>
    <row r="28" spans="1:17" s="167" customFormat="1" ht="15" hidden="1" customHeight="1" outlineLevel="2" x14ac:dyDescent="0.25">
      <c r="A28" s="164"/>
      <c r="B28" s="165" t="s">
        <v>72</v>
      </c>
      <c r="C28" s="166" t="s">
        <v>77</v>
      </c>
      <c r="F28" s="168"/>
      <c r="G28" s="168"/>
      <c r="H28" s="168"/>
      <c r="K28" s="168"/>
      <c r="L28" s="163"/>
      <c r="M28" s="163"/>
      <c r="N28" s="153"/>
      <c r="O28" s="163"/>
      <c r="P28" s="168"/>
      <c r="Q28" s="168"/>
    </row>
    <row r="29" spans="1:17" s="167" customFormat="1" ht="15" hidden="1" customHeight="1" outlineLevel="2" x14ac:dyDescent="0.25">
      <c r="A29" s="164"/>
      <c r="B29" s="171"/>
      <c r="C29" s="170" t="s">
        <v>83</v>
      </c>
      <c r="F29" s="168"/>
      <c r="G29" s="168"/>
      <c r="H29" s="168"/>
      <c r="K29" s="168"/>
      <c r="L29" s="163"/>
      <c r="M29" s="163"/>
      <c r="N29" s="153"/>
      <c r="O29" s="163"/>
      <c r="P29" s="168"/>
      <c r="Q29" s="168"/>
    </row>
    <row r="30" spans="1:17" s="167" customFormat="1" ht="15" hidden="1" customHeight="1" outlineLevel="2" x14ac:dyDescent="0.25">
      <c r="A30" s="164"/>
      <c r="B30" s="169"/>
      <c r="C30" s="172" t="s">
        <v>84</v>
      </c>
      <c r="F30" s="168"/>
      <c r="G30" s="168"/>
      <c r="H30" s="168"/>
      <c r="K30" s="168"/>
      <c r="L30" s="163"/>
      <c r="M30" s="163"/>
      <c r="N30" s="153"/>
      <c r="O30" s="163"/>
      <c r="P30" s="168"/>
      <c r="Q30" s="168"/>
    </row>
    <row r="31" spans="1:17" s="167" customFormat="1" ht="15" hidden="1" customHeight="1" outlineLevel="2" x14ac:dyDescent="0.25">
      <c r="A31" s="164"/>
      <c r="B31" s="165" t="s">
        <v>73</v>
      </c>
      <c r="C31" s="173" t="s">
        <v>85</v>
      </c>
      <c r="F31" s="168"/>
      <c r="G31" s="168"/>
      <c r="H31" s="168"/>
      <c r="K31" s="168"/>
      <c r="L31" s="146"/>
      <c r="M31" s="146"/>
      <c r="N31" s="145"/>
      <c r="O31" s="146"/>
      <c r="P31" s="168"/>
      <c r="Q31" s="168"/>
    </row>
    <row r="32" spans="1:17" s="167" customFormat="1" ht="15" hidden="1" customHeight="1" outlineLevel="2" x14ac:dyDescent="0.25">
      <c r="A32" s="164"/>
      <c r="B32" s="171"/>
      <c r="C32" s="174" t="s">
        <v>86</v>
      </c>
      <c r="F32" s="168"/>
      <c r="G32" s="168"/>
      <c r="H32" s="168"/>
      <c r="K32" s="168"/>
      <c r="L32" s="146"/>
      <c r="M32" s="146"/>
      <c r="N32" s="145"/>
      <c r="O32" s="146"/>
      <c r="P32" s="168"/>
      <c r="Q32" s="168"/>
    </row>
    <row r="33" spans="1:19" s="167" customFormat="1" ht="15" hidden="1" customHeight="1" outlineLevel="2" x14ac:dyDescent="0.25">
      <c r="A33" s="164"/>
      <c r="B33" s="169"/>
      <c r="C33" s="175" t="s">
        <v>87</v>
      </c>
      <c r="F33" s="168"/>
      <c r="G33" s="168"/>
      <c r="H33" s="168"/>
      <c r="K33" s="168"/>
      <c r="L33" s="146"/>
      <c r="M33" s="146"/>
      <c r="N33" s="145"/>
      <c r="O33" s="146"/>
      <c r="P33" s="168"/>
      <c r="Q33" s="168"/>
    </row>
    <row r="34" spans="1:19" s="167" customFormat="1" ht="15" hidden="1" customHeight="1" outlineLevel="2" x14ac:dyDescent="0.25">
      <c r="A34" s="164"/>
      <c r="B34" s="165" t="s">
        <v>74</v>
      </c>
      <c r="C34" s="176" t="s">
        <v>88</v>
      </c>
      <c r="F34" s="168"/>
      <c r="G34" s="168"/>
      <c r="H34" s="168"/>
      <c r="K34" s="168"/>
      <c r="L34" s="163"/>
      <c r="M34" s="163"/>
      <c r="N34" s="153"/>
      <c r="O34" s="163"/>
      <c r="P34" s="168"/>
      <c r="Q34" s="168"/>
    </row>
    <row r="35" spans="1:19" s="167" customFormat="1" ht="15" hidden="1" customHeight="1" outlineLevel="2" x14ac:dyDescent="0.25">
      <c r="A35" s="164"/>
      <c r="B35" s="169"/>
      <c r="C35" s="177" t="s">
        <v>89</v>
      </c>
      <c r="F35" s="168"/>
      <c r="G35" s="168"/>
      <c r="H35" s="168"/>
      <c r="K35" s="168"/>
      <c r="L35" s="163"/>
      <c r="M35" s="163"/>
      <c r="N35" s="153"/>
      <c r="O35" s="163"/>
      <c r="P35" s="168"/>
      <c r="Q35" s="168"/>
    </row>
    <row r="36" spans="1:19" s="167" customFormat="1" ht="15" hidden="1" customHeight="1" outlineLevel="2" x14ac:dyDescent="0.25">
      <c r="A36" s="164"/>
      <c r="B36" s="165" t="s">
        <v>75</v>
      </c>
      <c r="C36" s="173" t="s">
        <v>90</v>
      </c>
      <c r="F36" s="168"/>
      <c r="G36" s="168"/>
      <c r="H36" s="168"/>
      <c r="K36" s="168"/>
      <c r="L36" s="146"/>
      <c r="M36" s="146"/>
      <c r="N36" s="145"/>
      <c r="O36" s="146"/>
      <c r="P36" s="168"/>
      <c r="Q36" s="168"/>
    </row>
    <row r="37" spans="1:19" s="167" customFormat="1" ht="15" hidden="1" customHeight="1" outlineLevel="2" x14ac:dyDescent="0.25">
      <c r="A37" s="164"/>
      <c r="B37" s="169"/>
      <c r="C37" s="172" t="s">
        <v>91</v>
      </c>
      <c r="F37" s="168"/>
      <c r="G37" s="168"/>
      <c r="H37" s="168"/>
      <c r="K37" s="168"/>
      <c r="L37" s="146"/>
      <c r="M37" s="146"/>
      <c r="N37" s="145"/>
      <c r="O37" s="146"/>
      <c r="P37" s="168"/>
      <c r="Q37" s="168"/>
    </row>
    <row r="38" spans="1:19" s="153" customFormat="1" ht="13.35" hidden="1" customHeight="1" outlineLevel="2" x14ac:dyDescent="0.25">
      <c r="A38" s="144"/>
      <c r="F38" s="163"/>
      <c r="G38" s="163"/>
      <c r="H38" s="163"/>
      <c r="K38" s="163"/>
      <c r="L38" s="163"/>
      <c r="M38" s="163"/>
      <c r="O38" s="163"/>
      <c r="P38" s="163"/>
      <c r="Q38" s="163"/>
    </row>
    <row r="39" spans="1:19" s="143" customFormat="1" ht="20.100000000000001" customHeight="1" collapsed="1" x14ac:dyDescent="0.25">
      <c r="A39" s="147">
        <v>2</v>
      </c>
      <c r="B39" s="178" t="s">
        <v>62</v>
      </c>
      <c r="C39" s="179"/>
      <c r="D39" s="179"/>
      <c r="E39" s="179"/>
      <c r="F39" s="179"/>
      <c r="G39" s="179"/>
      <c r="H39" s="179"/>
      <c r="I39" s="179"/>
      <c r="J39" s="179"/>
      <c r="K39" s="179"/>
      <c r="L39" s="179"/>
      <c r="M39" s="179"/>
      <c r="N39" s="179"/>
      <c r="O39" s="179"/>
      <c r="P39" s="179"/>
      <c r="Q39" s="179"/>
      <c r="R39" s="179"/>
      <c r="S39" s="180"/>
    </row>
    <row r="40" spans="1:19" s="153" customFormat="1" ht="13.35" hidden="1" customHeight="1" outlineLevel="1" x14ac:dyDescent="0.25">
      <c r="A40" s="144"/>
      <c r="F40" s="163"/>
      <c r="G40" s="163"/>
      <c r="K40" s="163"/>
      <c r="L40" s="163"/>
      <c r="M40" s="163"/>
      <c r="O40" s="163"/>
      <c r="P40" s="163"/>
      <c r="Q40" s="163"/>
    </row>
    <row r="41" spans="1:19" s="153" customFormat="1" ht="13.35" hidden="1" customHeight="1" outlineLevel="1" x14ac:dyDescent="0.25">
      <c r="A41" s="144"/>
      <c r="B41" s="145" t="s">
        <v>92</v>
      </c>
      <c r="F41" s="163"/>
      <c r="G41" s="163"/>
      <c r="K41" s="163"/>
      <c r="L41" s="163"/>
      <c r="M41" s="163"/>
      <c r="O41" s="163"/>
      <c r="P41" s="163"/>
      <c r="Q41" s="163"/>
    </row>
    <row r="42" spans="1:19" s="153" customFormat="1" ht="13.35" hidden="1" customHeight="1" outlineLevel="1" x14ac:dyDescent="0.25">
      <c r="A42" s="144"/>
      <c r="B42" s="145" t="s">
        <v>93</v>
      </c>
      <c r="F42" s="163"/>
      <c r="G42" s="163"/>
      <c r="K42" s="163"/>
      <c r="L42" s="163"/>
      <c r="M42" s="163"/>
      <c r="O42" s="163"/>
      <c r="P42" s="163"/>
      <c r="Q42" s="163"/>
    </row>
    <row r="43" spans="1:19" s="153" customFormat="1" ht="13.35" hidden="1" customHeight="1" outlineLevel="1" x14ac:dyDescent="0.25">
      <c r="A43" s="144"/>
      <c r="F43" s="163"/>
      <c r="G43" s="163"/>
      <c r="K43" s="163"/>
      <c r="L43" s="163"/>
      <c r="M43" s="163"/>
      <c r="O43" s="163"/>
      <c r="P43" s="163"/>
      <c r="Q43" s="163"/>
    </row>
    <row r="44" spans="1:19" ht="15" hidden="1" customHeight="1" outlineLevel="1" x14ac:dyDescent="0.25">
      <c r="B44" s="160" t="s">
        <v>71</v>
      </c>
      <c r="C44" s="160" t="s">
        <v>72</v>
      </c>
      <c r="D44" s="160" t="s">
        <v>73</v>
      </c>
      <c r="E44" s="160" t="s">
        <v>74</v>
      </c>
      <c r="F44" s="160" t="s">
        <v>75</v>
      </c>
      <c r="G44" s="160" t="s">
        <v>94</v>
      </c>
      <c r="H44" s="160" t="s">
        <v>95</v>
      </c>
      <c r="K44" s="145"/>
      <c r="L44" s="145"/>
      <c r="M44" s="145"/>
      <c r="O44" s="145"/>
      <c r="P44" s="145"/>
      <c r="Q44" s="145"/>
    </row>
    <row r="45" spans="1:19" s="184" customFormat="1" ht="251.25" hidden="1" customHeight="1" outlineLevel="1" x14ac:dyDescent="0.2">
      <c r="A45" s="181"/>
      <c r="B45" s="182" t="s">
        <v>62</v>
      </c>
      <c r="C45" s="183" t="s">
        <v>44</v>
      </c>
      <c r="D45" s="183" t="s">
        <v>96</v>
      </c>
      <c r="E45" s="183" t="s">
        <v>97</v>
      </c>
      <c r="F45" s="183" t="s">
        <v>98</v>
      </c>
      <c r="G45" s="183" t="s">
        <v>99</v>
      </c>
      <c r="H45" s="183" t="s">
        <v>100</v>
      </c>
    </row>
    <row r="46" spans="1:19" s="167" customFormat="1" ht="15" hidden="1" customHeight="1" outlineLevel="1" x14ac:dyDescent="0.25">
      <c r="A46" s="144"/>
      <c r="B46" s="160" t="s">
        <v>72</v>
      </c>
      <c r="C46" s="176" t="s">
        <v>101</v>
      </c>
      <c r="F46" s="168"/>
      <c r="G46" s="168"/>
      <c r="H46" s="168"/>
      <c r="K46" s="168"/>
      <c r="L46" s="168"/>
      <c r="M46" s="168"/>
      <c r="O46" s="168"/>
      <c r="P46" s="168"/>
      <c r="Q46" s="168"/>
    </row>
    <row r="47" spans="1:19" s="167" customFormat="1" ht="15" hidden="1" customHeight="1" outlineLevel="1" x14ac:dyDescent="0.25">
      <c r="A47" s="144"/>
      <c r="B47" s="165" t="s">
        <v>73</v>
      </c>
      <c r="C47" s="176" t="s">
        <v>102</v>
      </c>
      <c r="F47" s="168"/>
      <c r="G47" s="168"/>
      <c r="H47" s="168"/>
      <c r="K47" s="168"/>
      <c r="L47" s="168"/>
      <c r="M47" s="168"/>
      <c r="O47" s="168"/>
      <c r="P47" s="168"/>
    </row>
    <row r="48" spans="1:19" hidden="1" outlineLevel="1" x14ac:dyDescent="0.25">
      <c r="B48" s="169"/>
      <c r="C48" s="176" t="s">
        <v>103</v>
      </c>
      <c r="F48" s="168"/>
      <c r="G48" s="168"/>
      <c r="H48" s="168"/>
      <c r="K48" s="168"/>
      <c r="L48" s="168"/>
      <c r="M48" s="168"/>
      <c r="O48" s="168"/>
      <c r="P48" s="168"/>
    </row>
    <row r="49" spans="1:19" hidden="1" outlineLevel="1" x14ac:dyDescent="0.25">
      <c r="B49" s="160" t="s">
        <v>74</v>
      </c>
      <c r="C49" s="176" t="s">
        <v>104</v>
      </c>
      <c r="F49" s="168"/>
      <c r="G49" s="168"/>
      <c r="H49" s="168"/>
      <c r="K49" s="168"/>
      <c r="L49" s="168"/>
      <c r="M49" s="168"/>
      <c r="O49" s="168"/>
      <c r="P49" s="168"/>
    </row>
    <row r="50" spans="1:19" hidden="1" outlineLevel="1" x14ac:dyDescent="0.25">
      <c r="B50" s="165" t="s">
        <v>75</v>
      </c>
      <c r="C50" s="176" t="s">
        <v>105</v>
      </c>
      <c r="F50" s="168"/>
      <c r="G50" s="168"/>
      <c r="H50" s="168"/>
      <c r="K50" s="168"/>
      <c r="L50" s="168"/>
      <c r="M50" s="168"/>
      <c r="O50" s="168"/>
      <c r="P50" s="168"/>
    </row>
    <row r="51" spans="1:19" hidden="1" outlineLevel="1" x14ac:dyDescent="0.25">
      <c r="B51" s="171"/>
      <c r="C51" s="176" t="s">
        <v>106</v>
      </c>
      <c r="F51" s="168"/>
      <c r="G51" s="168"/>
      <c r="H51" s="168"/>
      <c r="K51" s="168"/>
      <c r="L51" s="168"/>
      <c r="M51" s="168"/>
      <c r="O51" s="168"/>
      <c r="P51" s="168"/>
    </row>
    <row r="52" spans="1:19" hidden="1" outlineLevel="1" x14ac:dyDescent="0.25">
      <c r="B52" s="169"/>
      <c r="C52" s="173" t="s">
        <v>107</v>
      </c>
      <c r="F52" s="168"/>
      <c r="G52" s="168"/>
      <c r="H52" s="168"/>
      <c r="K52" s="168"/>
      <c r="L52" s="168"/>
      <c r="M52" s="168"/>
      <c r="O52" s="168"/>
      <c r="P52" s="168"/>
    </row>
    <row r="53" spans="1:19" hidden="1" outlineLevel="1" x14ac:dyDescent="0.25">
      <c r="B53" s="165" t="s">
        <v>94</v>
      </c>
      <c r="C53" s="176" t="s">
        <v>108</v>
      </c>
      <c r="F53" s="168"/>
      <c r="G53" s="168"/>
      <c r="H53" s="168"/>
      <c r="K53" s="168"/>
      <c r="L53" s="168"/>
      <c r="M53" s="168"/>
      <c r="O53" s="168"/>
      <c r="P53" s="168"/>
    </row>
    <row r="54" spans="1:19" hidden="1" outlineLevel="1" x14ac:dyDescent="0.25">
      <c r="B54" s="171"/>
      <c r="C54" s="176" t="s">
        <v>109</v>
      </c>
      <c r="F54" s="168"/>
      <c r="G54" s="168"/>
      <c r="H54" s="168"/>
      <c r="K54" s="168"/>
      <c r="L54" s="168"/>
      <c r="M54" s="168"/>
      <c r="O54" s="168"/>
      <c r="P54" s="168"/>
    </row>
    <row r="55" spans="1:19" hidden="1" outlineLevel="1" x14ac:dyDescent="0.25">
      <c r="B55" s="169"/>
      <c r="C55" s="173" t="s">
        <v>110</v>
      </c>
      <c r="F55" s="168"/>
      <c r="G55" s="168"/>
      <c r="H55" s="168"/>
      <c r="K55" s="168"/>
      <c r="L55" s="168"/>
      <c r="M55" s="168"/>
      <c r="O55" s="168"/>
      <c r="P55" s="168"/>
    </row>
    <row r="56" spans="1:19" hidden="1" outlineLevel="1" x14ac:dyDescent="0.25">
      <c r="B56" s="165" t="s">
        <v>95</v>
      </c>
      <c r="C56" s="176" t="s">
        <v>111</v>
      </c>
      <c r="F56" s="168"/>
      <c r="G56" s="168"/>
      <c r="H56" s="168"/>
      <c r="K56" s="168"/>
      <c r="L56" s="168"/>
      <c r="M56" s="168"/>
      <c r="O56" s="168"/>
      <c r="P56" s="168"/>
    </row>
    <row r="57" spans="1:19" hidden="1" outlineLevel="1" x14ac:dyDescent="0.25">
      <c r="B57" s="171"/>
      <c r="C57" s="176" t="s">
        <v>105</v>
      </c>
      <c r="F57" s="168"/>
      <c r="G57" s="168"/>
      <c r="H57" s="168"/>
      <c r="K57" s="168"/>
      <c r="L57" s="168"/>
      <c r="M57" s="168"/>
      <c r="O57" s="168"/>
      <c r="P57" s="168"/>
    </row>
    <row r="58" spans="1:19" hidden="1" outlineLevel="1" x14ac:dyDescent="0.25">
      <c r="B58" s="171"/>
      <c r="C58" s="176" t="s">
        <v>112</v>
      </c>
      <c r="F58" s="168"/>
      <c r="G58" s="168"/>
      <c r="H58" s="168"/>
      <c r="K58" s="168"/>
      <c r="L58" s="168"/>
      <c r="M58" s="168"/>
      <c r="O58" s="168"/>
      <c r="P58" s="168"/>
    </row>
    <row r="59" spans="1:19" hidden="1" outlineLevel="1" x14ac:dyDescent="0.25">
      <c r="B59" s="169"/>
      <c r="C59" s="173" t="s">
        <v>113</v>
      </c>
      <c r="F59" s="168"/>
      <c r="G59" s="168"/>
      <c r="H59" s="168"/>
      <c r="K59" s="168"/>
      <c r="L59" s="168"/>
      <c r="M59" s="168"/>
      <c r="O59" s="168"/>
      <c r="P59" s="168"/>
    </row>
    <row r="60" spans="1:19" hidden="1" outlineLevel="1" x14ac:dyDescent="0.25"/>
    <row r="61" spans="1:19" ht="18" customHeight="1" collapsed="1" x14ac:dyDescent="0.25">
      <c r="A61" s="147">
        <v>3</v>
      </c>
      <c r="B61" s="185" t="s">
        <v>63</v>
      </c>
      <c r="C61" s="186"/>
      <c r="D61" s="186"/>
      <c r="E61" s="186"/>
      <c r="F61" s="186"/>
      <c r="G61" s="186"/>
      <c r="H61" s="186"/>
      <c r="I61" s="186"/>
      <c r="J61" s="186"/>
      <c r="K61" s="186"/>
      <c r="L61" s="186"/>
      <c r="M61" s="186"/>
      <c r="N61" s="186"/>
      <c r="O61" s="186"/>
      <c r="P61" s="186"/>
      <c r="Q61" s="186"/>
      <c r="R61" s="186"/>
      <c r="S61" s="186"/>
    </row>
    <row r="62" spans="1:19" hidden="1" outlineLevel="1" x14ac:dyDescent="0.25">
      <c r="B62" s="160">
        <v>1</v>
      </c>
      <c r="C62" s="187" t="s">
        <v>114</v>
      </c>
    </row>
    <row r="63" spans="1:19" hidden="1" outlineLevel="1" x14ac:dyDescent="0.25">
      <c r="B63" s="160">
        <v>1.1000000000000001</v>
      </c>
      <c r="C63" s="187" t="s">
        <v>115</v>
      </c>
    </row>
    <row r="64" spans="1:19" hidden="1" outlineLevel="1" x14ac:dyDescent="0.25">
      <c r="B64" s="160">
        <v>1.2</v>
      </c>
      <c r="C64" s="187" t="s">
        <v>116</v>
      </c>
    </row>
    <row r="65" spans="1:33" hidden="1" outlineLevel="1" x14ac:dyDescent="0.25">
      <c r="B65" s="160">
        <v>1.3</v>
      </c>
      <c r="C65" s="187" t="s">
        <v>117</v>
      </c>
    </row>
    <row r="66" spans="1:33" hidden="1" outlineLevel="1" x14ac:dyDescent="0.25">
      <c r="B66" s="160">
        <v>1.4</v>
      </c>
      <c r="C66" s="187" t="s">
        <v>118</v>
      </c>
    </row>
    <row r="67" spans="1:33" hidden="1" outlineLevel="1" x14ac:dyDescent="0.25">
      <c r="B67" s="160">
        <v>1.5</v>
      </c>
      <c r="C67" s="187" t="s">
        <v>119</v>
      </c>
    </row>
    <row r="68" spans="1:33" hidden="1" outlineLevel="1" x14ac:dyDescent="0.25">
      <c r="B68" s="160">
        <v>1.6</v>
      </c>
      <c r="C68" s="187" t="s">
        <v>120</v>
      </c>
    </row>
    <row r="69" spans="1:33" hidden="1" outlineLevel="1" x14ac:dyDescent="0.25">
      <c r="B69" s="188">
        <v>1.7</v>
      </c>
      <c r="C69" s="187" t="s">
        <v>121</v>
      </c>
    </row>
    <row r="70" spans="1:33" hidden="1" outlineLevel="1" x14ac:dyDescent="0.25"/>
    <row r="71" spans="1:33" ht="18" customHeight="1" collapsed="1" x14ac:dyDescent="0.25">
      <c r="A71" s="147">
        <v>4</v>
      </c>
      <c r="B71" s="185" t="s">
        <v>64</v>
      </c>
      <c r="C71" s="186"/>
      <c r="D71" s="186"/>
      <c r="E71" s="186"/>
      <c r="F71" s="186"/>
      <c r="G71" s="186"/>
      <c r="H71" s="186"/>
      <c r="I71" s="186"/>
      <c r="J71" s="186"/>
      <c r="K71" s="186"/>
      <c r="L71" s="186"/>
      <c r="M71" s="186"/>
      <c r="N71" s="186"/>
      <c r="O71" s="186"/>
      <c r="P71" s="186"/>
      <c r="Q71" s="186"/>
      <c r="R71" s="186"/>
      <c r="S71" s="186"/>
    </row>
    <row r="72" spans="1:33" hidden="1" outlineLevel="1" x14ac:dyDescent="0.25"/>
    <row r="73" spans="1:33" ht="13.35" hidden="1" customHeight="1" outlineLevel="1" x14ac:dyDescent="0.25">
      <c r="C73" s="160" t="s">
        <v>72</v>
      </c>
      <c r="D73" s="160" t="s">
        <v>73</v>
      </c>
      <c r="E73" s="160" t="s">
        <v>74</v>
      </c>
      <c r="F73" s="160" t="s">
        <v>75</v>
      </c>
      <c r="G73" s="160" t="s">
        <v>94</v>
      </c>
      <c r="H73" s="160" t="s">
        <v>95</v>
      </c>
      <c r="I73" s="160" t="s">
        <v>122</v>
      </c>
      <c r="J73" s="189" t="s">
        <v>123</v>
      </c>
      <c r="K73" s="190"/>
      <c r="L73" s="190"/>
      <c r="M73" s="191"/>
      <c r="N73" s="189" t="s">
        <v>124</v>
      </c>
      <c r="O73" s="190"/>
      <c r="P73" s="190"/>
      <c r="Q73" s="191"/>
      <c r="R73" s="189" t="s">
        <v>125</v>
      </c>
      <c r="S73" s="190"/>
      <c r="T73" s="190"/>
      <c r="U73" s="191"/>
      <c r="V73" s="160" t="s">
        <v>126</v>
      </c>
      <c r="W73" s="160" t="s">
        <v>127</v>
      </c>
      <c r="X73" s="160" t="s">
        <v>128</v>
      </c>
      <c r="Y73" s="160" t="s">
        <v>129</v>
      </c>
      <c r="Z73" s="160" t="s">
        <v>130</v>
      </c>
      <c r="AA73" s="160" t="s">
        <v>131</v>
      </c>
      <c r="AB73" s="160" t="s">
        <v>132</v>
      </c>
      <c r="AC73" s="160" t="s">
        <v>133</v>
      </c>
      <c r="AD73" s="160" t="s">
        <v>134</v>
      </c>
      <c r="AE73" s="160" t="s">
        <v>135</v>
      </c>
      <c r="AF73" s="160" t="s">
        <v>136</v>
      </c>
      <c r="AG73" s="160" t="s">
        <v>137</v>
      </c>
    </row>
    <row r="74" spans="1:33" s="151" customFormat="1" ht="202.35" hidden="1" customHeight="1" outlineLevel="1" x14ac:dyDescent="0.25">
      <c r="A74" s="144"/>
      <c r="B74" s="192" t="s">
        <v>138</v>
      </c>
      <c r="C74" s="183" t="s">
        <v>139</v>
      </c>
      <c r="D74" s="183" t="s">
        <v>140</v>
      </c>
      <c r="E74" s="183" t="s">
        <v>141</v>
      </c>
      <c r="F74" s="193" t="s">
        <v>142</v>
      </c>
      <c r="G74" s="183" t="s">
        <v>143</v>
      </c>
      <c r="H74" s="183" t="s">
        <v>144</v>
      </c>
      <c r="I74" s="183" t="s">
        <v>145</v>
      </c>
      <c r="J74" s="67" t="s">
        <v>238</v>
      </c>
      <c r="K74" s="67" t="s">
        <v>239</v>
      </c>
      <c r="L74" s="67" t="s">
        <v>240</v>
      </c>
      <c r="M74" s="67" t="s">
        <v>241</v>
      </c>
      <c r="N74" s="67" t="s">
        <v>147</v>
      </c>
      <c r="O74" s="67" t="s">
        <v>146</v>
      </c>
      <c r="P74" s="67" t="s">
        <v>148</v>
      </c>
      <c r="Q74" s="67" t="s">
        <v>149</v>
      </c>
      <c r="R74" s="67" t="s">
        <v>151</v>
      </c>
      <c r="S74" s="67" t="s">
        <v>150</v>
      </c>
      <c r="T74" s="67" t="s">
        <v>152</v>
      </c>
      <c r="U74" s="67" t="s">
        <v>153</v>
      </c>
      <c r="V74" s="194" t="s">
        <v>154</v>
      </c>
      <c r="W74" s="183" t="s">
        <v>155</v>
      </c>
      <c r="X74" s="183" t="s">
        <v>156</v>
      </c>
      <c r="Y74" s="183" t="s">
        <v>157</v>
      </c>
      <c r="Z74" s="183" t="s">
        <v>158</v>
      </c>
      <c r="AA74" s="183" t="s">
        <v>159</v>
      </c>
      <c r="AB74" s="195" t="s">
        <v>62</v>
      </c>
      <c r="AC74" s="183" t="s">
        <v>44</v>
      </c>
      <c r="AD74" s="183" t="s">
        <v>160</v>
      </c>
      <c r="AE74" s="183" t="s">
        <v>161</v>
      </c>
      <c r="AF74" s="196" t="s">
        <v>162</v>
      </c>
      <c r="AG74" s="183" t="s">
        <v>163</v>
      </c>
    </row>
    <row r="75" spans="1:33" ht="171" hidden="1" customHeight="1" outlineLevel="1" x14ac:dyDescent="0.25">
      <c r="A75" s="145"/>
      <c r="D75" s="145"/>
      <c r="F75" s="145"/>
      <c r="G75" s="145"/>
      <c r="H75" s="145"/>
      <c r="K75" s="145"/>
      <c r="L75" s="145"/>
      <c r="M75" s="145"/>
      <c r="O75" s="145"/>
      <c r="P75" s="145"/>
      <c r="Q75" s="145"/>
    </row>
    <row r="76" spans="1:33" ht="13.35" customHeight="1" collapsed="1" x14ac:dyDescent="0.25">
      <c r="A76" s="144">
        <v>4.0999999999999996</v>
      </c>
      <c r="B76" s="197" t="s">
        <v>164</v>
      </c>
      <c r="C76" s="198"/>
      <c r="D76" s="198"/>
      <c r="E76" s="198"/>
      <c r="F76" s="198"/>
      <c r="G76" s="198"/>
      <c r="H76" s="198"/>
      <c r="I76" s="198"/>
      <c r="J76" s="198"/>
      <c r="K76" s="198"/>
      <c r="L76" s="198"/>
      <c r="M76" s="198"/>
      <c r="N76" s="198"/>
      <c r="O76" s="198"/>
      <c r="P76" s="198"/>
      <c r="Q76" s="198"/>
      <c r="R76" s="198"/>
      <c r="S76" s="198"/>
    </row>
    <row r="77" spans="1:33" hidden="1" outlineLevel="1" x14ac:dyDescent="0.25"/>
    <row r="78" spans="1:33" ht="13.35" hidden="1" customHeight="1" outlineLevel="1" x14ac:dyDescent="0.25">
      <c r="C78" s="160" t="s">
        <v>72</v>
      </c>
      <c r="D78" s="160" t="s">
        <v>73</v>
      </c>
      <c r="E78" s="160" t="s">
        <v>74</v>
      </c>
      <c r="F78" s="145"/>
    </row>
    <row r="79" spans="1:33" s="151" customFormat="1" ht="202.35" hidden="1" customHeight="1" outlineLevel="1" x14ac:dyDescent="0.25">
      <c r="A79" s="144"/>
      <c r="B79" s="192" t="s">
        <v>138</v>
      </c>
      <c r="C79" s="183" t="s">
        <v>139</v>
      </c>
      <c r="D79" s="183" t="s">
        <v>140</v>
      </c>
      <c r="E79" s="183" t="s">
        <v>141</v>
      </c>
      <c r="Q79" s="199"/>
    </row>
    <row r="80" spans="1:33" hidden="1" outlineLevel="1" x14ac:dyDescent="0.25">
      <c r="B80" s="160" t="s">
        <v>72</v>
      </c>
      <c r="C80" s="166" t="s">
        <v>165</v>
      </c>
      <c r="F80" s="168"/>
      <c r="G80" s="168"/>
      <c r="H80" s="168"/>
      <c r="K80" s="168"/>
      <c r="L80" s="168"/>
      <c r="M80" s="168"/>
      <c r="O80" s="168"/>
      <c r="P80" s="168"/>
      <c r="Q80" s="168"/>
    </row>
    <row r="81" spans="1:19" s="167" customFormat="1" ht="15" hidden="1" customHeight="1" outlineLevel="1" x14ac:dyDescent="0.25">
      <c r="A81" s="164"/>
      <c r="B81" s="165" t="s">
        <v>73</v>
      </c>
      <c r="C81" s="176" t="s">
        <v>166</v>
      </c>
      <c r="F81" s="168"/>
      <c r="G81" s="168"/>
      <c r="H81" s="168"/>
      <c r="K81" s="168"/>
      <c r="L81" s="168"/>
      <c r="M81" s="168"/>
      <c r="O81" s="168"/>
      <c r="P81" s="168"/>
      <c r="Q81" s="168"/>
    </row>
    <row r="82" spans="1:19" s="167" customFormat="1" ht="15" hidden="1" customHeight="1" outlineLevel="1" x14ac:dyDescent="0.25">
      <c r="A82" s="164"/>
      <c r="B82" s="169"/>
      <c r="C82" s="176" t="s">
        <v>167</v>
      </c>
      <c r="F82" s="168"/>
      <c r="G82" s="168"/>
      <c r="H82" s="168"/>
      <c r="K82" s="168"/>
      <c r="L82" s="168"/>
      <c r="M82" s="168"/>
      <c r="O82" s="168"/>
      <c r="P82" s="168"/>
      <c r="Q82" s="168"/>
    </row>
    <row r="83" spans="1:19" s="167" customFormat="1" ht="15" hidden="1" customHeight="1" outlineLevel="1" x14ac:dyDescent="0.25">
      <c r="A83" s="164"/>
      <c r="B83" s="160" t="s">
        <v>74</v>
      </c>
      <c r="C83" s="176" t="s">
        <v>168</v>
      </c>
      <c r="F83" s="168"/>
      <c r="G83" s="168"/>
      <c r="H83" s="168"/>
      <c r="K83" s="168"/>
      <c r="L83" s="168"/>
      <c r="M83" s="168"/>
      <c r="O83" s="168"/>
      <c r="P83" s="168"/>
      <c r="Q83" s="168"/>
    </row>
    <row r="84" spans="1:19" ht="13.35" hidden="1" customHeight="1" outlineLevel="1" x14ac:dyDescent="0.25">
      <c r="D84" s="146"/>
      <c r="E84" s="146"/>
    </row>
    <row r="85" spans="1:19" s="201" customFormat="1" ht="15" customHeight="1" collapsed="1" x14ac:dyDescent="0.25">
      <c r="A85" s="164">
        <v>4.2</v>
      </c>
      <c r="B85" s="197" t="s">
        <v>64</v>
      </c>
      <c r="C85" s="198"/>
      <c r="D85" s="198"/>
      <c r="E85" s="198"/>
      <c r="F85" s="198"/>
      <c r="G85" s="198"/>
      <c r="H85" s="198"/>
      <c r="I85" s="198"/>
      <c r="J85" s="198"/>
      <c r="K85" s="198"/>
      <c r="L85" s="198"/>
      <c r="M85" s="198"/>
      <c r="N85" s="198"/>
      <c r="O85" s="198"/>
      <c r="P85" s="198"/>
      <c r="Q85" s="198"/>
      <c r="R85" s="198"/>
      <c r="S85" s="200"/>
    </row>
    <row r="86" spans="1:19" ht="13.35" hidden="1" customHeight="1" outlineLevel="1" x14ac:dyDescent="0.25">
      <c r="D86" s="146"/>
      <c r="E86" s="146"/>
    </row>
    <row r="87" spans="1:19" ht="15" hidden="1" customHeight="1" outlineLevel="1" x14ac:dyDescent="0.25">
      <c r="B87" s="160" t="s">
        <v>75</v>
      </c>
      <c r="C87" s="160" t="s">
        <v>94</v>
      </c>
      <c r="D87" s="160" t="s">
        <v>95</v>
      </c>
      <c r="E87" s="160" t="s">
        <v>122</v>
      </c>
      <c r="F87" s="189" t="s">
        <v>123</v>
      </c>
      <c r="G87" s="190"/>
      <c r="H87" s="190"/>
      <c r="I87" s="191"/>
      <c r="J87" s="189" t="s">
        <v>124</v>
      </c>
      <c r="K87" s="190"/>
      <c r="L87" s="190"/>
      <c r="M87" s="191"/>
      <c r="N87" s="189" t="s">
        <v>125</v>
      </c>
      <c r="O87" s="190"/>
      <c r="P87" s="190"/>
      <c r="Q87" s="191"/>
    </row>
    <row r="88" spans="1:19" s="151" customFormat="1" ht="158.25" hidden="1" customHeight="1" outlineLevel="1" x14ac:dyDescent="0.25">
      <c r="A88" s="144"/>
      <c r="B88" s="192" t="s">
        <v>169</v>
      </c>
      <c r="C88" s="183" t="s">
        <v>143</v>
      </c>
      <c r="D88" s="183" t="s">
        <v>144</v>
      </c>
      <c r="E88" s="183" t="s">
        <v>145</v>
      </c>
      <c r="F88" s="67" t="s">
        <v>238</v>
      </c>
      <c r="G88" s="67" t="s">
        <v>239</v>
      </c>
      <c r="H88" s="67" t="s">
        <v>240</v>
      </c>
      <c r="I88" s="67" t="s">
        <v>241</v>
      </c>
      <c r="J88" s="67" t="s">
        <v>147</v>
      </c>
      <c r="K88" s="67" t="s">
        <v>146</v>
      </c>
      <c r="L88" s="67" t="s">
        <v>148</v>
      </c>
      <c r="M88" s="67" t="s">
        <v>149</v>
      </c>
      <c r="N88" s="67" t="s">
        <v>151</v>
      </c>
      <c r="O88" s="67" t="s">
        <v>150</v>
      </c>
      <c r="P88" s="67" t="s">
        <v>152</v>
      </c>
      <c r="Q88" s="67" t="s">
        <v>153</v>
      </c>
    </row>
    <row r="89" spans="1:19" s="167" customFormat="1" ht="15" hidden="1" customHeight="1" outlineLevel="1" x14ac:dyDescent="0.25">
      <c r="A89" s="164"/>
      <c r="B89" s="160" t="s">
        <v>94</v>
      </c>
      <c r="C89" s="176" t="s">
        <v>170</v>
      </c>
      <c r="F89" s="168"/>
      <c r="G89" s="168"/>
      <c r="H89" s="168"/>
      <c r="K89" s="168"/>
      <c r="L89" s="168"/>
      <c r="M89" s="168"/>
      <c r="O89" s="168"/>
      <c r="P89" s="168"/>
      <c r="Q89" s="168"/>
    </row>
    <row r="90" spans="1:19" s="167" customFormat="1" ht="15" hidden="1" customHeight="1" outlineLevel="1" x14ac:dyDescent="0.25">
      <c r="A90" s="164"/>
      <c r="B90" s="160" t="s">
        <v>95</v>
      </c>
      <c r="C90" s="115" t="s">
        <v>171</v>
      </c>
      <c r="F90" s="168"/>
      <c r="G90" s="168"/>
      <c r="H90" s="168"/>
      <c r="K90" s="168"/>
      <c r="L90" s="168"/>
      <c r="M90" s="168"/>
      <c r="O90" s="168"/>
      <c r="P90" s="168"/>
      <c r="Q90" s="168"/>
    </row>
    <row r="91" spans="1:19" s="167" customFormat="1" ht="15" hidden="1" customHeight="1" outlineLevel="1" x14ac:dyDescent="0.25">
      <c r="A91" s="164"/>
      <c r="B91" s="160" t="s">
        <v>122</v>
      </c>
      <c r="C91" s="176" t="s">
        <v>172</v>
      </c>
      <c r="F91" s="168"/>
      <c r="G91" s="168"/>
      <c r="H91" s="168"/>
      <c r="K91" s="168"/>
      <c r="L91" s="168"/>
      <c r="M91" s="168"/>
      <c r="O91" s="168"/>
      <c r="P91" s="168"/>
      <c r="Q91" s="168"/>
    </row>
    <row r="92" spans="1:19" s="167" customFormat="1" ht="15" hidden="1" customHeight="1" outlineLevel="1" x14ac:dyDescent="0.25">
      <c r="A92" s="164"/>
      <c r="B92" s="165" t="s">
        <v>123</v>
      </c>
      <c r="C92" s="251" t="s">
        <v>173</v>
      </c>
      <c r="F92" s="168"/>
      <c r="G92" s="168"/>
      <c r="H92" s="168"/>
      <c r="K92" s="168"/>
      <c r="L92" s="168"/>
      <c r="M92" s="168"/>
      <c r="O92" s="168"/>
      <c r="P92" s="168"/>
      <c r="Q92" s="168"/>
    </row>
    <row r="93" spans="1:19" s="167" customFormat="1" ht="15" hidden="1" customHeight="1" outlineLevel="1" x14ac:dyDescent="0.25">
      <c r="A93" s="164"/>
      <c r="B93" s="169"/>
      <c r="C93" s="252" t="s">
        <v>992</v>
      </c>
      <c r="F93" s="168"/>
      <c r="G93" s="168"/>
      <c r="H93" s="168"/>
      <c r="K93" s="168"/>
      <c r="L93" s="168"/>
      <c r="M93" s="168"/>
      <c r="O93" s="168"/>
      <c r="P93" s="168"/>
      <c r="Q93" s="168"/>
    </row>
    <row r="94" spans="1:19" s="167" customFormat="1" ht="15" hidden="1" customHeight="1" outlineLevel="1" x14ac:dyDescent="0.25">
      <c r="A94" s="164"/>
      <c r="B94" s="160" t="s">
        <v>124</v>
      </c>
      <c r="C94" s="251" t="s">
        <v>174</v>
      </c>
      <c r="F94" s="168"/>
      <c r="G94" s="168"/>
      <c r="H94" s="168"/>
      <c r="K94" s="168"/>
      <c r="L94" s="168"/>
      <c r="M94" s="168"/>
      <c r="O94" s="168"/>
      <c r="P94" s="168"/>
      <c r="Q94" s="168"/>
    </row>
    <row r="95" spans="1:19" s="167" customFormat="1" ht="15" hidden="1" customHeight="1" outlineLevel="1" x14ac:dyDescent="0.25">
      <c r="A95" s="164"/>
      <c r="B95" s="160" t="s">
        <v>125</v>
      </c>
      <c r="C95" s="176" t="s">
        <v>175</v>
      </c>
      <c r="F95" s="168"/>
      <c r="G95" s="168"/>
      <c r="H95" s="168"/>
      <c r="K95" s="168"/>
      <c r="L95" s="168"/>
      <c r="M95" s="168"/>
      <c r="O95" s="168"/>
      <c r="P95" s="168"/>
      <c r="Q95" s="168"/>
    </row>
    <row r="96" spans="1:19" ht="13.35" hidden="1" customHeight="1" outlineLevel="1" x14ac:dyDescent="0.25">
      <c r="D96" s="145"/>
      <c r="O96" s="145"/>
      <c r="P96" s="145"/>
      <c r="Q96" s="145"/>
    </row>
    <row r="97" spans="1:24" s="201" customFormat="1" ht="15" customHeight="1" collapsed="1" x14ac:dyDescent="0.25">
      <c r="A97" s="164">
        <v>4.3</v>
      </c>
      <c r="B97" s="197" t="s">
        <v>176</v>
      </c>
      <c r="C97" s="198"/>
      <c r="D97" s="198"/>
      <c r="E97" s="198"/>
      <c r="F97" s="198"/>
      <c r="G97" s="198"/>
      <c r="H97" s="198"/>
      <c r="I97" s="198"/>
      <c r="J97" s="198"/>
      <c r="K97" s="198"/>
      <c r="L97" s="198"/>
      <c r="M97" s="198"/>
      <c r="N97" s="198"/>
      <c r="O97" s="198"/>
      <c r="P97" s="198"/>
      <c r="Q97" s="198"/>
      <c r="R97" s="198"/>
      <c r="S97" s="200"/>
    </row>
    <row r="98" spans="1:24" ht="13.35" hidden="1" customHeight="1" outlineLevel="1" x14ac:dyDescent="0.25">
      <c r="D98" s="145"/>
      <c r="N98" s="146"/>
      <c r="R98" s="146"/>
      <c r="S98" s="146"/>
      <c r="T98" s="146"/>
      <c r="U98" s="146"/>
      <c r="V98" s="146"/>
      <c r="W98" s="146"/>
      <c r="X98" s="146"/>
    </row>
    <row r="99" spans="1:24" ht="15" hidden="1" customHeight="1" outlineLevel="1" x14ac:dyDescent="0.25">
      <c r="B99" s="160" t="s">
        <v>126</v>
      </c>
      <c r="C99" s="160" t="s">
        <v>127</v>
      </c>
      <c r="D99" s="160" t="s">
        <v>128</v>
      </c>
      <c r="E99" s="160" t="s">
        <v>129</v>
      </c>
      <c r="F99" s="160" t="s">
        <v>130</v>
      </c>
      <c r="G99" s="160" t="s">
        <v>131</v>
      </c>
      <c r="K99" s="145"/>
      <c r="L99" s="145"/>
      <c r="M99" s="145"/>
      <c r="O99" s="145"/>
      <c r="P99" s="145"/>
      <c r="Q99" s="145"/>
    </row>
    <row r="100" spans="1:24" s="151" customFormat="1" ht="148.5" hidden="1" customHeight="1" outlineLevel="1" x14ac:dyDescent="0.25">
      <c r="A100" s="144"/>
      <c r="B100" s="192" t="s">
        <v>154</v>
      </c>
      <c r="C100" s="183" t="s">
        <v>143</v>
      </c>
      <c r="D100" s="183" t="s">
        <v>156</v>
      </c>
      <c r="E100" s="183" t="s">
        <v>157</v>
      </c>
      <c r="F100" s="183" t="s">
        <v>158</v>
      </c>
      <c r="G100" s="183" t="s">
        <v>159</v>
      </c>
      <c r="H100" s="199"/>
    </row>
    <row r="101" spans="1:24" s="167" customFormat="1" ht="15" hidden="1" customHeight="1" outlineLevel="1" x14ac:dyDescent="0.25">
      <c r="A101" s="164"/>
      <c r="B101" s="169" t="s">
        <v>127</v>
      </c>
      <c r="C101" s="176" t="s">
        <v>177</v>
      </c>
      <c r="F101" s="168"/>
      <c r="G101" s="168"/>
      <c r="H101" s="168"/>
      <c r="K101" s="168"/>
      <c r="L101" s="168"/>
      <c r="M101" s="168"/>
      <c r="O101" s="168"/>
      <c r="P101" s="168"/>
      <c r="Q101" s="168"/>
    </row>
    <row r="102" spans="1:24" s="167" customFormat="1" ht="15" hidden="1" customHeight="1" outlineLevel="1" x14ac:dyDescent="0.25">
      <c r="A102" s="164"/>
      <c r="B102" s="165" t="s">
        <v>128</v>
      </c>
      <c r="C102" s="166" t="s">
        <v>178</v>
      </c>
      <c r="F102" s="168"/>
      <c r="G102" s="168"/>
      <c r="H102" s="168"/>
      <c r="K102" s="168"/>
      <c r="L102" s="168"/>
      <c r="M102" s="168"/>
      <c r="O102" s="168"/>
      <c r="P102" s="168"/>
      <c r="Q102" s="168"/>
    </row>
    <row r="103" spans="1:24" s="167" customFormat="1" ht="15" hidden="1" customHeight="1" outlineLevel="1" x14ac:dyDescent="0.25">
      <c r="A103" s="164"/>
      <c r="B103" s="171"/>
      <c r="C103" s="166" t="s">
        <v>179</v>
      </c>
      <c r="F103" s="168"/>
      <c r="G103" s="168"/>
      <c r="H103" s="168"/>
      <c r="K103" s="168"/>
      <c r="L103" s="168"/>
      <c r="M103" s="168"/>
      <c r="O103" s="168"/>
      <c r="P103" s="168"/>
      <c r="Q103" s="168"/>
    </row>
    <row r="104" spans="1:24" s="167" customFormat="1" ht="15" hidden="1" customHeight="1" outlineLevel="1" x14ac:dyDescent="0.25">
      <c r="A104" s="164"/>
      <c r="B104" s="169"/>
      <c r="C104" s="166" t="s">
        <v>180</v>
      </c>
      <c r="F104" s="168"/>
      <c r="G104" s="168"/>
      <c r="H104" s="168"/>
      <c r="K104" s="168"/>
      <c r="L104" s="168"/>
      <c r="M104" s="168"/>
      <c r="O104" s="168"/>
      <c r="P104" s="168"/>
      <c r="Q104" s="168"/>
    </row>
    <row r="105" spans="1:24" s="167" customFormat="1" ht="15" hidden="1" customHeight="1" outlineLevel="1" x14ac:dyDescent="0.25">
      <c r="A105" s="164"/>
      <c r="B105" s="160" t="s">
        <v>129</v>
      </c>
      <c r="C105" s="166" t="s">
        <v>181</v>
      </c>
      <c r="F105" s="168"/>
      <c r="G105" s="168"/>
      <c r="H105" s="168"/>
      <c r="K105" s="168"/>
      <c r="L105" s="168"/>
      <c r="M105" s="168"/>
      <c r="O105" s="168"/>
      <c r="P105" s="168"/>
      <c r="Q105" s="168"/>
    </row>
    <row r="106" spans="1:24" s="167" customFormat="1" ht="15" hidden="1" customHeight="1" outlineLevel="1" x14ac:dyDescent="0.25">
      <c r="A106" s="164"/>
      <c r="B106" s="160" t="s">
        <v>130</v>
      </c>
      <c r="C106" s="166" t="s">
        <v>182</v>
      </c>
      <c r="F106" s="168"/>
      <c r="G106" s="168"/>
      <c r="H106" s="168"/>
      <c r="K106" s="168"/>
      <c r="L106" s="168"/>
      <c r="M106" s="168"/>
      <c r="O106" s="168"/>
      <c r="P106" s="168"/>
      <c r="Q106" s="168"/>
    </row>
    <row r="107" spans="1:24" s="167" customFormat="1" ht="15" hidden="1" customHeight="1" outlineLevel="1" x14ac:dyDescent="0.25">
      <c r="A107" s="164"/>
      <c r="B107" s="160" t="s">
        <v>131</v>
      </c>
      <c r="C107" s="166" t="s">
        <v>183</v>
      </c>
      <c r="F107" s="168"/>
      <c r="G107" s="168"/>
      <c r="H107" s="168"/>
      <c r="K107" s="168"/>
      <c r="L107" s="168"/>
      <c r="M107" s="168"/>
      <c r="O107" s="168"/>
      <c r="P107" s="168"/>
      <c r="Q107" s="168"/>
    </row>
    <row r="108" spans="1:24" ht="13.35" hidden="1" customHeight="1" outlineLevel="1" x14ac:dyDescent="0.25">
      <c r="D108" s="145"/>
    </row>
    <row r="109" spans="1:24" s="201" customFormat="1" ht="15" customHeight="1" collapsed="1" x14ac:dyDescent="0.25">
      <c r="A109" s="164">
        <v>4.4000000000000004</v>
      </c>
      <c r="B109" s="197" t="s">
        <v>184</v>
      </c>
      <c r="C109" s="198"/>
      <c r="D109" s="198"/>
      <c r="E109" s="198"/>
      <c r="F109" s="198"/>
      <c r="G109" s="198"/>
      <c r="H109" s="198"/>
      <c r="I109" s="198"/>
      <c r="J109" s="198"/>
      <c r="K109" s="198"/>
      <c r="L109" s="198"/>
      <c r="M109" s="198"/>
      <c r="N109" s="198"/>
      <c r="O109" s="198"/>
      <c r="P109" s="198"/>
      <c r="Q109" s="198"/>
      <c r="R109" s="198"/>
      <c r="S109" s="200"/>
    </row>
    <row r="110" spans="1:24" ht="13.35" hidden="1" customHeight="1" outlineLevel="1" x14ac:dyDescent="0.25">
      <c r="D110" s="145"/>
      <c r="J110" s="203"/>
      <c r="K110" s="204"/>
    </row>
    <row r="111" spans="1:24" ht="15" hidden="1" customHeight="1" outlineLevel="1" x14ac:dyDescent="0.25">
      <c r="B111" s="160" t="s">
        <v>136</v>
      </c>
      <c r="C111" s="160" t="s">
        <v>137</v>
      </c>
      <c r="D111" s="204"/>
      <c r="E111" s="204"/>
      <c r="F111" s="204"/>
      <c r="G111" s="204"/>
      <c r="H111" s="204"/>
      <c r="I111" s="204"/>
      <c r="J111" s="204"/>
      <c r="K111" s="204"/>
    </row>
    <row r="112" spans="1:24" s="151" customFormat="1" ht="146.25" hidden="1" customHeight="1" outlineLevel="1" x14ac:dyDescent="0.25">
      <c r="A112" s="144"/>
      <c r="B112" s="192" t="s">
        <v>162</v>
      </c>
      <c r="C112" s="183" t="s">
        <v>163</v>
      </c>
      <c r="D112" s="199"/>
      <c r="E112" s="199"/>
      <c r="F112" s="199"/>
      <c r="G112" s="199"/>
      <c r="H112" s="199"/>
      <c r="I112" s="199"/>
      <c r="J112" s="199"/>
      <c r="K112" s="199"/>
      <c r="L112" s="199"/>
      <c r="M112" s="199"/>
      <c r="O112" s="199"/>
      <c r="P112" s="199"/>
      <c r="Q112" s="199"/>
    </row>
    <row r="113" spans="1:30" s="167" customFormat="1" ht="15" hidden="1" customHeight="1" outlineLevel="1" x14ac:dyDescent="0.25">
      <c r="A113" s="164"/>
      <c r="B113" s="160" t="s">
        <v>137</v>
      </c>
      <c r="C113" s="176" t="s">
        <v>185</v>
      </c>
      <c r="F113" s="168"/>
      <c r="G113" s="168"/>
      <c r="H113" s="168"/>
      <c r="K113" s="168"/>
      <c r="L113" s="168"/>
      <c r="M113" s="168"/>
      <c r="O113" s="168"/>
      <c r="P113" s="168"/>
      <c r="Q113" s="168"/>
    </row>
    <row r="114" spans="1:30" ht="13.35" hidden="1" customHeight="1" outlineLevel="1" x14ac:dyDescent="0.25">
      <c r="D114" s="145"/>
    </row>
    <row r="115" spans="1:30" s="209" customFormat="1" ht="20.100000000000001" customHeight="1" collapsed="1" x14ac:dyDescent="0.25">
      <c r="A115" s="205">
        <v>5</v>
      </c>
      <c r="B115" s="206" t="s">
        <v>65</v>
      </c>
      <c r="C115" s="207"/>
      <c r="D115" s="207"/>
      <c r="E115" s="207"/>
      <c r="F115" s="207"/>
      <c r="G115" s="207"/>
      <c r="H115" s="207"/>
      <c r="I115" s="207"/>
      <c r="J115" s="207"/>
      <c r="K115" s="207"/>
      <c r="L115" s="207"/>
      <c r="M115" s="207"/>
      <c r="N115" s="207"/>
      <c r="O115" s="207"/>
      <c r="P115" s="207"/>
      <c r="Q115" s="207"/>
      <c r="R115" s="207"/>
      <c r="S115" s="208"/>
    </row>
    <row r="116" spans="1:30" ht="13.35" hidden="1" customHeight="1" outlineLevel="1" x14ac:dyDescent="0.25">
      <c r="D116" s="145"/>
    </row>
    <row r="117" spans="1:30" s="151" customFormat="1" ht="15" hidden="1" customHeight="1" outlineLevel="1" x14ac:dyDescent="0.25">
      <c r="A117" s="144"/>
      <c r="B117" s="160" t="s">
        <v>71</v>
      </c>
      <c r="C117" s="160" t="s">
        <v>72</v>
      </c>
      <c r="D117" s="160" t="s">
        <v>73</v>
      </c>
      <c r="E117" s="160" t="s">
        <v>74</v>
      </c>
      <c r="F117" s="253" t="s">
        <v>75</v>
      </c>
      <c r="G117" s="253"/>
      <c r="H117" s="253"/>
      <c r="I117" s="253"/>
      <c r="J117" s="253" t="s">
        <v>94</v>
      </c>
      <c r="K117" s="253"/>
      <c r="L117" s="253"/>
      <c r="M117" s="253"/>
      <c r="N117" s="253" t="s">
        <v>95</v>
      </c>
      <c r="O117" s="253"/>
      <c r="P117" s="253"/>
      <c r="Q117" s="253"/>
      <c r="R117" s="160" t="s">
        <v>122</v>
      </c>
      <c r="S117" s="160" t="s">
        <v>123</v>
      </c>
      <c r="T117" s="160" t="s">
        <v>124</v>
      </c>
      <c r="U117" s="160" t="s">
        <v>125</v>
      </c>
      <c r="V117" s="160" t="s">
        <v>126</v>
      </c>
      <c r="W117" s="160" t="s">
        <v>127</v>
      </c>
      <c r="X117" s="160" t="s">
        <v>128</v>
      </c>
    </row>
    <row r="118" spans="1:30" s="212" customFormat="1" ht="217.5" hidden="1" customHeight="1" outlineLevel="1" x14ac:dyDescent="0.25">
      <c r="A118" s="164"/>
      <c r="B118" s="210" t="s">
        <v>65</v>
      </c>
      <c r="C118" s="211" t="s">
        <v>143</v>
      </c>
      <c r="D118" s="211" t="s">
        <v>186</v>
      </c>
      <c r="E118" s="211" t="s">
        <v>187</v>
      </c>
      <c r="F118" s="254" t="s">
        <v>323</v>
      </c>
      <c r="G118" s="254" t="s">
        <v>324</v>
      </c>
      <c r="H118" s="254" t="s">
        <v>325</v>
      </c>
      <c r="I118" s="254" t="s">
        <v>326</v>
      </c>
      <c r="J118" s="254" t="s">
        <v>147</v>
      </c>
      <c r="K118" s="254" t="s">
        <v>146</v>
      </c>
      <c r="L118" s="254" t="s">
        <v>148</v>
      </c>
      <c r="M118" s="254" t="s">
        <v>149</v>
      </c>
      <c r="N118" s="67" t="s">
        <v>151</v>
      </c>
      <c r="O118" s="254" t="s">
        <v>150</v>
      </c>
      <c r="P118" s="67" t="s">
        <v>152</v>
      </c>
      <c r="Q118" s="67" t="s">
        <v>153</v>
      </c>
      <c r="R118" s="183" t="s">
        <v>188</v>
      </c>
      <c r="S118" s="183" t="s">
        <v>189</v>
      </c>
      <c r="T118" s="183" t="s">
        <v>190</v>
      </c>
      <c r="U118" s="210" t="s">
        <v>154</v>
      </c>
      <c r="V118" s="183" t="s">
        <v>155</v>
      </c>
      <c r="W118" s="183" t="s">
        <v>191</v>
      </c>
      <c r="X118" s="183" t="s">
        <v>192</v>
      </c>
    </row>
    <row r="119" spans="1:30" s="167" customFormat="1" ht="12.75" hidden="1" outlineLevel="1" x14ac:dyDescent="0.25"/>
    <row r="120" spans="1:30" s="201" customFormat="1" ht="15" customHeight="1" collapsed="1" x14ac:dyDescent="0.25">
      <c r="A120" s="164">
        <v>5.0999999999999996</v>
      </c>
      <c r="B120" s="213" t="s">
        <v>65</v>
      </c>
      <c r="C120" s="214"/>
      <c r="D120" s="214"/>
      <c r="E120" s="214"/>
      <c r="F120" s="214"/>
      <c r="G120" s="214"/>
      <c r="H120" s="214"/>
      <c r="I120" s="214"/>
      <c r="J120" s="214"/>
      <c r="K120" s="214"/>
      <c r="L120" s="214"/>
      <c r="M120" s="214"/>
      <c r="N120" s="214"/>
      <c r="O120" s="214"/>
      <c r="P120" s="214"/>
      <c r="Q120" s="214"/>
      <c r="R120" s="214"/>
      <c r="S120" s="215"/>
    </row>
    <row r="121" spans="1:30" s="167" customFormat="1" ht="15" hidden="1" customHeight="1" outlineLevel="1" x14ac:dyDescent="0.25">
      <c r="A121" s="168"/>
      <c r="B121" s="168"/>
      <c r="C121" s="168"/>
      <c r="D121" s="168"/>
      <c r="E121" s="168"/>
      <c r="F121" s="168"/>
      <c r="G121" s="168"/>
      <c r="H121" s="168"/>
      <c r="K121" s="168"/>
      <c r="L121" s="168"/>
      <c r="M121" s="168"/>
      <c r="O121" s="168"/>
      <c r="P121" s="168"/>
      <c r="Q121" s="168"/>
    </row>
    <row r="122" spans="1:30" s="151" customFormat="1" ht="15" hidden="1" customHeight="1" outlineLevel="1" x14ac:dyDescent="0.25">
      <c r="A122" s="144"/>
      <c r="B122" s="160" t="s">
        <v>71</v>
      </c>
      <c r="C122" s="160" t="s">
        <v>72</v>
      </c>
      <c r="D122" s="160" t="s">
        <v>73</v>
      </c>
      <c r="E122" s="160" t="s">
        <v>74</v>
      </c>
      <c r="F122" s="189" t="s">
        <v>75</v>
      </c>
      <c r="G122" s="190"/>
      <c r="H122" s="190"/>
      <c r="I122" s="191"/>
      <c r="J122" s="189" t="s">
        <v>94</v>
      </c>
      <c r="K122" s="190"/>
      <c r="L122" s="190"/>
      <c r="M122" s="191"/>
      <c r="N122" s="160" t="s">
        <v>95</v>
      </c>
      <c r="O122" s="160" t="s">
        <v>122</v>
      </c>
      <c r="P122" s="160" t="s">
        <v>123</v>
      </c>
      <c r="Q122" s="160" t="s">
        <v>124</v>
      </c>
      <c r="R122" s="160" t="s">
        <v>125</v>
      </c>
      <c r="S122" s="160" t="s">
        <v>126</v>
      </c>
      <c r="T122" s="160" t="s">
        <v>127</v>
      </c>
    </row>
    <row r="123" spans="1:30" s="212" customFormat="1" ht="154.5" hidden="1" customHeight="1" outlineLevel="1" x14ac:dyDescent="0.25">
      <c r="A123" s="164"/>
      <c r="B123" s="210" t="s">
        <v>65</v>
      </c>
      <c r="C123" s="211" t="s">
        <v>143</v>
      </c>
      <c r="D123" s="211" t="s">
        <v>186</v>
      </c>
      <c r="E123" s="211" t="s">
        <v>187</v>
      </c>
      <c r="F123" s="254" t="s">
        <v>323</v>
      </c>
      <c r="G123" s="254" t="s">
        <v>324</v>
      </c>
      <c r="H123" s="254" t="s">
        <v>325</v>
      </c>
      <c r="I123" s="254" t="s">
        <v>326</v>
      </c>
      <c r="J123" s="254" t="s">
        <v>147</v>
      </c>
      <c r="K123" s="254" t="s">
        <v>146</v>
      </c>
      <c r="L123" s="254" t="s">
        <v>148</v>
      </c>
      <c r="M123" s="254" t="s">
        <v>149</v>
      </c>
      <c r="N123" s="67" t="s">
        <v>151</v>
      </c>
      <c r="O123" s="254" t="s">
        <v>150</v>
      </c>
      <c r="P123" s="67" t="s">
        <v>152</v>
      </c>
      <c r="Q123" s="67" t="s">
        <v>153</v>
      </c>
      <c r="R123" s="183" t="s">
        <v>188</v>
      </c>
      <c r="S123" s="183" t="s">
        <v>189</v>
      </c>
      <c r="T123" s="183" t="s">
        <v>190</v>
      </c>
    </row>
    <row r="124" spans="1:30" s="167" customFormat="1" ht="15" hidden="1" customHeight="1" outlineLevel="1" x14ac:dyDescent="0.25">
      <c r="A124" s="164"/>
      <c r="B124" s="169" t="s">
        <v>72</v>
      </c>
      <c r="C124" s="176" t="s">
        <v>193</v>
      </c>
      <c r="F124" s="168"/>
      <c r="G124" s="168"/>
      <c r="H124" s="168"/>
      <c r="K124" s="168"/>
      <c r="L124" s="168"/>
      <c r="M124" s="168"/>
      <c r="O124" s="168"/>
      <c r="P124" s="168"/>
      <c r="Q124" s="168"/>
      <c r="AA124" s="212"/>
      <c r="AB124" s="212"/>
      <c r="AC124" s="212"/>
      <c r="AD124" s="212"/>
    </row>
    <row r="125" spans="1:30" s="167" customFormat="1" ht="15" hidden="1" customHeight="1" outlineLevel="1" x14ac:dyDescent="0.25">
      <c r="A125" s="164"/>
      <c r="B125" s="160" t="s">
        <v>73</v>
      </c>
      <c r="C125" s="115" t="s">
        <v>171</v>
      </c>
      <c r="F125" s="168"/>
      <c r="G125" s="168"/>
      <c r="H125" s="168"/>
      <c r="K125" s="168"/>
      <c r="L125" s="168"/>
      <c r="M125" s="168"/>
      <c r="O125" s="168"/>
      <c r="P125" s="168"/>
      <c r="Q125" s="168"/>
      <c r="AA125" s="212"/>
      <c r="AB125" s="212"/>
      <c r="AC125" s="212"/>
      <c r="AD125" s="212"/>
    </row>
    <row r="126" spans="1:30" s="167" customFormat="1" ht="15" hidden="1" customHeight="1" outlineLevel="1" x14ac:dyDescent="0.25">
      <c r="A126" s="164"/>
      <c r="B126" s="160" t="s">
        <v>74</v>
      </c>
      <c r="C126" s="176" t="s">
        <v>194</v>
      </c>
      <c r="F126" s="168"/>
      <c r="G126" s="168"/>
      <c r="H126" s="168"/>
      <c r="K126" s="168"/>
      <c r="L126" s="168"/>
      <c r="M126" s="168"/>
      <c r="O126" s="168"/>
      <c r="P126" s="168"/>
      <c r="Q126" s="168"/>
      <c r="AA126" s="212"/>
      <c r="AB126" s="212"/>
      <c r="AC126" s="212"/>
      <c r="AD126" s="212"/>
    </row>
    <row r="127" spans="1:30" s="167" customFormat="1" ht="15" hidden="1" customHeight="1" outlineLevel="1" x14ac:dyDescent="0.25">
      <c r="A127" s="164"/>
      <c r="B127" s="165" t="s">
        <v>75</v>
      </c>
      <c r="C127" s="251" t="s">
        <v>993</v>
      </c>
      <c r="F127" s="168"/>
      <c r="G127" s="168"/>
      <c r="H127" s="168"/>
      <c r="K127" s="168"/>
      <c r="L127" s="168"/>
      <c r="M127" s="168"/>
      <c r="O127" s="168"/>
      <c r="P127" s="168"/>
      <c r="Q127" s="168"/>
      <c r="AA127" s="212"/>
      <c r="AB127" s="212"/>
      <c r="AC127" s="212"/>
      <c r="AD127" s="212"/>
    </row>
    <row r="128" spans="1:30" s="167" customFormat="1" ht="15" hidden="1" customHeight="1" outlineLevel="1" x14ac:dyDescent="0.25">
      <c r="A128" s="164"/>
      <c r="B128" s="169"/>
      <c r="C128" s="252" t="s">
        <v>992</v>
      </c>
      <c r="F128" s="168"/>
      <c r="G128" s="168"/>
      <c r="H128" s="168"/>
      <c r="K128" s="168"/>
      <c r="L128" s="168"/>
      <c r="M128" s="168"/>
      <c r="O128" s="168"/>
      <c r="P128" s="168"/>
      <c r="Q128" s="168"/>
      <c r="AA128" s="212"/>
      <c r="AB128" s="212"/>
      <c r="AC128" s="212"/>
      <c r="AD128" s="212"/>
    </row>
    <row r="129" spans="1:30" s="167" customFormat="1" ht="15" hidden="1" customHeight="1" outlineLevel="1" x14ac:dyDescent="0.25">
      <c r="A129" s="164"/>
      <c r="B129" s="165" t="s">
        <v>94</v>
      </c>
      <c r="C129" s="251" t="s">
        <v>195</v>
      </c>
      <c r="F129" s="168"/>
      <c r="G129" s="168"/>
      <c r="H129" s="168"/>
      <c r="K129" s="168"/>
      <c r="L129" s="168"/>
      <c r="M129" s="168"/>
      <c r="O129" s="168"/>
      <c r="P129" s="168"/>
      <c r="Q129" s="168"/>
      <c r="AA129" s="212"/>
      <c r="AB129" s="212"/>
      <c r="AC129" s="212"/>
      <c r="AD129" s="212"/>
    </row>
    <row r="130" spans="1:30" s="167" customFormat="1" ht="15" hidden="1" customHeight="1" outlineLevel="1" x14ac:dyDescent="0.25">
      <c r="A130" s="164"/>
      <c r="B130" s="160" t="s">
        <v>95</v>
      </c>
      <c r="C130" s="176" t="s">
        <v>196</v>
      </c>
      <c r="F130" s="168"/>
      <c r="G130" s="168"/>
      <c r="H130" s="168"/>
      <c r="K130" s="168"/>
      <c r="L130" s="168"/>
      <c r="M130" s="168"/>
      <c r="O130" s="168"/>
      <c r="P130" s="168"/>
      <c r="Q130" s="168"/>
      <c r="AA130" s="212"/>
      <c r="AB130" s="212"/>
      <c r="AC130" s="212"/>
      <c r="AD130" s="212"/>
    </row>
    <row r="131" spans="1:30" s="167" customFormat="1" ht="15" hidden="1" customHeight="1" outlineLevel="1" x14ac:dyDescent="0.25">
      <c r="A131" s="164"/>
      <c r="B131" s="160" t="s">
        <v>122</v>
      </c>
      <c r="C131" s="166" t="s">
        <v>197</v>
      </c>
      <c r="F131" s="168"/>
      <c r="G131" s="168"/>
      <c r="H131" s="168"/>
      <c r="K131" s="168"/>
      <c r="L131" s="168"/>
      <c r="M131" s="168"/>
      <c r="O131" s="168"/>
      <c r="P131" s="168"/>
      <c r="Q131" s="168"/>
      <c r="AA131" s="212"/>
      <c r="AB131" s="212"/>
      <c r="AC131" s="212"/>
      <c r="AD131" s="212"/>
    </row>
    <row r="132" spans="1:30" s="167" customFormat="1" ht="15" hidden="1" customHeight="1" outlineLevel="1" x14ac:dyDescent="0.25">
      <c r="A132" s="164"/>
      <c r="B132" s="160" t="s">
        <v>123</v>
      </c>
      <c r="C132" s="166" t="s">
        <v>198</v>
      </c>
      <c r="F132" s="168"/>
      <c r="G132" s="168"/>
      <c r="H132" s="168"/>
      <c r="K132" s="168"/>
      <c r="L132" s="168"/>
      <c r="M132" s="168"/>
      <c r="O132" s="168"/>
      <c r="P132" s="168"/>
      <c r="Q132" s="168"/>
      <c r="AA132" s="212"/>
      <c r="AB132" s="212"/>
      <c r="AC132" s="212"/>
      <c r="AD132" s="212"/>
    </row>
    <row r="133" spans="1:30" s="167" customFormat="1" ht="15" hidden="1" customHeight="1" outlineLevel="1" x14ac:dyDescent="0.25">
      <c r="A133" s="164"/>
      <c r="B133" s="160" t="s">
        <v>124</v>
      </c>
      <c r="C133" s="176" t="s">
        <v>199</v>
      </c>
      <c r="F133" s="168"/>
      <c r="G133" s="168"/>
      <c r="H133" s="168"/>
      <c r="K133" s="168"/>
      <c r="L133" s="168"/>
      <c r="M133" s="168"/>
      <c r="O133" s="168"/>
      <c r="P133" s="168"/>
      <c r="Q133" s="168"/>
      <c r="AA133" s="212"/>
      <c r="AB133" s="212"/>
      <c r="AC133" s="212"/>
      <c r="AD133" s="212"/>
    </row>
    <row r="134" spans="1:30" s="167" customFormat="1" ht="15" hidden="1" customHeight="1" outlineLevel="1" x14ac:dyDescent="0.25">
      <c r="A134" s="168"/>
      <c r="B134" s="168"/>
      <c r="C134" s="168"/>
      <c r="D134" s="168"/>
      <c r="E134" s="168"/>
      <c r="F134" s="168"/>
      <c r="G134" s="168"/>
      <c r="H134" s="168"/>
      <c r="K134" s="168"/>
      <c r="L134" s="168"/>
      <c r="M134" s="168"/>
      <c r="O134" s="168"/>
      <c r="P134" s="168"/>
      <c r="Q134" s="168"/>
      <c r="AA134" s="212"/>
      <c r="AB134" s="212"/>
      <c r="AC134" s="212"/>
      <c r="AD134" s="212"/>
    </row>
    <row r="135" spans="1:30" s="201" customFormat="1" ht="15" customHeight="1" collapsed="1" x14ac:dyDescent="0.25">
      <c r="A135" s="164">
        <v>5.2</v>
      </c>
      <c r="B135" s="213" t="s">
        <v>176</v>
      </c>
      <c r="C135" s="214"/>
      <c r="D135" s="214"/>
      <c r="E135" s="214"/>
      <c r="F135" s="214"/>
      <c r="G135" s="214"/>
      <c r="H135" s="214"/>
      <c r="I135" s="214"/>
      <c r="J135" s="214"/>
      <c r="K135" s="214"/>
      <c r="L135" s="214"/>
      <c r="M135" s="214"/>
      <c r="N135" s="214"/>
      <c r="O135" s="214"/>
      <c r="P135" s="214"/>
      <c r="Q135" s="214"/>
      <c r="R135" s="214"/>
      <c r="S135" s="215"/>
      <c r="AA135" s="212"/>
      <c r="AB135" s="212"/>
      <c r="AC135" s="212"/>
      <c r="AD135" s="212"/>
    </row>
    <row r="136" spans="1:30" s="167" customFormat="1" ht="15" hidden="1" customHeight="1" outlineLevel="1" x14ac:dyDescent="0.25">
      <c r="A136" s="168"/>
      <c r="B136" s="168"/>
      <c r="C136" s="168"/>
      <c r="D136" s="168"/>
      <c r="E136" s="168"/>
      <c r="F136" s="168"/>
      <c r="G136" s="168"/>
      <c r="H136" s="168"/>
      <c r="K136" s="168"/>
      <c r="L136" s="168"/>
      <c r="M136" s="168"/>
      <c r="O136" s="168"/>
      <c r="P136" s="168"/>
      <c r="Q136" s="168"/>
      <c r="AA136" s="212"/>
      <c r="AB136" s="212"/>
      <c r="AC136" s="212"/>
      <c r="AD136" s="212"/>
    </row>
    <row r="137" spans="1:30" ht="15" hidden="1" customHeight="1" outlineLevel="1" x14ac:dyDescent="0.25">
      <c r="B137" s="160" t="s">
        <v>125</v>
      </c>
      <c r="C137" s="160" t="s">
        <v>126</v>
      </c>
      <c r="D137" s="160" t="s">
        <v>127</v>
      </c>
      <c r="E137" s="160" t="s">
        <v>128</v>
      </c>
      <c r="F137" s="168"/>
      <c r="G137" s="145"/>
      <c r="H137" s="145"/>
      <c r="K137" s="145"/>
      <c r="L137" s="145"/>
      <c r="M137" s="145"/>
      <c r="O137" s="145"/>
      <c r="P137" s="145"/>
      <c r="Q137" s="145"/>
    </row>
    <row r="138" spans="1:30" s="212" customFormat="1" ht="204.75" hidden="1" customHeight="1" outlineLevel="1" x14ac:dyDescent="0.25">
      <c r="A138" s="164"/>
      <c r="B138" s="216" t="s">
        <v>154</v>
      </c>
      <c r="C138" s="183" t="s">
        <v>155</v>
      </c>
      <c r="D138" s="183" t="s">
        <v>191</v>
      </c>
      <c r="E138" s="183" t="s">
        <v>192</v>
      </c>
    </row>
    <row r="139" spans="1:30" s="167" customFormat="1" ht="15" hidden="1" customHeight="1" outlineLevel="1" x14ac:dyDescent="0.25">
      <c r="A139" s="164"/>
      <c r="B139" s="165" t="s">
        <v>126</v>
      </c>
      <c r="C139" s="176" t="s">
        <v>177</v>
      </c>
      <c r="F139" s="168"/>
      <c r="G139" s="168"/>
      <c r="H139" s="168"/>
      <c r="K139" s="168"/>
      <c r="L139" s="168"/>
      <c r="M139" s="168"/>
      <c r="O139" s="168"/>
      <c r="P139" s="168"/>
      <c r="Q139" s="168"/>
    </row>
    <row r="140" spans="1:30" s="167" customFormat="1" ht="15" hidden="1" customHeight="1" outlineLevel="1" x14ac:dyDescent="0.25">
      <c r="A140" s="164"/>
      <c r="B140" s="160" t="s">
        <v>127</v>
      </c>
      <c r="C140" s="176" t="s">
        <v>200</v>
      </c>
      <c r="F140" s="168"/>
      <c r="G140" s="168"/>
      <c r="H140" s="168"/>
      <c r="K140" s="168"/>
      <c r="L140" s="168"/>
      <c r="M140" s="168"/>
      <c r="O140" s="168"/>
      <c r="P140" s="168"/>
      <c r="Q140" s="168"/>
    </row>
    <row r="141" spans="1:30" s="167" customFormat="1" ht="15" hidden="1" customHeight="1" outlineLevel="1" x14ac:dyDescent="0.25">
      <c r="A141" s="164"/>
      <c r="B141" s="160" t="s">
        <v>128</v>
      </c>
      <c r="C141" s="176" t="s">
        <v>201</v>
      </c>
      <c r="F141" s="168"/>
      <c r="G141" s="168"/>
      <c r="H141" s="168"/>
      <c r="K141" s="168"/>
      <c r="L141" s="168"/>
      <c r="M141" s="168"/>
      <c r="O141" s="168"/>
      <c r="P141" s="168"/>
      <c r="Q141" s="168"/>
    </row>
    <row r="142" spans="1:30" s="167" customFormat="1" ht="15" hidden="1" customHeight="1" outlineLevel="1" x14ac:dyDescent="0.25">
      <c r="A142" s="164"/>
      <c r="F142" s="168"/>
      <c r="G142" s="168"/>
      <c r="H142" s="168"/>
      <c r="K142" s="168"/>
      <c r="L142" s="168"/>
      <c r="M142" s="168"/>
      <c r="O142" s="168"/>
      <c r="P142" s="168"/>
    </row>
    <row r="143" spans="1:30" s="209" customFormat="1" ht="20.100000000000001" customHeight="1" collapsed="1" x14ac:dyDescent="0.25">
      <c r="A143" s="205">
        <v>6</v>
      </c>
      <c r="B143" s="217" t="s">
        <v>202</v>
      </c>
      <c r="C143" s="217"/>
      <c r="D143" s="217"/>
      <c r="E143" s="217"/>
      <c r="F143" s="217"/>
      <c r="G143" s="217"/>
      <c r="H143" s="217"/>
      <c r="I143" s="217"/>
      <c r="J143" s="217"/>
      <c r="K143" s="217"/>
      <c r="L143" s="217"/>
      <c r="M143" s="217"/>
      <c r="N143" s="217"/>
      <c r="O143" s="217"/>
      <c r="P143" s="217"/>
      <c r="Q143" s="217"/>
      <c r="R143" s="217"/>
      <c r="S143" s="217"/>
    </row>
    <row r="144" spans="1:30" s="167" customFormat="1" ht="15" hidden="1" customHeight="1" outlineLevel="1" x14ac:dyDescent="0.25">
      <c r="A144" s="164"/>
      <c r="F144" s="168"/>
      <c r="G144" s="168"/>
      <c r="H144" s="168"/>
    </row>
    <row r="145" spans="1:29" ht="15" hidden="1" customHeight="1" outlineLevel="1" x14ac:dyDescent="0.25">
      <c r="B145" s="160" t="s">
        <v>71</v>
      </c>
      <c r="C145" s="160" t="s">
        <v>72</v>
      </c>
      <c r="D145" s="160" t="s">
        <v>73</v>
      </c>
      <c r="E145" s="160" t="s">
        <v>74</v>
      </c>
      <c r="F145" s="189" t="s">
        <v>75</v>
      </c>
      <c r="G145" s="190"/>
      <c r="H145" s="190"/>
      <c r="I145" s="191"/>
      <c r="J145" s="189" t="s">
        <v>94</v>
      </c>
      <c r="K145" s="190"/>
      <c r="L145" s="190"/>
      <c r="M145" s="191"/>
      <c r="N145" s="160" t="s">
        <v>95</v>
      </c>
      <c r="O145" s="99"/>
    </row>
    <row r="146" spans="1:29" s="212" customFormat="1" ht="134.25" hidden="1" customHeight="1" outlineLevel="1" x14ac:dyDescent="0.25">
      <c r="B146" s="210" t="s">
        <v>203</v>
      </c>
      <c r="C146" s="183" t="s">
        <v>143</v>
      </c>
      <c r="D146" s="183" t="s">
        <v>204</v>
      </c>
      <c r="E146" s="183" t="s">
        <v>205</v>
      </c>
      <c r="F146" s="183" t="s">
        <v>146</v>
      </c>
      <c r="G146" s="183" t="s">
        <v>148</v>
      </c>
      <c r="H146" s="183" t="s">
        <v>149</v>
      </c>
      <c r="I146" s="183" t="s">
        <v>147</v>
      </c>
      <c r="J146" s="183" t="s">
        <v>206</v>
      </c>
      <c r="K146" s="183" t="s">
        <v>207</v>
      </c>
      <c r="L146" s="183" t="s">
        <v>208</v>
      </c>
      <c r="M146" s="183" t="s">
        <v>209</v>
      </c>
      <c r="N146" s="183" t="s">
        <v>192</v>
      </c>
      <c r="O146" s="139"/>
    </row>
    <row r="147" spans="1:29" s="167" customFormat="1" ht="15" hidden="1" customHeight="1" outlineLevel="1" x14ac:dyDescent="0.25">
      <c r="A147" s="212"/>
      <c r="B147" s="160" t="s">
        <v>72</v>
      </c>
      <c r="C147" s="176" t="s">
        <v>210</v>
      </c>
      <c r="F147" s="168"/>
      <c r="K147" s="168"/>
      <c r="L147" s="168"/>
      <c r="M147" s="168"/>
      <c r="O147" s="168"/>
      <c r="P147" s="168"/>
      <c r="Q147" s="168"/>
    </row>
    <row r="148" spans="1:29" s="167" customFormat="1" ht="15" hidden="1" customHeight="1" outlineLevel="1" x14ac:dyDescent="0.25">
      <c r="A148" s="212"/>
      <c r="B148" s="160" t="s">
        <v>73</v>
      </c>
      <c r="C148" s="115" t="s">
        <v>171</v>
      </c>
      <c r="F148" s="168"/>
      <c r="K148" s="168"/>
      <c r="L148" s="168"/>
      <c r="M148" s="168"/>
      <c r="O148" s="168"/>
      <c r="P148" s="168"/>
      <c r="Q148" s="168"/>
    </row>
    <row r="149" spans="1:29" s="167" customFormat="1" ht="15" hidden="1" customHeight="1" outlineLevel="1" x14ac:dyDescent="0.25">
      <c r="A149" s="212"/>
      <c r="B149" s="160" t="s">
        <v>74</v>
      </c>
      <c r="C149" s="176" t="s">
        <v>211</v>
      </c>
      <c r="F149" s="168"/>
      <c r="G149" s="146"/>
      <c r="H149" s="146"/>
      <c r="K149" s="168"/>
      <c r="L149" s="168"/>
      <c r="M149" s="168"/>
      <c r="O149" s="168"/>
      <c r="P149" s="168"/>
      <c r="Q149" s="168"/>
    </row>
    <row r="150" spans="1:29" s="167" customFormat="1" ht="15" hidden="1" customHeight="1" outlineLevel="1" x14ac:dyDescent="0.25">
      <c r="A150" s="212"/>
      <c r="B150" s="160" t="s">
        <v>75</v>
      </c>
      <c r="C150" s="176" t="s">
        <v>212</v>
      </c>
      <c r="F150" s="168"/>
      <c r="G150" s="146"/>
      <c r="H150" s="146"/>
      <c r="K150" s="168"/>
      <c r="L150" s="168"/>
      <c r="M150" s="168"/>
      <c r="O150" s="168"/>
      <c r="P150" s="168"/>
      <c r="Q150" s="168"/>
    </row>
    <row r="151" spans="1:29" s="167" customFormat="1" ht="15" hidden="1" customHeight="1" outlineLevel="1" x14ac:dyDescent="0.25">
      <c r="A151" s="212"/>
      <c r="B151" s="160" t="s">
        <v>94</v>
      </c>
      <c r="C151" s="176" t="s">
        <v>213</v>
      </c>
      <c r="F151" s="168"/>
      <c r="G151" s="146"/>
      <c r="H151" s="146"/>
      <c r="K151" s="168"/>
      <c r="L151" s="168"/>
      <c r="M151" s="168"/>
      <c r="O151" s="168"/>
      <c r="P151" s="168"/>
      <c r="Q151" s="168"/>
    </row>
    <row r="152" spans="1:29" s="167" customFormat="1" ht="15" hidden="1" customHeight="1" outlineLevel="1" x14ac:dyDescent="0.25">
      <c r="A152" s="212"/>
      <c r="B152" s="160" t="s">
        <v>95</v>
      </c>
      <c r="C152" s="176" t="s">
        <v>214</v>
      </c>
      <c r="F152" s="168"/>
      <c r="G152" s="146"/>
      <c r="H152" s="146"/>
      <c r="K152" s="168"/>
      <c r="L152" s="168"/>
      <c r="M152" s="168"/>
      <c r="O152" s="168"/>
      <c r="P152" s="168"/>
      <c r="Q152" s="168"/>
    </row>
    <row r="153" spans="1:29" s="167" customFormat="1" ht="15" hidden="1" customHeight="1" outlineLevel="1" x14ac:dyDescent="0.25">
      <c r="A153" s="212"/>
      <c r="F153" s="168"/>
      <c r="G153" s="146"/>
      <c r="H153" s="146"/>
      <c r="K153" s="168"/>
      <c r="L153" s="168"/>
      <c r="M153" s="168"/>
      <c r="O153" s="168"/>
      <c r="P153" s="168"/>
      <c r="Q153" s="168"/>
    </row>
    <row r="154" spans="1:29" s="209" customFormat="1" ht="20.100000000000001" customHeight="1" collapsed="1" x14ac:dyDescent="0.25">
      <c r="A154" s="205">
        <v>7</v>
      </c>
      <c r="B154" s="218" t="s">
        <v>215</v>
      </c>
      <c r="C154" s="218"/>
      <c r="D154" s="218"/>
      <c r="E154" s="218"/>
      <c r="F154" s="218"/>
      <c r="G154" s="218"/>
      <c r="H154" s="218"/>
      <c r="I154" s="218"/>
      <c r="J154" s="218"/>
      <c r="K154" s="218"/>
      <c r="L154" s="218"/>
      <c r="M154" s="218"/>
      <c r="N154" s="218"/>
      <c r="O154" s="218"/>
      <c r="P154" s="218"/>
      <c r="Q154" s="218"/>
      <c r="R154" s="218"/>
      <c r="S154" s="218"/>
    </row>
    <row r="155" spans="1:29" s="167" customFormat="1" ht="15" hidden="1" customHeight="1" outlineLevel="1" x14ac:dyDescent="0.25">
      <c r="A155" s="164"/>
      <c r="F155" s="168"/>
      <c r="G155" s="168"/>
      <c r="H155" s="168"/>
      <c r="K155" s="168"/>
      <c r="L155" s="168"/>
      <c r="M155" s="168"/>
      <c r="O155" s="168"/>
      <c r="P155" s="168"/>
    </row>
    <row r="156" spans="1:29" ht="15" hidden="1" customHeight="1" outlineLevel="1" x14ac:dyDescent="0.25">
      <c r="B156" s="160" t="s">
        <v>71</v>
      </c>
      <c r="C156" s="160" t="s">
        <v>72</v>
      </c>
      <c r="D156" s="160" t="s">
        <v>73</v>
      </c>
      <c r="E156" s="160" t="s">
        <v>74</v>
      </c>
      <c r="F156" s="189" t="s">
        <v>75</v>
      </c>
      <c r="G156" s="190"/>
      <c r="H156" s="190"/>
      <c r="I156" s="191"/>
      <c r="J156" s="160" t="s">
        <v>94</v>
      </c>
      <c r="K156" s="160" t="s">
        <v>95</v>
      </c>
      <c r="L156" s="160" t="s">
        <v>122</v>
      </c>
      <c r="M156" s="160" t="s">
        <v>123</v>
      </c>
      <c r="O156" s="145"/>
      <c r="P156" s="145"/>
      <c r="Q156" s="145"/>
      <c r="R156" s="160" t="s">
        <v>71</v>
      </c>
      <c r="S156" s="160" t="s">
        <v>72</v>
      </c>
      <c r="T156" s="160" t="s">
        <v>73</v>
      </c>
      <c r="U156" s="160" t="s">
        <v>74</v>
      </c>
      <c r="V156" s="189" t="s">
        <v>75</v>
      </c>
      <c r="W156" s="190"/>
      <c r="X156" s="190"/>
      <c r="Y156" s="191"/>
      <c r="Z156" s="160" t="s">
        <v>94</v>
      </c>
      <c r="AA156" s="160" t="s">
        <v>95</v>
      </c>
      <c r="AB156" s="160" t="s">
        <v>122</v>
      </c>
      <c r="AC156" s="160" t="s">
        <v>123</v>
      </c>
    </row>
    <row r="157" spans="1:29" s="221" customFormat="1" ht="349.35" hidden="1" customHeight="1" outlineLevel="1" x14ac:dyDescent="0.25">
      <c r="A157" s="219"/>
      <c r="B157" s="220" t="s">
        <v>216</v>
      </c>
      <c r="C157" s="202" t="s">
        <v>143</v>
      </c>
      <c r="D157" s="202" t="s">
        <v>217</v>
      </c>
      <c r="E157" s="202" t="s">
        <v>218</v>
      </c>
      <c r="F157" s="202" t="s">
        <v>219</v>
      </c>
      <c r="G157" s="202" t="s">
        <v>146</v>
      </c>
      <c r="H157" s="202" t="s">
        <v>148</v>
      </c>
      <c r="I157" s="202" t="s">
        <v>149</v>
      </c>
      <c r="J157" s="202" t="s">
        <v>220</v>
      </c>
      <c r="K157" s="202" t="s">
        <v>221</v>
      </c>
      <c r="L157" s="202" t="s">
        <v>222</v>
      </c>
      <c r="M157" s="202" t="s">
        <v>223</v>
      </c>
      <c r="R157" s="220" t="s">
        <v>216</v>
      </c>
      <c r="S157" s="202" t="s">
        <v>143</v>
      </c>
      <c r="T157" s="202" t="s">
        <v>217</v>
      </c>
      <c r="U157" s="202" t="s">
        <v>218</v>
      </c>
      <c r="V157" s="202" t="s">
        <v>219</v>
      </c>
      <c r="W157" s="202" t="s">
        <v>146</v>
      </c>
      <c r="X157" s="202" t="s">
        <v>148</v>
      </c>
      <c r="Y157" s="202" t="s">
        <v>149</v>
      </c>
      <c r="Z157" s="202" t="s">
        <v>220</v>
      </c>
      <c r="AA157" s="202" t="s">
        <v>221</v>
      </c>
      <c r="AB157" s="202" t="s">
        <v>222</v>
      </c>
      <c r="AC157" s="202" t="s">
        <v>223</v>
      </c>
    </row>
    <row r="158" spans="1:29" s="167" customFormat="1" ht="15" hidden="1" customHeight="1" outlineLevel="1" x14ac:dyDescent="0.25">
      <c r="A158" s="164"/>
      <c r="F158" s="168"/>
      <c r="G158" s="168"/>
      <c r="H158" s="168"/>
      <c r="K158" s="168"/>
      <c r="L158" s="168"/>
      <c r="M158" s="168"/>
      <c r="O158" s="168"/>
      <c r="P158" s="168"/>
    </row>
    <row r="159" spans="1:29" s="167" customFormat="1" ht="15" hidden="1" customHeight="1" outlineLevel="1" x14ac:dyDescent="0.25">
      <c r="A159" s="164"/>
      <c r="B159" s="169" t="s">
        <v>72</v>
      </c>
      <c r="C159" s="166" t="s">
        <v>224</v>
      </c>
      <c r="F159" s="168"/>
      <c r="G159" s="168"/>
      <c r="H159" s="168"/>
      <c r="K159" s="168"/>
      <c r="L159" s="168"/>
      <c r="M159" s="168"/>
      <c r="N159" s="222"/>
      <c r="O159" s="222"/>
      <c r="P159" s="222"/>
      <c r="Q159" s="222"/>
      <c r="R159" s="222"/>
      <c r="S159" s="222"/>
    </row>
    <row r="160" spans="1:29" s="167" customFormat="1" ht="15" hidden="1" customHeight="1" outlineLevel="1" x14ac:dyDescent="0.25">
      <c r="A160" s="164"/>
      <c r="B160" s="160" t="s">
        <v>73</v>
      </c>
      <c r="C160" s="115" t="s">
        <v>171</v>
      </c>
      <c r="F160" s="168"/>
      <c r="G160" s="168"/>
      <c r="H160" s="168"/>
      <c r="K160" s="168"/>
      <c r="L160" s="168"/>
      <c r="M160" s="168"/>
      <c r="N160" s="222"/>
      <c r="O160" s="222"/>
      <c r="P160" s="222"/>
      <c r="Q160" s="222"/>
      <c r="R160" s="222"/>
      <c r="S160" s="222"/>
    </row>
    <row r="161" spans="1:19" s="167" customFormat="1" ht="15" hidden="1" customHeight="1" outlineLevel="1" x14ac:dyDescent="0.25">
      <c r="A161" s="164"/>
      <c r="B161" s="160" t="s">
        <v>74</v>
      </c>
      <c r="C161" s="176" t="s">
        <v>225</v>
      </c>
      <c r="F161" s="168"/>
      <c r="G161" s="168"/>
      <c r="H161" s="168"/>
      <c r="K161" s="168"/>
      <c r="L161" s="168"/>
      <c r="M161" s="168"/>
      <c r="N161" s="222"/>
      <c r="O161" s="222"/>
      <c r="P161" s="222"/>
      <c r="Q161" s="222"/>
      <c r="R161" s="222"/>
      <c r="S161" s="222"/>
    </row>
    <row r="162" spans="1:19" s="167" customFormat="1" ht="15" hidden="1" customHeight="1" outlineLevel="1" x14ac:dyDescent="0.25">
      <c r="A162" s="164"/>
      <c r="B162" s="169" t="s">
        <v>75</v>
      </c>
      <c r="C162" s="176" t="s">
        <v>226</v>
      </c>
      <c r="F162" s="168"/>
      <c r="G162" s="168"/>
      <c r="H162" s="168"/>
      <c r="K162" s="168"/>
      <c r="L162" s="168"/>
      <c r="M162" s="168"/>
      <c r="N162" s="222"/>
      <c r="O162" s="222"/>
      <c r="P162" s="222"/>
      <c r="Q162" s="222"/>
      <c r="R162" s="222"/>
      <c r="S162" s="222"/>
    </row>
    <row r="163" spans="1:19" s="167" customFormat="1" ht="15" hidden="1" customHeight="1" outlineLevel="1" x14ac:dyDescent="0.25">
      <c r="A163" s="164"/>
      <c r="B163" s="169" t="s">
        <v>94</v>
      </c>
      <c r="C163" s="176" t="s">
        <v>227</v>
      </c>
      <c r="F163" s="168"/>
      <c r="G163" s="168"/>
      <c r="H163" s="168"/>
      <c r="K163" s="168"/>
      <c r="L163" s="168"/>
      <c r="M163" s="168"/>
      <c r="N163" s="222"/>
      <c r="O163" s="222"/>
      <c r="P163" s="222"/>
      <c r="Q163" s="222"/>
      <c r="R163" s="222"/>
      <c r="S163" s="222"/>
    </row>
    <row r="164" spans="1:19" s="167" customFormat="1" ht="15" hidden="1" customHeight="1" outlineLevel="1" x14ac:dyDescent="0.25">
      <c r="A164" s="164"/>
      <c r="B164" s="169" t="s">
        <v>95</v>
      </c>
      <c r="C164" s="176" t="s">
        <v>228</v>
      </c>
      <c r="F164" s="168"/>
      <c r="G164" s="168"/>
      <c r="H164" s="168"/>
      <c r="K164" s="168"/>
      <c r="L164" s="168"/>
      <c r="M164" s="168"/>
      <c r="N164" s="222"/>
      <c r="O164" s="222"/>
      <c r="P164" s="222"/>
      <c r="Q164" s="222"/>
      <c r="R164" s="222"/>
      <c r="S164" s="222"/>
    </row>
    <row r="165" spans="1:19" s="167" customFormat="1" ht="15" hidden="1" customHeight="1" outlineLevel="1" x14ac:dyDescent="0.25">
      <c r="A165" s="164"/>
      <c r="B165" s="169" t="s">
        <v>122</v>
      </c>
      <c r="C165" s="166" t="s">
        <v>229</v>
      </c>
      <c r="F165" s="168"/>
      <c r="G165" s="168"/>
      <c r="H165" s="168"/>
      <c r="K165" s="168"/>
      <c r="L165" s="168"/>
      <c r="M165" s="168"/>
      <c r="N165" s="222"/>
      <c r="O165" s="222"/>
      <c r="P165" s="222"/>
      <c r="Q165" s="222"/>
      <c r="R165" s="222"/>
      <c r="S165" s="222"/>
    </row>
    <row r="166" spans="1:19" s="167" customFormat="1" ht="15" hidden="1" customHeight="1" outlineLevel="1" x14ac:dyDescent="0.25">
      <c r="A166" s="164"/>
      <c r="B166" s="169" t="s">
        <v>123</v>
      </c>
      <c r="C166" s="166" t="s">
        <v>230</v>
      </c>
      <c r="F166" s="168"/>
      <c r="G166" s="168"/>
      <c r="H166" s="168"/>
      <c r="K166" s="168"/>
      <c r="L166" s="168"/>
      <c r="M166" s="168"/>
      <c r="N166" s="222"/>
      <c r="O166" s="222"/>
      <c r="P166" s="222"/>
      <c r="Q166" s="222"/>
      <c r="R166" s="222"/>
      <c r="S166" s="222"/>
    </row>
    <row r="167" spans="1:19" ht="13.35" hidden="1" customHeight="1" outlineLevel="1" x14ac:dyDescent="0.25">
      <c r="D167" s="145"/>
      <c r="K167" s="168"/>
      <c r="L167" s="168"/>
      <c r="M167" s="168"/>
      <c r="N167" s="222"/>
      <c r="O167" s="222"/>
      <c r="P167" s="222"/>
      <c r="Q167" s="222"/>
      <c r="R167" s="222"/>
      <c r="S167" s="222"/>
    </row>
    <row r="168" spans="1:19" s="209" customFormat="1" ht="20.100000000000001" customHeight="1" collapsed="1" x14ac:dyDescent="0.25">
      <c r="A168" s="205">
        <v>8</v>
      </c>
      <c r="B168" s="217" t="s">
        <v>69</v>
      </c>
      <c r="C168" s="217"/>
      <c r="D168" s="217"/>
      <c r="E168" s="217"/>
      <c r="F168" s="217"/>
      <c r="G168" s="217"/>
      <c r="H168" s="217"/>
      <c r="I168" s="217"/>
      <c r="J168" s="217"/>
      <c r="K168" s="217"/>
      <c r="L168" s="217"/>
      <c r="M168" s="217"/>
      <c r="N168" s="217"/>
      <c r="O168" s="217"/>
      <c r="P168" s="217"/>
      <c r="Q168" s="217"/>
      <c r="R168" s="217"/>
      <c r="S168" s="217"/>
    </row>
    <row r="169" spans="1:19" s="167" customFormat="1" ht="15" hidden="1" customHeight="1" outlineLevel="1" x14ac:dyDescent="0.25">
      <c r="A169" s="168"/>
      <c r="B169" s="168"/>
      <c r="C169" s="168"/>
      <c r="D169" s="168"/>
      <c r="E169" s="168"/>
      <c r="F169" s="168"/>
      <c r="G169" s="168"/>
      <c r="H169" s="168"/>
      <c r="K169" s="168"/>
      <c r="L169" s="168"/>
      <c r="M169" s="168"/>
      <c r="O169" s="168"/>
      <c r="P169" s="168"/>
      <c r="Q169" s="168"/>
    </row>
    <row r="170" spans="1:19" ht="15" hidden="1" customHeight="1" outlineLevel="1" x14ac:dyDescent="0.25">
      <c r="B170" s="160" t="s">
        <v>71</v>
      </c>
      <c r="C170" s="160" t="s">
        <v>72</v>
      </c>
      <c r="D170" s="160" t="s">
        <v>73</v>
      </c>
      <c r="E170" s="160" t="s">
        <v>74</v>
      </c>
      <c r="F170" s="189" t="s">
        <v>75</v>
      </c>
      <c r="G170" s="190"/>
      <c r="H170" s="190"/>
      <c r="I170" s="191"/>
      <c r="K170" s="145"/>
      <c r="L170" s="145"/>
      <c r="M170" s="145"/>
      <c r="O170" s="145"/>
      <c r="P170" s="145"/>
      <c r="Q170" s="145"/>
    </row>
    <row r="171" spans="1:19" s="212" customFormat="1" ht="198.75" hidden="1" customHeight="1" outlineLevel="1" x14ac:dyDescent="0.25">
      <c r="A171" s="164"/>
      <c r="B171" s="216" t="s">
        <v>231</v>
      </c>
      <c r="C171" s="202" t="s">
        <v>232</v>
      </c>
      <c r="D171" s="202" t="s">
        <v>233</v>
      </c>
      <c r="E171" s="202" t="s">
        <v>147</v>
      </c>
      <c r="F171" s="202" t="s">
        <v>151</v>
      </c>
      <c r="G171" s="202" t="s">
        <v>150</v>
      </c>
      <c r="H171" s="202" t="s">
        <v>152</v>
      </c>
      <c r="I171" s="202" t="s">
        <v>153</v>
      </c>
    </row>
    <row r="172" spans="1:19" s="167" customFormat="1" ht="15" hidden="1" customHeight="1" outlineLevel="1" x14ac:dyDescent="0.25">
      <c r="A172" s="164"/>
      <c r="B172" s="169" t="s">
        <v>72</v>
      </c>
      <c r="C172" s="176" t="s">
        <v>234</v>
      </c>
      <c r="F172" s="168"/>
      <c r="G172" s="168"/>
      <c r="H172" s="168"/>
      <c r="K172" s="168"/>
      <c r="L172" s="168"/>
      <c r="M172" s="168"/>
      <c r="O172" s="168"/>
      <c r="P172" s="168"/>
      <c r="Q172" s="168"/>
    </row>
    <row r="173" spans="1:19" ht="13.35" hidden="1" customHeight="1" outlineLevel="1" x14ac:dyDescent="0.25">
      <c r="B173" s="160" t="s">
        <v>73</v>
      </c>
      <c r="C173" s="115" t="s">
        <v>171</v>
      </c>
      <c r="D173" s="145"/>
      <c r="K173" s="168"/>
      <c r="L173" s="168"/>
      <c r="M173" s="168"/>
      <c r="N173" s="222"/>
      <c r="O173" s="222"/>
      <c r="P173" s="222"/>
      <c r="Q173" s="222"/>
      <c r="R173" s="222"/>
      <c r="S173" s="222"/>
    </row>
    <row r="174" spans="1:19" ht="13.35" hidden="1" customHeight="1" outlineLevel="1" x14ac:dyDescent="0.25">
      <c r="B174" s="160" t="s">
        <v>74</v>
      </c>
      <c r="C174" s="176" t="s">
        <v>235</v>
      </c>
      <c r="D174" s="145"/>
      <c r="K174" s="168"/>
      <c r="L174" s="168"/>
      <c r="M174" s="168"/>
      <c r="N174" s="222"/>
      <c r="O174" s="222"/>
      <c r="P174" s="222"/>
      <c r="Q174" s="222"/>
      <c r="R174" s="222"/>
      <c r="S174" s="222"/>
    </row>
    <row r="175" spans="1:19" ht="13.35" hidden="1" customHeight="1" outlineLevel="1" x14ac:dyDescent="0.25">
      <c r="B175" s="169" t="s">
        <v>75</v>
      </c>
      <c r="C175" s="152" t="s">
        <v>236</v>
      </c>
      <c r="D175" s="145"/>
      <c r="K175" s="168"/>
      <c r="L175" s="168"/>
      <c r="M175" s="168"/>
      <c r="N175" s="222"/>
      <c r="O175" s="222"/>
      <c r="P175" s="222"/>
      <c r="Q175" s="222"/>
      <c r="R175" s="222"/>
      <c r="S175" s="222"/>
    </row>
    <row r="176" spans="1:19" ht="13.35" hidden="1" customHeight="1" outlineLevel="1" x14ac:dyDescent="0.25">
      <c r="D176" s="145"/>
      <c r="K176" s="168"/>
      <c r="L176" s="168"/>
      <c r="M176" s="168"/>
      <c r="N176" s="222"/>
      <c r="O176" s="222"/>
      <c r="P176" s="222"/>
      <c r="Q176" s="222"/>
      <c r="R176" s="222"/>
      <c r="S176" s="222"/>
    </row>
    <row r="177" spans="4:19" ht="13.35" customHeight="1" collapsed="1" x14ac:dyDescent="0.25">
      <c r="D177" s="145"/>
      <c r="K177" s="168"/>
      <c r="L177" s="168"/>
      <c r="M177" s="168"/>
      <c r="N177" s="222"/>
      <c r="O177" s="222"/>
      <c r="P177" s="222"/>
      <c r="Q177" s="222"/>
      <c r="R177" s="222"/>
      <c r="S177" s="222"/>
    </row>
    <row r="178" spans="4:19" x14ac:dyDescent="0.25">
      <c r="K178" s="168"/>
      <c r="L178" s="168"/>
      <c r="M178" s="168"/>
      <c r="N178" s="222"/>
      <c r="O178" s="222"/>
      <c r="P178" s="222"/>
      <c r="Q178" s="222"/>
      <c r="R178" s="222"/>
      <c r="S178" s="222"/>
    </row>
    <row r="179" spans="4:19" x14ac:dyDescent="0.25">
      <c r="K179" s="168"/>
      <c r="L179" s="168"/>
      <c r="M179" s="168"/>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A28" sqref="A28"/>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3" t="s">
        <v>0</v>
      </c>
      <c r="B1" s="34"/>
      <c r="C1" s="34"/>
      <c r="D1" s="34"/>
    </row>
    <row r="2" spans="1:4" x14ac:dyDescent="0.25">
      <c r="A2" s="35" t="s">
        <v>1</v>
      </c>
      <c r="B2" s="35" t="s">
        <v>2</v>
      </c>
      <c r="C2" s="36" t="s">
        <v>3</v>
      </c>
      <c r="D2" s="36" t="s">
        <v>4</v>
      </c>
    </row>
    <row r="3" spans="1:4" x14ac:dyDescent="0.25">
      <c r="A3" s="41" t="s">
        <v>5</v>
      </c>
      <c r="B3" s="42"/>
      <c r="C3" s="42"/>
      <c r="D3" s="42"/>
    </row>
    <row r="4" spans="1:4" ht="39" customHeight="1" x14ac:dyDescent="0.25">
      <c r="A4" s="37" t="s">
        <v>6</v>
      </c>
      <c r="B4" s="34" t="s">
        <v>50</v>
      </c>
      <c r="C4" s="37" t="s">
        <v>7</v>
      </c>
      <c r="D4" s="34" t="s">
        <v>8</v>
      </c>
    </row>
    <row r="5" spans="1:4" x14ac:dyDescent="0.25">
      <c r="A5" s="37" t="s">
        <v>9</v>
      </c>
      <c r="B5" s="40" t="s">
        <v>10</v>
      </c>
      <c r="C5" s="37" t="s">
        <v>11</v>
      </c>
      <c r="D5" s="34" t="s">
        <v>12</v>
      </c>
    </row>
    <row r="6" spans="1:4" x14ac:dyDescent="0.25">
      <c r="A6" s="37" t="s">
        <v>13</v>
      </c>
      <c r="B6" s="30" t="s">
        <v>14</v>
      </c>
      <c r="C6" s="37" t="s">
        <v>15</v>
      </c>
      <c r="D6" s="34" t="s">
        <v>16</v>
      </c>
    </row>
    <row r="7" spans="1:4" x14ac:dyDescent="0.25">
      <c r="A7" s="37" t="s">
        <v>17</v>
      </c>
      <c r="B7" s="31" t="s">
        <v>18</v>
      </c>
      <c r="C7" s="37" t="s">
        <v>19</v>
      </c>
      <c r="D7" s="34" t="s">
        <v>20</v>
      </c>
    </row>
    <row r="8" spans="1:4" x14ac:dyDescent="0.25">
      <c r="A8" s="37" t="s">
        <v>21</v>
      </c>
      <c r="B8" s="31" t="s">
        <v>22</v>
      </c>
      <c r="C8" s="37" t="s">
        <v>19</v>
      </c>
      <c r="D8" s="34" t="s">
        <v>23</v>
      </c>
    </row>
    <row r="9" spans="1:4" x14ac:dyDescent="0.25">
      <c r="A9" s="37" t="s">
        <v>24</v>
      </c>
      <c r="B9" s="31" t="s">
        <v>25</v>
      </c>
      <c r="C9" s="37" t="s">
        <v>24</v>
      </c>
      <c r="D9" s="40" t="s">
        <v>23</v>
      </c>
    </row>
    <row r="10" spans="1:4" x14ac:dyDescent="0.25">
      <c r="A10" s="37" t="s">
        <v>26</v>
      </c>
      <c r="B10" s="40" t="s">
        <v>873</v>
      </c>
      <c r="C10" s="37" t="s">
        <v>15</v>
      </c>
      <c r="D10" s="34" t="s">
        <v>27</v>
      </c>
    </row>
    <row r="11" spans="1:4" x14ac:dyDescent="0.25">
      <c r="A11" s="37" t="s">
        <v>28</v>
      </c>
      <c r="B11" t="s">
        <v>29</v>
      </c>
      <c r="C11" s="37" t="s">
        <v>11</v>
      </c>
      <c r="D11" s="34" t="s">
        <v>30</v>
      </c>
    </row>
    <row r="12" spans="1:4" x14ac:dyDescent="0.25">
      <c r="C12" s="37" t="s">
        <v>31</v>
      </c>
      <c r="D12" s="34" t="s">
        <v>32</v>
      </c>
    </row>
    <row r="13" spans="1:4" x14ac:dyDescent="0.25">
      <c r="A13" s="43" t="s">
        <v>33</v>
      </c>
      <c r="B13" s="42"/>
      <c r="C13" s="42"/>
      <c r="D13" s="42"/>
    </row>
    <row r="14" spans="1:4" x14ac:dyDescent="0.25">
      <c r="A14" s="37" t="s">
        <v>34</v>
      </c>
      <c r="B14" s="34" t="s">
        <v>35</v>
      </c>
      <c r="C14" s="37" t="s">
        <v>15</v>
      </c>
      <c r="D14" s="34" t="s">
        <v>36</v>
      </c>
    </row>
    <row r="15" spans="1:4" x14ac:dyDescent="0.25">
      <c r="C15" s="34"/>
      <c r="D15" s="34"/>
    </row>
    <row r="16" spans="1:4" x14ac:dyDescent="0.25">
      <c r="A16" s="32" t="s">
        <v>37</v>
      </c>
      <c r="B16" s="38"/>
      <c r="C16" s="38"/>
      <c r="D16" s="39"/>
    </row>
    <row r="17" spans="1:4" x14ac:dyDescent="0.25">
      <c r="A17" s="40" t="s">
        <v>38</v>
      </c>
      <c r="B17" s="40" t="s">
        <v>39</v>
      </c>
      <c r="C17" s="34"/>
      <c r="D17" s="34"/>
    </row>
    <row r="18" spans="1:4" x14ac:dyDescent="0.25">
      <c r="A18" s="40" t="s">
        <v>40</v>
      </c>
      <c r="B18" s="40" t="s">
        <v>41</v>
      </c>
      <c r="C18" s="34"/>
      <c r="D18" s="34"/>
    </row>
  </sheetData>
  <mergeCells count="2">
    <mergeCell ref="A3:D3"/>
    <mergeCell ref="A13:D13"/>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5" right="0.75" top="1" bottom="1" header="0.5" footer="0.5"/>
  <headerFooter>
    <oddFooter>&amp;L&amp;"Arial"&amp;7 &amp;K000000_x000D_# C2 - Intern_x000D_&amp;1#&amp;"Arial"&amp;7 &amp;K000000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F24"/>
  <sheetViews>
    <sheetView showGridLines="0" zoomScaleNormal="100" workbookViewId="0">
      <pane ySplit="6" topLeftCell="A7" activePane="bottomLeft" state="frozen"/>
      <selection pane="bottomLeft" activeCell="I8" sqref="I8"/>
    </sheetView>
  </sheetViews>
  <sheetFormatPr baseColWidth="10" defaultColWidth="11.7109375" defaultRowHeight="15" outlineLevelRow="1" outlineLevelCol="1" x14ac:dyDescent="0.25"/>
  <cols>
    <col min="1" max="1" width="4.7109375" style="139" customWidth="1"/>
    <col min="2" max="2" width="25.7109375" style="99" customWidth="1" outlineLevel="1"/>
    <col min="3" max="3" width="4.7109375" style="139" customWidth="1"/>
    <col min="4" max="6" width="25.7109375" style="99" customWidth="1" outlineLevel="1"/>
    <col min="7" max="7" width="4.7109375" style="139" customWidth="1"/>
    <col min="8" max="10" width="25.7109375" style="99" customWidth="1" outlineLevel="1"/>
    <col min="11" max="11" width="25.7109375" style="115" customWidth="1" outlineLevel="1"/>
    <col min="12" max="12" width="25.7109375" style="99" customWidth="1" outlineLevel="1"/>
    <col min="13" max="13" width="6.7109375" style="115" customWidth="1" outlineLevel="1"/>
    <col min="14" max="14" width="6.7109375" style="99" customWidth="1" outlineLevel="1"/>
    <col min="15" max="15" width="25.7109375" style="139" customWidth="1" outlineLevel="1"/>
    <col min="16" max="16" width="25.7109375" style="140" customWidth="1" outlineLevel="1"/>
    <col min="17" max="18" width="6.7109375" style="140" customWidth="1" outlineLevel="1"/>
    <col min="19" max="19" width="25.7109375" style="115" customWidth="1" outlineLevel="1"/>
    <col min="20" max="20" width="25.7109375" style="140" customWidth="1" outlineLevel="1"/>
    <col min="21" max="21" width="6.7109375" style="139" customWidth="1" outlineLevel="1"/>
    <col min="22" max="22" width="6.7109375" style="99" customWidth="1" outlineLevel="1"/>
    <col min="23" max="23" width="4.7109375" style="99" customWidth="1"/>
    <col min="24" max="24" width="25.7109375" style="99" customWidth="1" outlineLevel="1"/>
    <col min="25" max="25" width="25.7109375" style="139" customWidth="1" outlineLevel="1"/>
    <col min="26" max="28" width="25.7109375" style="99" customWidth="1" outlineLevel="1"/>
    <col min="29" max="29" width="4.7109375" style="99" customWidth="1"/>
    <col min="30" max="32" width="25.7109375" style="99" customWidth="1" outlineLevel="1"/>
    <col min="33" max="33" width="4.7109375" style="99" customWidth="1"/>
    <col min="34" max="34" width="25.7109375" style="99" customWidth="1" outlineLevel="1"/>
    <col min="35" max="35" width="1.7109375" style="99" customWidth="1"/>
    <col min="36" max="36" width="6.7109375" style="99" customWidth="1"/>
    <col min="37" max="58" width="11.7109375" style="99" customWidth="1" outlineLevel="1"/>
    <col min="59" max="16384" width="11.7109375" style="99"/>
  </cols>
  <sheetData>
    <row r="1" spans="1:58" s="133" customFormat="1" ht="200.1" customHeight="1" x14ac:dyDescent="0.25">
      <c r="A1" s="66" t="s">
        <v>237</v>
      </c>
      <c r="B1" s="67" t="s">
        <v>70</v>
      </c>
      <c r="C1" s="128" t="s">
        <v>138</v>
      </c>
      <c r="D1" s="67" t="s">
        <v>139</v>
      </c>
      <c r="E1" s="67" t="s">
        <v>140</v>
      </c>
      <c r="F1" s="67" t="s">
        <v>141</v>
      </c>
      <c r="G1" s="129" t="s">
        <v>142</v>
      </c>
      <c r="H1" s="67" t="s">
        <v>143</v>
      </c>
      <c r="I1" s="67" t="s">
        <v>144</v>
      </c>
      <c r="J1" s="67" t="s">
        <v>145</v>
      </c>
      <c r="K1" s="67" t="s">
        <v>238</v>
      </c>
      <c r="L1" s="67" t="s">
        <v>239</v>
      </c>
      <c r="M1" s="67" t="s">
        <v>240</v>
      </c>
      <c r="N1" s="67" t="s">
        <v>241</v>
      </c>
      <c r="O1" s="67" t="s">
        <v>147</v>
      </c>
      <c r="P1" s="67" t="s">
        <v>146</v>
      </c>
      <c r="Q1" s="67" t="s">
        <v>148</v>
      </c>
      <c r="R1" s="67" t="s">
        <v>149</v>
      </c>
      <c r="S1" s="67" t="s">
        <v>151</v>
      </c>
      <c r="T1" s="67" t="s">
        <v>150</v>
      </c>
      <c r="U1" s="67" t="s">
        <v>152</v>
      </c>
      <c r="V1" s="67" t="s">
        <v>153</v>
      </c>
      <c r="W1" s="130" t="s">
        <v>154</v>
      </c>
      <c r="X1" s="67" t="s">
        <v>155</v>
      </c>
      <c r="Y1" s="67" t="s">
        <v>156</v>
      </c>
      <c r="Z1" s="67" t="s">
        <v>157</v>
      </c>
      <c r="AA1" s="67" t="s">
        <v>158</v>
      </c>
      <c r="AB1" s="67" t="s">
        <v>159</v>
      </c>
      <c r="AC1" s="131" t="s">
        <v>62</v>
      </c>
      <c r="AD1" s="67" t="s">
        <v>44</v>
      </c>
      <c r="AE1" s="67" t="s">
        <v>160</v>
      </c>
      <c r="AF1" s="67" t="s">
        <v>161</v>
      </c>
      <c r="AG1" s="132" t="s">
        <v>162</v>
      </c>
      <c r="AH1" s="67" t="s">
        <v>163</v>
      </c>
      <c r="AJ1" s="66" t="s">
        <v>242</v>
      </c>
      <c r="AK1" s="67"/>
      <c r="AL1" s="67"/>
      <c r="AM1" s="67"/>
      <c r="AN1" s="67"/>
      <c r="AO1" s="67"/>
      <c r="AP1" s="67"/>
      <c r="AQ1" s="67"/>
      <c r="AR1" s="67"/>
      <c r="AS1" s="67"/>
      <c r="AT1" s="67"/>
      <c r="AU1" s="67"/>
      <c r="AV1" s="67"/>
      <c r="AW1" s="67"/>
      <c r="AX1" s="67"/>
      <c r="AY1" s="67"/>
      <c r="AZ1" s="67"/>
      <c r="BA1" s="67"/>
      <c r="BB1" s="67"/>
      <c r="BC1" s="67"/>
      <c r="BD1" s="67"/>
      <c r="BE1" s="67"/>
      <c r="BF1" s="67"/>
    </row>
    <row r="2" spans="1:58" s="76" customFormat="1" ht="12.75" customHeight="1" outlineLevel="1" x14ac:dyDescent="0.25">
      <c r="A2" s="73"/>
      <c r="B2" s="72" t="s">
        <v>76</v>
      </c>
      <c r="C2" s="73"/>
      <c r="D2" s="83" t="s">
        <v>243</v>
      </c>
      <c r="E2" s="83" t="s">
        <v>243</v>
      </c>
      <c r="F2" s="83" t="s">
        <v>243</v>
      </c>
      <c r="G2" s="73"/>
      <c r="H2" s="74" t="s">
        <v>244</v>
      </c>
      <c r="I2" s="74" t="s">
        <v>244</v>
      </c>
      <c r="J2" s="74" t="s">
        <v>245</v>
      </c>
      <c r="K2" s="74" t="s">
        <v>245</v>
      </c>
      <c r="L2" s="74"/>
      <c r="M2" s="74"/>
      <c r="N2" s="74"/>
      <c r="O2" s="74" t="s">
        <v>245</v>
      </c>
      <c r="P2" s="74" t="s">
        <v>245</v>
      </c>
      <c r="Q2" s="74" t="s">
        <v>243</v>
      </c>
      <c r="R2" s="74" t="s">
        <v>243</v>
      </c>
      <c r="S2" s="74" t="s">
        <v>246</v>
      </c>
      <c r="T2" s="74" t="s">
        <v>246</v>
      </c>
      <c r="U2" s="74" t="s">
        <v>243</v>
      </c>
      <c r="V2" s="74" t="s">
        <v>243</v>
      </c>
      <c r="W2" s="73"/>
      <c r="X2" s="74" t="s">
        <v>245</v>
      </c>
      <c r="Y2" s="74" t="s">
        <v>245</v>
      </c>
      <c r="Z2" s="74" t="s">
        <v>245</v>
      </c>
      <c r="AA2" s="74" t="s">
        <v>245</v>
      </c>
      <c r="AB2" s="74" t="s">
        <v>245</v>
      </c>
      <c r="AC2" s="73"/>
      <c r="AD2" s="74" t="s">
        <v>245</v>
      </c>
      <c r="AE2" s="74" t="s">
        <v>245</v>
      </c>
      <c r="AF2" s="74" t="s">
        <v>245</v>
      </c>
      <c r="AG2" s="73"/>
      <c r="AH2" s="74" t="s">
        <v>243</v>
      </c>
    </row>
    <row r="3" spans="1:58" s="78" customFormat="1" ht="14.1" customHeight="1" outlineLevel="1" x14ac:dyDescent="0.25">
      <c r="A3" s="73"/>
      <c r="B3" s="72" t="s">
        <v>77</v>
      </c>
      <c r="C3" s="73"/>
      <c r="D3" s="83" t="s">
        <v>247</v>
      </c>
      <c r="E3" s="74" t="s">
        <v>247</v>
      </c>
      <c r="F3" s="74" t="s">
        <v>247</v>
      </c>
      <c r="G3" s="73"/>
      <c r="H3" s="74" t="s">
        <v>248</v>
      </c>
      <c r="I3" s="74" t="s">
        <v>248</v>
      </c>
      <c r="J3" s="74" t="s">
        <v>248</v>
      </c>
      <c r="K3" s="74" t="s">
        <v>247</v>
      </c>
      <c r="L3" s="74" t="s">
        <v>249</v>
      </c>
      <c r="M3" s="74" t="s">
        <v>250</v>
      </c>
      <c r="N3" s="74" t="s">
        <v>251</v>
      </c>
      <c r="O3" s="74" t="s">
        <v>252</v>
      </c>
      <c r="P3" s="74" t="s">
        <v>249</v>
      </c>
      <c r="Q3" s="74" t="s">
        <v>250</v>
      </c>
      <c r="R3" s="74" t="s">
        <v>251</v>
      </c>
      <c r="S3" s="74" t="s">
        <v>252</v>
      </c>
      <c r="T3" s="74" t="s">
        <v>249</v>
      </c>
      <c r="U3" s="74" t="s">
        <v>250</v>
      </c>
      <c r="V3" s="74" t="s">
        <v>251</v>
      </c>
      <c r="W3" s="73"/>
      <c r="X3" s="74" t="s">
        <v>247</v>
      </c>
      <c r="Y3" s="74" t="s">
        <v>247</v>
      </c>
      <c r="Z3" s="74" t="s">
        <v>247</v>
      </c>
      <c r="AA3" s="74" t="s">
        <v>247</v>
      </c>
      <c r="AB3" s="74" t="s">
        <v>247</v>
      </c>
      <c r="AC3" s="73"/>
      <c r="AD3" s="74" t="s">
        <v>252</v>
      </c>
      <c r="AE3" s="74" t="s">
        <v>248</v>
      </c>
      <c r="AF3" s="74" t="s">
        <v>252</v>
      </c>
      <c r="AG3" s="73"/>
      <c r="AH3" s="74" t="s">
        <v>252</v>
      </c>
    </row>
    <row r="4" spans="1:58" s="78" customFormat="1" ht="14.1" customHeight="1" outlineLevel="1" x14ac:dyDescent="0.25">
      <c r="A4" s="73"/>
      <c r="B4" s="72" t="s">
        <v>78</v>
      </c>
      <c r="C4" s="73"/>
      <c r="D4" s="83"/>
      <c r="E4" s="74"/>
      <c r="F4" s="74"/>
      <c r="G4" s="73"/>
      <c r="H4" s="74" t="s">
        <v>253</v>
      </c>
      <c r="I4" s="74" t="s">
        <v>254</v>
      </c>
      <c r="J4" s="74"/>
      <c r="K4" s="74"/>
      <c r="L4" s="74" t="s">
        <v>254</v>
      </c>
      <c r="M4" s="74" t="s">
        <v>254</v>
      </c>
      <c r="N4" s="74" t="s">
        <v>254</v>
      </c>
      <c r="O4" s="74"/>
      <c r="P4" s="74"/>
      <c r="Q4" s="74"/>
      <c r="R4" s="74"/>
      <c r="S4" s="74"/>
      <c r="T4" s="74"/>
      <c r="U4" s="74"/>
      <c r="V4" s="74"/>
      <c r="W4" s="73"/>
      <c r="X4" s="74" t="s">
        <v>253</v>
      </c>
      <c r="Y4" s="74" t="s">
        <v>253</v>
      </c>
      <c r="Z4" s="74" t="s">
        <v>253</v>
      </c>
      <c r="AA4" s="74" t="s">
        <v>253</v>
      </c>
      <c r="AB4" s="74" t="s">
        <v>253</v>
      </c>
      <c r="AC4" s="73"/>
      <c r="AD4" s="74" t="s">
        <v>253</v>
      </c>
      <c r="AE4" s="74" t="s">
        <v>253</v>
      </c>
      <c r="AF4" s="74" t="s">
        <v>253</v>
      </c>
      <c r="AG4" s="73"/>
      <c r="AH4" s="74" t="s">
        <v>253</v>
      </c>
    </row>
    <row r="5" spans="1:58" s="78" customFormat="1" ht="15" customHeight="1" outlineLevel="1" x14ac:dyDescent="0.25">
      <c r="A5" s="73"/>
      <c r="B5" s="72" t="s">
        <v>255</v>
      </c>
      <c r="C5" s="73"/>
      <c r="D5" s="83"/>
      <c r="E5" s="74"/>
      <c r="F5" s="74"/>
      <c r="G5" s="73"/>
      <c r="H5" s="74"/>
      <c r="I5" s="74"/>
      <c r="J5" s="74"/>
      <c r="K5" s="74" t="s">
        <v>256</v>
      </c>
      <c r="L5" s="74" t="s">
        <v>257</v>
      </c>
      <c r="M5" s="74" t="s">
        <v>258</v>
      </c>
      <c r="N5" s="74" t="s">
        <v>259</v>
      </c>
      <c r="O5" s="74"/>
      <c r="P5" s="74"/>
      <c r="Q5" s="74"/>
      <c r="R5" s="74"/>
      <c r="S5" s="74"/>
      <c r="T5" s="74"/>
      <c r="U5" s="74"/>
      <c r="V5" s="74"/>
      <c r="W5" s="73"/>
      <c r="X5" s="74"/>
      <c r="Y5" s="74"/>
      <c r="Z5" s="74"/>
      <c r="AA5" s="74"/>
      <c r="AB5" s="74"/>
      <c r="AC5" s="73"/>
      <c r="AD5" s="74" t="s">
        <v>260</v>
      </c>
      <c r="AE5" s="74"/>
      <c r="AF5" s="79"/>
      <c r="AG5" s="73"/>
      <c r="AH5" s="74"/>
    </row>
    <row r="6" spans="1:58" s="86" customFormat="1" ht="56.25" customHeight="1" outlineLevel="1" x14ac:dyDescent="0.25">
      <c r="A6" s="82"/>
      <c r="B6" s="81" t="s">
        <v>261</v>
      </c>
      <c r="C6" s="82"/>
      <c r="D6" s="83" t="s">
        <v>262</v>
      </c>
      <c r="E6" s="83" t="s">
        <v>262</v>
      </c>
      <c r="F6" s="83" t="s">
        <v>262</v>
      </c>
      <c r="G6" s="82"/>
      <c r="H6" s="83" t="s">
        <v>263</v>
      </c>
      <c r="I6" s="83" t="s">
        <v>264</v>
      </c>
      <c r="J6" s="83" t="s">
        <v>262</v>
      </c>
      <c r="K6" s="83" t="s">
        <v>265</v>
      </c>
      <c r="L6" s="83" t="s">
        <v>266</v>
      </c>
      <c r="M6" s="83" t="s">
        <v>266</v>
      </c>
      <c r="N6" s="83" t="s">
        <v>266</v>
      </c>
      <c r="O6" s="83" t="s">
        <v>262</v>
      </c>
      <c r="P6" s="83" t="s">
        <v>262</v>
      </c>
      <c r="Q6" s="83" t="s">
        <v>262</v>
      </c>
      <c r="R6" s="83" t="s">
        <v>262</v>
      </c>
      <c r="S6" s="83" t="s">
        <v>262</v>
      </c>
      <c r="T6" s="83" t="s">
        <v>262</v>
      </c>
      <c r="U6" s="83" t="s">
        <v>262</v>
      </c>
      <c r="V6" s="83" t="s">
        <v>262</v>
      </c>
      <c r="W6" s="82"/>
      <c r="X6" s="83" t="s">
        <v>267</v>
      </c>
      <c r="Y6" s="83" t="s">
        <v>268</v>
      </c>
      <c r="Z6" s="83" t="s">
        <v>268</v>
      </c>
      <c r="AA6" s="83" t="s">
        <v>269</v>
      </c>
      <c r="AB6" s="83" t="s">
        <v>268</v>
      </c>
      <c r="AC6" s="82"/>
      <c r="AD6" s="83" t="s">
        <v>270</v>
      </c>
      <c r="AE6" s="83" t="s">
        <v>271</v>
      </c>
      <c r="AF6" s="83" t="s">
        <v>262</v>
      </c>
      <c r="AG6" s="82"/>
      <c r="AH6" s="83" t="s">
        <v>272</v>
      </c>
    </row>
    <row r="7" spans="1:58" s="88" customFormat="1" ht="51" x14ac:dyDescent="0.25">
      <c r="A7" s="134"/>
      <c r="B7" s="135"/>
      <c r="C7" s="134"/>
      <c r="D7" s="90"/>
      <c r="E7" s="136"/>
      <c r="F7" s="90"/>
      <c r="G7" s="134"/>
      <c r="H7" s="112"/>
      <c r="I7" s="89"/>
      <c r="J7" s="90" t="s">
        <v>855</v>
      </c>
      <c r="K7" s="90" t="s">
        <v>273</v>
      </c>
      <c r="L7" s="124" t="s">
        <v>709</v>
      </c>
      <c r="M7" s="124" t="str">
        <f>IFERROR(INDEX(Rules!$C:$C,MATCH(K7,Rules!$A:$A,0)),"")</f>
        <v>Structure spatiale</v>
      </c>
      <c r="N7" s="124" t="str">
        <f>IFERROR(INDEX(Rules!$D:$D,MATCH(K7,Rules!$A:$A,0)),"")</f>
        <v>Struttura spaziale</v>
      </c>
      <c r="O7" s="90" t="s">
        <v>274</v>
      </c>
      <c r="P7" s="90" t="s">
        <v>275</v>
      </c>
      <c r="Q7" s="91"/>
      <c r="R7" s="91"/>
      <c r="S7" s="90" t="s">
        <v>276</v>
      </c>
      <c r="T7" s="90" t="s">
        <v>277</v>
      </c>
      <c r="U7" s="91"/>
      <c r="V7" s="91"/>
      <c r="W7" s="134"/>
      <c r="X7" s="137" t="s">
        <v>278</v>
      </c>
      <c r="Y7" s="90" t="s">
        <v>279</v>
      </c>
      <c r="Z7" s="90" t="s">
        <v>279</v>
      </c>
      <c r="AA7" s="90"/>
      <c r="AB7" s="90"/>
      <c r="AC7" s="134"/>
      <c r="AD7" s="90" t="s">
        <v>684</v>
      </c>
      <c r="AE7" s="90" t="s">
        <v>968</v>
      </c>
      <c r="AF7" s="90" t="s">
        <v>50</v>
      </c>
      <c r="AG7" s="134"/>
      <c r="AH7" s="90" t="s">
        <v>280</v>
      </c>
      <c r="AK7" s="90"/>
      <c r="AL7" s="90"/>
      <c r="AM7" s="90"/>
      <c r="AN7" s="90"/>
      <c r="AO7" s="90"/>
      <c r="AP7" s="90"/>
      <c r="AQ7" s="90"/>
      <c r="AR7" s="90"/>
      <c r="AS7" s="90"/>
      <c r="AT7" s="90"/>
      <c r="AU7" s="90"/>
      <c r="AV7" s="90"/>
      <c r="AW7" s="90"/>
      <c r="AX7" s="90"/>
      <c r="AY7" s="90"/>
      <c r="AZ7" s="90"/>
      <c r="BA7" s="90"/>
      <c r="BB7" s="90"/>
      <c r="BC7" s="90"/>
      <c r="BD7" s="90"/>
      <c r="BE7" s="90"/>
      <c r="BF7" s="90"/>
    </row>
    <row r="8" spans="1:58" s="88" customFormat="1" ht="51" x14ac:dyDescent="0.25">
      <c r="A8" s="134"/>
      <c r="B8" s="135"/>
      <c r="C8" s="134"/>
      <c r="D8" s="90"/>
      <c r="E8" s="136"/>
      <c r="F8" s="90"/>
      <c r="G8" s="134"/>
      <c r="H8" s="112"/>
      <c r="I8" s="89"/>
      <c r="J8" s="90" t="s">
        <v>856</v>
      </c>
      <c r="K8" s="90" t="s">
        <v>273</v>
      </c>
      <c r="L8" s="124" t="str">
        <f>IFERROR(INDEX(Rules!$B:$B,MATCH(K8,Rules!$A:$A,0)),"")</f>
        <v>Räumliche Struktur</v>
      </c>
      <c r="M8" s="124" t="str">
        <f>IFERROR(INDEX(Rules!$C:$C,MATCH(K8,Rules!$A:$A,0)),"")</f>
        <v>Structure spatiale</v>
      </c>
      <c r="N8" s="124" t="str">
        <f>IFERROR(INDEX(Rules!$D:$D,MATCH(K8,Rules!$A:$A,0)),"")</f>
        <v>Struttura spaziale</v>
      </c>
      <c r="O8" s="90" t="s">
        <v>281</v>
      </c>
      <c r="P8" s="90" t="s">
        <v>282</v>
      </c>
      <c r="Q8" s="91"/>
      <c r="R8" s="91"/>
      <c r="S8" s="90" t="s">
        <v>283</v>
      </c>
      <c r="T8" s="90" t="s">
        <v>284</v>
      </c>
      <c r="U8" s="91"/>
      <c r="V8" s="91"/>
      <c r="W8" s="134"/>
      <c r="X8" s="137" t="s">
        <v>285</v>
      </c>
      <c r="Y8" s="90" t="s">
        <v>286</v>
      </c>
      <c r="Z8" s="90" t="s">
        <v>286</v>
      </c>
      <c r="AA8" s="90"/>
      <c r="AB8" s="90"/>
      <c r="AC8" s="134"/>
      <c r="AD8" s="90" t="s">
        <v>684</v>
      </c>
      <c r="AE8" s="90" t="s">
        <v>968</v>
      </c>
      <c r="AF8" s="90" t="s">
        <v>50</v>
      </c>
      <c r="AG8" s="134"/>
      <c r="AH8" s="90" t="s">
        <v>280</v>
      </c>
      <c r="AK8" s="90"/>
      <c r="AL8" s="90"/>
      <c r="AM8" s="90"/>
      <c r="AN8" s="90"/>
      <c r="AO8" s="90"/>
      <c r="AP8" s="90"/>
      <c r="AQ8" s="90"/>
      <c r="AR8" s="90"/>
      <c r="AS8" s="90"/>
      <c r="AT8" s="90"/>
      <c r="AU8" s="90"/>
      <c r="AV8" s="90"/>
      <c r="AW8" s="90"/>
      <c r="AX8" s="90"/>
      <c r="AY8" s="90"/>
      <c r="AZ8" s="90"/>
      <c r="BA8" s="90"/>
      <c r="BB8" s="90"/>
      <c r="BC8" s="90"/>
      <c r="BD8" s="90"/>
      <c r="BE8" s="90"/>
      <c r="BF8" s="90"/>
    </row>
    <row r="9" spans="1:58" s="88" customFormat="1" ht="51" x14ac:dyDescent="0.25">
      <c r="A9" s="134"/>
      <c r="B9" s="135"/>
      <c r="C9" s="134"/>
      <c r="D9" s="90"/>
      <c r="E9" s="136"/>
      <c r="F9" s="90"/>
      <c r="G9" s="134"/>
      <c r="H9" s="112"/>
      <c r="I9" s="89"/>
      <c r="J9" s="90" t="s">
        <v>857</v>
      </c>
      <c r="K9" s="90" t="s">
        <v>273</v>
      </c>
      <c r="L9" s="124" t="str">
        <f>IFERROR(INDEX(Rules!$B:$B,MATCH(K9,Rules!$A:$A,0)),"")</f>
        <v>Räumliche Struktur</v>
      </c>
      <c r="M9" s="124" t="str">
        <f>IFERROR(INDEX(Rules!$C:$C,MATCH(K9,Rules!$A:$A,0)),"")</f>
        <v>Structure spatiale</v>
      </c>
      <c r="N9" s="124" t="str">
        <f>IFERROR(INDEX(Rules!$D:$D,MATCH(K9,Rules!$A:$A,0)),"")</f>
        <v>Struttura spaziale</v>
      </c>
      <c r="O9" s="90" t="s">
        <v>287</v>
      </c>
      <c r="P9" s="90" t="s">
        <v>288</v>
      </c>
      <c r="Q9" s="91"/>
      <c r="R9" s="91"/>
      <c r="S9" s="90" t="s">
        <v>289</v>
      </c>
      <c r="T9" s="90" t="s">
        <v>290</v>
      </c>
      <c r="U9" s="91"/>
      <c r="V9" s="91"/>
      <c r="W9" s="134"/>
      <c r="X9" s="137" t="s">
        <v>291</v>
      </c>
      <c r="Y9" s="90" t="s">
        <v>292</v>
      </c>
      <c r="Z9" s="90" t="s">
        <v>292</v>
      </c>
      <c r="AA9" s="90" t="s">
        <v>293</v>
      </c>
      <c r="AB9" s="90" t="s">
        <v>294</v>
      </c>
      <c r="AC9" s="134"/>
      <c r="AD9" s="90" t="s">
        <v>684</v>
      </c>
      <c r="AE9" s="90" t="s">
        <v>968</v>
      </c>
      <c r="AF9" s="90" t="s">
        <v>50</v>
      </c>
      <c r="AG9" s="134"/>
      <c r="AH9" s="90" t="s">
        <v>280</v>
      </c>
      <c r="AK9" s="90"/>
      <c r="AL9" s="90"/>
      <c r="AM9" s="90"/>
      <c r="AN9" s="90"/>
      <c r="AO9" s="90"/>
      <c r="AP9" s="90"/>
      <c r="AQ9" s="90"/>
      <c r="AR9" s="90"/>
      <c r="AS9" s="90"/>
      <c r="AT9" s="90"/>
      <c r="AU9" s="90"/>
      <c r="AV9" s="90"/>
      <c r="AW9" s="90"/>
      <c r="AX9" s="90"/>
      <c r="AY9" s="90"/>
      <c r="AZ9" s="90"/>
      <c r="BA9" s="90"/>
      <c r="BB9" s="90"/>
      <c r="BC9" s="90"/>
      <c r="BD9" s="90"/>
      <c r="BE9" s="90"/>
      <c r="BF9" s="90"/>
    </row>
    <row r="10" spans="1:58" s="88" customFormat="1" ht="51" x14ac:dyDescent="0.25">
      <c r="A10" s="134"/>
      <c r="B10" s="135"/>
      <c r="C10" s="134"/>
      <c r="D10" s="90"/>
      <c r="E10" s="136"/>
      <c r="F10" s="90"/>
      <c r="G10" s="134"/>
      <c r="H10" s="112"/>
      <c r="I10" s="89"/>
      <c r="J10" s="90" t="s">
        <v>858</v>
      </c>
      <c r="K10" s="90" t="s">
        <v>273</v>
      </c>
      <c r="L10" s="124" t="str">
        <f>IFERROR(INDEX(Rules!$B:$B,MATCH(K10,Rules!$A:$A,0)),"")</f>
        <v>Räumliche Struktur</v>
      </c>
      <c r="M10" s="124" t="str">
        <f>IFERROR(INDEX(Rules!$C:$C,MATCH(K10,Rules!$A:$A,0)),"")</f>
        <v>Structure spatiale</v>
      </c>
      <c r="N10" s="124" t="str">
        <f>IFERROR(INDEX(Rules!$D:$D,MATCH(K10,Rules!$A:$A,0)),"")</f>
        <v>Struttura spaziale</v>
      </c>
      <c r="O10" s="94" t="s">
        <v>295</v>
      </c>
      <c r="P10" s="94" t="s">
        <v>296</v>
      </c>
      <c r="Q10" s="95"/>
      <c r="R10" s="95"/>
      <c r="S10" s="90" t="s">
        <v>297</v>
      </c>
      <c r="T10" s="90" t="s">
        <v>298</v>
      </c>
      <c r="U10" s="91"/>
      <c r="V10" s="91"/>
      <c r="W10" s="134"/>
      <c r="X10" s="137" t="s">
        <v>291</v>
      </c>
      <c r="Y10" s="90" t="s">
        <v>292</v>
      </c>
      <c r="Z10" s="90" t="s">
        <v>292</v>
      </c>
      <c r="AA10" s="90" t="s">
        <v>293</v>
      </c>
      <c r="AB10" s="90" t="s">
        <v>299</v>
      </c>
      <c r="AC10" s="134"/>
      <c r="AD10" s="90" t="s">
        <v>684</v>
      </c>
      <c r="AE10" s="90" t="s">
        <v>968</v>
      </c>
      <c r="AF10" s="90" t="s">
        <v>50</v>
      </c>
      <c r="AG10" s="134"/>
      <c r="AH10" s="90" t="s">
        <v>280</v>
      </c>
      <c r="AK10" s="90"/>
      <c r="AL10" s="90"/>
      <c r="AM10" s="90"/>
      <c r="AN10" s="90"/>
      <c r="AO10" s="90"/>
      <c r="AP10" s="90"/>
      <c r="AQ10" s="90"/>
      <c r="AR10" s="90"/>
      <c r="AS10" s="90"/>
      <c r="AT10" s="90"/>
      <c r="AU10" s="90"/>
      <c r="AV10" s="90"/>
      <c r="AW10" s="90"/>
      <c r="AX10" s="90"/>
      <c r="AY10" s="90"/>
      <c r="AZ10" s="90"/>
      <c r="BA10" s="90"/>
      <c r="BB10" s="90"/>
      <c r="BC10" s="90"/>
      <c r="BD10" s="90"/>
      <c r="BE10" s="90"/>
      <c r="BF10" s="90"/>
    </row>
    <row r="11" spans="1:58" s="88" customFormat="1" ht="51" x14ac:dyDescent="0.25">
      <c r="A11" s="134"/>
      <c r="B11" s="135"/>
      <c r="C11" s="134"/>
      <c r="D11" s="90"/>
      <c r="E11" s="136"/>
      <c r="F11" s="90"/>
      <c r="G11" s="134"/>
      <c r="H11" s="112"/>
      <c r="I11" s="89"/>
      <c r="J11" s="90" t="s">
        <v>859</v>
      </c>
      <c r="K11" s="90" t="s">
        <v>273</v>
      </c>
      <c r="L11" s="124" t="str">
        <f>IFERROR(INDEX(Rules!$B:$B,MATCH(K11,Rules!$A:$A,0)),"")</f>
        <v>Räumliche Struktur</v>
      </c>
      <c r="M11" s="124" t="str">
        <f>IFERROR(INDEX(Rules!$C:$C,MATCH(K11,Rules!$A:$A,0)),"")</f>
        <v>Structure spatiale</v>
      </c>
      <c r="N11" s="124" t="str">
        <f>IFERROR(INDEX(Rules!$D:$D,MATCH(K11,Rules!$A:$A,0)),"")</f>
        <v>Struttura spaziale</v>
      </c>
      <c r="O11" s="90" t="s">
        <v>300</v>
      </c>
      <c r="P11" s="90" t="s">
        <v>301</v>
      </c>
      <c r="Q11" s="91"/>
      <c r="R11" s="91"/>
      <c r="S11" s="90" t="s">
        <v>302</v>
      </c>
      <c r="T11" s="90" t="s">
        <v>303</v>
      </c>
      <c r="U11" s="91"/>
      <c r="V11" s="91"/>
      <c r="W11" s="134"/>
      <c r="X11" s="138" t="s">
        <v>304</v>
      </c>
      <c r="Y11" s="90" t="s">
        <v>292</v>
      </c>
      <c r="Z11" s="90" t="s">
        <v>292</v>
      </c>
      <c r="AA11" s="90" t="s">
        <v>305</v>
      </c>
      <c r="AB11" s="90"/>
      <c r="AC11" s="134"/>
      <c r="AD11" s="90" t="s">
        <v>684</v>
      </c>
      <c r="AE11" s="90" t="s">
        <v>968</v>
      </c>
      <c r="AF11" s="90" t="s">
        <v>50</v>
      </c>
      <c r="AG11" s="134"/>
      <c r="AH11" s="90" t="s">
        <v>280</v>
      </c>
      <c r="AK11" s="90"/>
      <c r="AL11" s="90"/>
      <c r="AM11" s="90"/>
      <c r="AN11" s="90"/>
      <c r="AO11" s="90"/>
      <c r="AP11" s="90"/>
      <c r="AQ11" s="90"/>
      <c r="AR11" s="90"/>
      <c r="AS11" s="90"/>
      <c r="AT11" s="90"/>
      <c r="AU11" s="90"/>
      <c r="AV11" s="90"/>
      <c r="AW11" s="90"/>
      <c r="AX11" s="90"/>
      <c r="AY11" s="90"/>
      <c r="AZ11" s="90"/>
      <c r="BA11" s="90"/>
      <c r="BB11" s="90"/>
      <c r="BC11" s="90"/>
      <c r="BD11" s="90"/>
      <c r="BE11" s="90"/>
      <c r="BF11" s="90"/>
    </row>
    <row r="12" spans="1:58" s="88" customFormat="1" ht="51" x14ac:dyDescent="0.25">
      <c r="A12" s="134"/>
      <c r="B12" s="135"/>
      <c r="C12" s="134"/>
      <c r="D12" s="90"/>
      <c r="E12" s="136"/>
      <c r="F12" s="90"/>
      <c r="G12" s="134"/>
      <c r="H12" s="112"/>
      <c r="I12" s="89"/>
      <c r="J12" s="90" t="s">
        <v>860</v>
      </c>
      <c r="K12" s="90" t="s">
        <v>273</v>
      </c>
      <c r="L12" s="124" t="str">
        <f>IFERROR(INDEX(Rules!$B:$B,MATCH(K12,Rules!$A:$A,0)),"")</f>
        <v>Räumliche Struktur</v>
      </c>
      <c r="M12" s="124" t="str">
        <f>IFERROR(INDEX(Rules!$C:$C,MATCH(K12,Rules!$A:$A,0)),"")</f>
        <v>Structure spatiale</v>
      </c>
      <c r="N12" s="124" t="str">
        <f>IFERROR(INDEX(Rules!$D:$D,MATCH(K12,Rules!$A:$A,0)),"")</f>
        <v>Struttura spaziale</v>
      </c>
      <c r="O12" s="94" t="s">
        <v>306</v>
      </c>
      <c r="P12" s="94" t="s">
        <v>307</v>
      </c>
      <c r="Q12" s="95"/>
      <c r="R12" s="95"/>
      <c r="S12" s="90" t="s">
        <v>308</v>
      </c>
      <c r="T12" s="90" t="s">
        <v>309</v>
      </c>
      <c r="U12" s="91"/>
      <c r="V12" s="91"/>
      <c r="W12" s="134"/>
      <c r="X12" s="137" t="s">
        <v>291</v>
      </c>
      <c r="Y12" s="90" t="s">
        <v>292</v>
      </c>
      <c r="Z12" s="90" t="s">
        <v>292</v>
      </c>
      <c r="AA12" s="90" t="s">
        <v>293</v>
      </c>
      <c r="AB12" s="90" t="s">
        <v>310</v>
      </c>
      <c r="AC12" s="134"/>
      <c r="AD12" s="90" t="s">
        <v>684</v>
      </c>
      <c r="AE12" s="90" t="s">
        <v>968</v>
      </c>
      <c r="AF12" s="90" t="s">
        <v>50</v>
      </c>
      <c r="AG12" s="134"/>
      <c r="AH12" s="90" t="s">
        <v>280</v>
      </c>
      <c r="AK12" s="90"/>
      <c r="AL12" s="90"/>
      <c r="AM12" s="90"/>
      <c r="AN12" s="90"/>
      <c r="AO12" s="90"/>
      <c r="AP12" s="90"/>
      <c r="AQ12" s="90"/>
      <c r="AR12" s="90"/>
      <c r="AS12" s="90"/>
      <c r="AT12" s="90"/>
      <c r="AU12" s="90"/>
      <c r="AV12" s="90"/>
      <c r="AW12" s="90"/>
      <c r="AX12" s="90"/>
      <c r="AY12" s="90"/>
      <c r="AZ12" s="90"/>
      <c r="BA12" s="90"/>
      <c r="BB12" s="90"/>
      <c r="BC12" s="90"/>
      <c r="BD12" s="90"/>
      <c r="BE12" s="90"/>
      <c r="BF12" s="90"/>
    </row>
    <row r="13" spans="1:58" s="88" customFormat="1" ht="51" x14ac:dyDescent="0.25">
      <c r="A13" s="134"/>
      <c r="B13" s="135"/>
      <c r="C13" s="134"/>
      <c r="D13" s="90"/>
      <c r="E13" s="136"/>
      <c r="F13" s="90"/>
      <c r="G13" s="134"/>
      <c r="H13" s="112"/>
      <c r="I13" s="89"/>
      <c r="J13" s="90" t="s">
        <v>861</v>
      </c>
      <c r="K13" s="90" t="s">
        <v>273</v>
      </c>
      <c r="L13" s="124" t="str">
        <f>IFERROR(INDEX(Rules!$B:$B,MATCH(K13,Rules!$A:$A,0)),"")</f>
        <v>Räumliche Struktur</v>
      </c>
      <c r="M13" s="124" t="str">
        <f>IFERROR(INDEX(Rules!$C:$C,MATCH(K13,Rules!$A:$A,0)),"")</f>
        <v>Structure spatiale</v>
      </c>
      <c r="N13" s="124" t="str">
        <f>IFERROR(INDEX(Rules!$D:$D,MATCH(K13,Rules!$A:$A,0)),"")</f>
        <v>Struttura spaziale</v>
      </c>
      <c r="O13" s="90" t="s">
        <v>311</v>
      </c>
      <c r="P13" s="90" t="s">
        <v>312</v>
      </c>
      <c r="Q13" s="91"/>
      <c r="R13" s="91"/>
      <c r="S13" s="90" t="s">
        <v>313</v>
      </c>
      <c r="T13" s="90" t="s">
        <v>314</v>
      </c>
      <c r="U13" s="91"/>
      <c r="V13" s="91"/>
      <c r="W13" s="134"/>
      <c r="X13" s="137" t="s">
        <v>291</v>
      </c>
      <c r="Y13" s="90" t="s">
        <v>292</v>
      </c>
      <c r="Z13" s="90" t="s">
        <v>292</v>
      </c>
      <c r="AA13" s="90" t="s">
        <v>293</v>
      </c>
      <c r="AB13" s="90" t="s">
        <v>315</v>
      </c>
      <c r="AC13" s="134"/>
      <c r="AD13" s="90" t="s">
        <v>684</v>
      </c>
      <c r="AE13" s="90" t="s">
        <v>968</v>
      </c>
      <c r="AF13" s="90" t="s">
        <v>50</v>
      </c>
      <c r="AG13" s="134"/>
      <c r="AH13" s="90" t="s">
        <v>280</v>
      </c>
      <c r="AK13" s="90"/>
      <c r="AL13" s="90"/>
      <c r="AM13" s="90"/>
      <c r="AN13" s="90"/>
      <c r="AO13" s="90"/>
      <c r="AP13" s="90"/>
      <c r="AQ13" s="90"/>
      <c r="AR13" s="90"/>
      <c r="AS13" s="90"/>
      <c r="AT13" s="90"/>
      <c r="AU13" s="90"/>
      <c r="AV13" s="90"/>
      <c r="AW13" s="90"/>
      <c r="AX13" s="90"/>
      <c r="AY13" s="90"/>
      <c r="AZ13" s="90"/>
      <c r="BA13" s="90"/>
      <c r="BB13" s="90"/>
      <c r="BC13" s="90"/>
      <c r="BD13" s="90"/>
      <c r="BE13" s="90"/>
      <c r="BF13" s="90"/>
    </row>
    <row r="14" spans="1:58" s="88" customFormat="1" ht="51" x14ac:dyDescent="0.25">
      <c r="A14" s="134"/>
      <c r="B14" s="135"/>
      <c r="C14" s="134"/>
      <c r="D14" s="90"/>
      <c r="E14" s="136"/>
      <c r="F14" s="90"/>
      <c r="G14" s="134"/>
      <c r="H14" s="112"/>
      <c r="I14" s="89"/>
      <c r="J14" s="90" t="s">
        <v>862</v>
      </c>
      <c r="K14" s="90" t="s">
        <v>273</v>
      </c>
      <c r="L14" s="124" t="str">
        <f>IFERROR(INDEX(Rules!$B:$B,MATCH(K14,Rules!$A:$A,0)),"")</f>
        <v>Räumliche Struktur</v>
      </c>
      <c r="M14" s="124" t="str">
        <f>IFERROR(INDEX(Rules!$C:$C,MATCH(K14,Rules!$A:$A,0)),"")</f>
        <v>Structure spatiale</v>
      </c>
      <c r="N14" s="124" t="str">
        <f>IFERROR(INDEX(Rules!$D:$D,MATCH(K14,Rules!$A:$A,0)),"")</f>
        <v>Struttura spaziale</v>
      </c>
      <c r="O14" s="90" t="s">
        <v>316</v>
      </c>
      <c r="P14" s="90" t="s">
        <v>317</v>
      </c>
      <c r="Q14" s="91"/>
      <c r="R14" s="91"/>
      <c r="S14" s="90" t="s">
        <v>318</v>
      </c>
      <c r="T14" s="90" t="s">
        <v>319</v>
      </c>
      <c r="U14" s="91"/>
      <c r="V14" s="91"/>
      <c r="W14" s="134"/>
      <c r="X14" s="137" t="s">
        <v>320</v>
      </c>
      <c r="Y14" s="90" t="s">
        <v>292</v>
      </c>
      <c r="Z14" s="90" t="s">
        <v>292</v>
      </c>
      <c r="AA14" s="90" t="s">
        <v>321</v>
      </c>
      <c r="AB14" s="90"/>
      <c r="AC14" s="134"/>
      <c r="AD14" s="90" t="s">
        <v>684</v>
      </c>
      <c r="AE14" s="90" t="s">
        <v>968</v>
      </c>
      <c r="AF14" s="90" t="s">
        <v>50</v>
      </c>
      <c r="AG14" s="134"/>
      <c r="AH14" s="90" t="s">
        <v>280</v>
      </c>
      <c r="AK14" s="90"/>
      <c r="AL14" s="90"/>
      <c r="AM14" s="90"/>
      <c r="AN14" s="90"/>
      <c r="AO14" s="90"/>
      <c r="AP14" s="90"/>
      <c r="AQ14" s="90"/>
      <c r="AR14" s="90"/>
      <c r="AS14" s="90"/>
      <c r="AT14" s="90"/>
      <c r="AU14" s="90"/>
      <c r="AV14" s="90"/>
      <c r="AW14" s="90"/>
      <c r="AX14" s="90"/>
      <c r="AY14" s="90"/>
      <c r="AZ14" s="90"/>
      <c r="BA14" s="90"/>
      <c r="BB14" s="90"/>
      <c r="BC14" s="90"/>
      <c r="BD14" s="90"/>
      <c r="BE14" s="90"/>
      <c r="BF14" s="90"/>
    </row>
    <row r="15" spans="1:58" s="88" customFormat="1" ht="12.75" x14ac:dyDescent="0.25">
      <c r="A15" s="134"/>
      <c r="B15" s="135"/>
      <c r="C15" s="134"/>
      <c r="D15" s="90"/>
      <c r="E15" s="136"/>
      <c r="F15" s="90"/>
      <c r="G15" s="134"/>
      <c r="H15" s="112"/>
      <c r="I15" s="89"/>
      <c r="J15" s="90"/>
      <c r="K15" s="90"/>
      <c r="L15" s="124"/>
      <c r="M15" s="124"/>
      <c r="N15" s="124"/>
      <c r="O15" s="90"/>
      <c r="P15" s="90"/>
      <c r="Q15" s="91"/>
      <c r="R15" s="91"/>
      <c r="S15" s="90"/>
      <c r="T15" s="90"/>
      <c r="U15" s="91"/>
      <c r="V15" s="91"/>
      <c r="W15" s="134"/>
      <c r="X15" s="137"/>
      <c r="Y15" s="90"/>
      <c r="Z15" s="90"/>
      <c r="AA15" s="90"/>
      <c r="AB15" s="90"/>
      <c r="AC15" s="134"/>
      <c r="AD15" s="90"/>
      <c r="AE15" s="90"/>
      <c r="AF15" s="90"/>
      <c r="AG15" s="134"/>
      <c r="AH15" s="90"/>
      <c r="AK15" s="90"/>
      <c r="AL15" s="90"/>
      <c r="AM15" s="90"/>
      <c r="AN15" s="90"/>
      <c r="AO15" s="90"/>
      <c r="AP15" s="90"/>
      <c r="AQ15" s="90"/>
      <c r="AR15" s="90"/>
      <c r="AS15" s="90"/>
      <c r="AT15" s="90"/>
      <c r="AU15" s="90"/>
      <c r="AV15" s="90"/>
      <c r="AW15" s="90"/>
      <c r="AX15" s="90"/>
      <c r="AY15" s="90"/>
      <c r="AZ15" s="90"/>
      <c r="BA15" s="90"/>
      <c r="BB15" s="90"/>
      <c r="BC15" s="90"/>
      <c r="BD15" s="90"/>
      <c r="BE15" s="90"/>
      <c r="BF15" s="90"/>
    </row>
    <row r="16" spans="1:58" s="88" customFormat="1" ht="12.75" x14ac:dyDescent="0.25">
      <c r="A16" s="134"/>
      <c r="B16" s="135"/>
      <c r="C16" s="134"/>
      <c r="D16" s="90"/>
      <c r="E16" s="136"/>
      <c r="F16" s="90"/>
      <c r="G16" s="134"/>
      <c r="H16" s="112"/>
      <c r="I16" s="89"/>
      <c r="J16" s="90"/>
      <c r="K16" s="90"/>
      <c r="L16" s="124"/>
      <c r="M16" s="124" t="str">
        <f>IFERROR(INDEX(Rules!$C:$C,MATCH(K16,Rules!$A:$A,0)),"")</f>
        <v/>
      </c>
      <c r="N16" s="124" t="str">
        <f>IFERROR(INDEX(Rules!$D:$D,MATCH(K16,Rules!$A:$A,0)),"")</f>
        <v/>
      </c>
      <c r="O16" s="94"/>
      <c r="P16" s="94"/>
      <c r="Q16" s="95"/>
      <c r="R16" s="95"/>
      <c r="S16" s="90"/>
      <c r="T16" s="90"/>
      <c r="U16" s="91"/>
      <c r="V16" s="91"/>
      <c r="W16" s="134"/>
      <c r="X16" s="137"/>
      <c r="Y16" s="90"/>
      <c r="Z16" s="90"/>
      <c r="AA16" s="90"/>
      <c r="AB16" s="90"/>
      <c r="AC16" s="134"/>
      <c r="AD16" s="90"/>
      <c r="AE16" s="90"/>
      <c r="AF16" s="90"/>
      <c r="AG16" s="134"/>
      <c r="AH16" s="90"/>
      <c r="AK16" s="90"/>
      <c r="AL16" s="90"/>
      <c r="AM16" s="90"/>
      <c r="AN16" s="90"/>
      <c r="AO16" s="90"/>
      <c r="AP16" s="90"/>
      <c r="AQ16" s="90"/>
      <c r="AR16" s="90"/>
      <c r="AS16" s="90"/>
      <c r="AT16" s="90"/>
      <c r="AU16" s="90"/>
      <c r="AV16" s="90"/>
      <c r="AW16" s="90"/>
      <c r="AX16" s="90"/>
      <c r="AY16" s="90"/>
      <c r="AZ16" s="90"/>
      <c r="BA16" s="90"/>
      <c r="BB16" s="90"/>
      <c r="BC16" s="90"/>
      <c r="BD16" s="90"/>
      <c r="BE16" s="90"/>
      <c r="BF16" s="90"/>
    </row>
    <row r="17" spans="1:58" s="88" customFormat="1" ht="12.75" x14ac:dyDescent="0.25">
      <c r="A17" s="134"/>
      <c r="B17" s="135"/>
      <c r="C17" s="134"/>
      <c r="D17" s="90"/>
      <c r="E17" s="136"/>
      <c r="F17" s="90"/>
      <c r="G17" s="134"/>
      <c r="H17" s="112"/>
      <c r="I17" s="89"/>
      <c r="J17" s="90"/>
      <c r="K17" s="90"/>
      <c r="L17" s="124" t="str">
        <f>IFERROR(INDEX(Rules!$B:$B,MATCH(K17,Rules!$A:$A,0)),"")</f>
        <v/>
      </c>
      <c r="M17" s="124" t="str">
        <f>IFERROR(INDEX(Rules!$C:$C,MATCH(K17,Rules!$A:$A,0)),"")</f>
        <v/>
      </c>
      <c r="N17" s="124" t="str">
        <f>IFERROR(INDEX(Rules!$D:$D,MATCH(K17,Rules!$A:$A,0)),"")</f>
        <v/>
      </c>
      <c r="O17" s="90"/>
      <c r="P17" s="90"/>
      <c r="Q17" s="91"/>
      <c r="R17" s="91"/>
      <c r="S17" s="90"/>
      <c r="T17" s="90"/>
      <c r="U17" s="91"/>
      <c r="V17" s="91"/>
      <c r="W17" s="134"/>
      <c r="X17" s="137"/>
      <c r="Y17" s="90"/>
      <c r="Z17" s="90"/>
      <c r="AA17" s="90"/>
      <c r="AB17" s="90"/>
      <c r="AC17" s="134"/>
      <c r="AD17" s="90"/>
      <c r="AE17" s="90"/>
      <c r="AF17" s="90"/>
      <c r="AG17" s="134"/>
      <c r="AH17" s="90"/>
      <c r="AK17" s="90"/>
      <c r="AL17" s="90"/>
      <c r="AM17" s="90"/>
      <c r="AN17" s="90"/>
      <c r="AO17" s="90"/>
      <c r="AP17" s="90"/>
      <c r="AQ17" s="90"/>
      <c r="AR17" s="90"/>
      <c r="AS17" s="90"/>
      <c r="AT17" s="90"/>
      <c r="AU17" s="90"/>
      <c r="AV17" s="90"/>
      <c r="AW17" s="90"/>
      <c r="AX17" s="90"/>
      <c r="AY17" s="90"/>
      <c r="AZ17" s="90"/>
      <c r="BA17" s="90"/>
      <c r="BB17" s="90"/>
      <c r="BC17" s="90"/>
      <c r="BD17" s="90"/>
      <c r="BE17" s="90"/>
      <c r="BF17" s="90"/>
    </row>
    <row r="18" spans="1:58" s="88" customFormat="1" ht="12.75" x14ac:dyDescent="0.25">
      <c r="A18" s="134"/>
      <c r="B18" s="135"/>
      <c r="C18" s="134"/>
      <c r="D18" s="90"/>
      <c r="E18" s="136"/>
      <c r="F18" s="90"/>
      <c r="G18" s="134"/>
      <c r="H18" s="112"/>
      <c r="I18" s="89"/>
      <c r="J18" s="90"/>
      <c r="K18" s="90"/>
      <c r="L18" s="124" t="str">
        <f>IFERROR(INDEX(Rules!$B:$B,MATCH(K18,Rules!$A:$A,0)),"")</f>
        <v/>
      </c>
      <c r="M18" s="124" t="str">
        <f>IFERROR(INDEX(Rules!$C:$C,MATCH(K18,Rules!$A:$A,0)),"")</f>
        <v/>
      </c>
      <c r="N18" s="124" t="str">
        <f>IFERROR(INDEX(Rules!$D:$D,MATCH(K18,Rules!$A:$A,0)),"")</f>
        <v/>
      </c>
      <c r="O18" s="94"/>
      <c r="P18" s="94"/>
      <c r="Q18" s="95"/>
      <c r="R18" s="95"/>
      <c r="S18" s="90"/>
      <c r="T18" s="90"/>
      <c r="U18" s="91"/>
      <c r="V18" s="91"/>
      <c r="W18" s="134"/>
      <c r="X18" s="137"/>
      <c r="Y18" s="90"/>
      <c r="Z18" s="90"/>
      <c r="AA18" s="90"/>
      <c r="AB18" s="90"/>
      <c r="AC18" s="134"/>
      <c r="AD18" s="90"/>
      <c r="AE18" s="90"/>
      <c r="AF18" s="90"/>
      <c r="AG18" s="134"/>
      <c r="AH18" s="90"/>
      <c r="AK18" s="90"/>
      <c r="AL18" s="90"/>
      <c r="AM18" s="90"/>
      <c r="AN18" s="90"/>
      <c r="AO18" s="90"/>
      <c r="AP18" s="90"/>
      <c r="AQ18" s="90"/>
      <c r="AR18" s="90"/>
      <c r="AS18" s="90"/>
      <c r="AT18" s="90"/>
      <c r="AU18" s="90"/>
      <c r="AV18" s="90"/>
      <c r="AW18" s="90"/>
      <c r="AX18" s="90"/>
      <c r="AY18" s="90"/>
      <c r="AZ18" s="90"/>
      <c r="BA18" s="90"/>
      <c r="BB18" s="90"/>
      <c r="BC18" s="90"/>
      <c r="BD18" s="90"/>
      <c r="BE18" s="90"/>
      <c r="BF18" s="90"/>
    </row>
    <row r="19" spans="1:58" s="88" customFormat="1" ht="12.75" x14ac:dyDescent="0.25">
      <c r="A19" s="134"/>
      <c r="B19" s="135"/>
      <c r="C19" s="134"/>
      <c r="D19" s="90"/>
      <c r="E19" s="136"/>
      <c r="F19" s="90"/>
      <c r="G19" s="134"/>
      <c r="H19" s="112"/>
      <c r="I19" s="89"/>
      <c r="J19" s="90"/>
      <c r="K19" s="90"/>
      <c r="L19" s="124" t="str">
        <f>IFERROR(INDEX(Rules!$B:$B,MATCH(K19,Rules!$A:$A,0)),"")</f>
        <v/>
      </c>
      <c r="M19" s="124" t="str">
        <f>IFERROR(INDEX(Rules!$C:$C,MATCH(K19,Rules!$A:$A,0)),"")</f>
        <v/>
      </c>
      <c r="N19" s="124" t="str">
        <f>IFERROR(INDEX(Rules!$D:$D,MATCH(K19,Rules!$A:$A,0)),"")</f>
        <v/>
      </c>
      <c r="O19" s="90"/>
      <c r="P19" s="90"/>
      <c r="Q19" s="91"/>
      <c r="R19" s="91"/>
      <c r="S19" s="90"/>
      <c r="T19" s="90"/>
      <c r="U19" s="91"/>
      <c r="V19" s="91"/>
      <c r="W19" s="134"/>
      <c r="X19" s="137"/>
      <c r="Y19" s="90"/>
      <c r="Z19" s="90"/>
      <c r="AA19" s="90"/>
      <c r="AB19" s="90"/>
      <c r="AC19" s="134"/>
      <c r="AD19" s="90"/>
      <c r="AE19" s="90"/>
      <c r="AF19" s="90"/>
      <c r="AG19" s="134"/>
      <c r="AH19" s="90"/>
      <c r="AK19" s="90"/>
      <c r="AL19" s="90"/>
      <c r="AM19" s="90"/>
      <c r="AN19" s="90"/>
      <c r="AO19" s="90"/>
      <c r="AP19" s="90"/>
      <c r="AQ19" s="90"/>
      <c r="AR19" s="90"/>
      <c r="AS19" s="90"/>
      <c r="AT19" s="90"/>
      <c r="AU19" s="90"/>
      <c r="AV19" s="90"/>
      <c r="AW19" s="90"/>
      <c r="AX19" s="90"/>
      <c r="AY19" s="90"/>
      <c r="AZ19" s="90"/>
      <c r="BA19" s="90"/>
      <c r="BB19" s="90"/>
      <c r="BC19" s="90"/>
      <c r="BD19" s="90"/>
      <c r="BE19" s="90"/>
      <c r="BF19" s="90"/>
    </row>
    <row r="20" spans="1:58" s="88" customFormat="1" ht="12.75" x14ac:dyDescent="0.25">
      <c r="A20" s="134"/>
      <c r="B20" s="135"/>
      <c r="C20" s="134"/>
      <c r="D20" s="90"/>
      <c r="E20" s="136"/>
      <c r="F20" s="90"/>
      <c r="G20" s="134"/>
      <c r="H20" s="112"/>
      <c r="I20" s="89"/>
      <c r="J20" s="90"/>
      <c r="K20" s="90"/>
      <c r="L20" s="124" t="str">
        <f>IFERROR(INDEX(Rules!$B:$B,MATCH(K20,Rules!$A:$A,0)),"")</f>
        <v/>
      </c>
      <c r="M20" s="124" t="str">
        <f>IFERROR(INDEX(Rules!$C:$C,MATCH(K20,Rules!$A:$A,0)),"")</f>
        <v/>
      </c>
      <c r="N20" s="124" t="str">
        <f>IFERROR(INDEX(Rules!$D:$D,MATCH(K20,Rules!$A:$A,0)),"")</f>
        <v/>
      </c>
      <c r="O20" s="90"/>
      <c r="P20" s="90"/>
      <c r="Q20" s="91"/>
      <c r="R20" s="91"/>
      <c r="S20" s="90"/>
      <c r="T20" s="90"/>
      <c r="U20" s="91"/>
      <c r="V20" s="91"/>
      <c r="W20" s="134"/>
      <c r="X20" s="137"/>
      <c r="Y20" s="90"/>
      <c r="Z20" s="90"/>
      <c r="AA20" s="90"/>
      <c r="AB20" s="90"/>
      <c r="AC20" s="134"/>
      <c r="AD20" s="90"/>
      <c r="AE20" s="90"/>
      <c r="AF20" s="90"/>
      <c r="AG20" s="134"/>
      <c r="AH20" s="90"/>
      <c r="AK20" s="90"/>
      <c r="AL20" s="90"/>
      <c r="AM20" s="90"/>
      <c r="AN20" s="90"/>
      <c r="AO20" s="90"/>
      <c r="AP20" s="90"/>
      <c r="AQ20" s="90"/>
      <c r="AR20" s="90"/>
      <c r="AS20" s="90"/>
      <c r="AT20" s="90"/>
      <c r="AU20" s="90"/>
      <c r="AV20" s="90"/>
      <c r="AW20" s="90"/>
      <c r="AX20" s="90"/>
      <c r="AY20" s="90"/>
      <c r="AZ20" s="90"/>
      <c r="BA20" s="90"/>
      <c r="BB20" s="90"/>
      <c r="BC20" s="90"/>
      <c r="BD20" s="90"/>
      <c r="BE20" s="90"/>
      <c r="BF20" s="90"/>
    </row>
    <row r="21" spans="1:58" s="88" customFormat="1" ht="12.75" x14ac:dyDescent="0.25">
      <c r="A21" s="134"/>
      <c r="B21" s="135"/>
      <c r="C21" s="134"/>
      <c r="D21" s="90"/>
      <c r="E21" s="136"/>
      <c r="F21" s="90"/>
      <c r="G21" s="134"/>
      <c r="H21" s="112"/>
      <c r="I21" s="89"/>
      <c r="J21" s="90"/>
      <c r="K21" s="90"/>
      <c r="L21" s="124" t="str">
        <f>IFERROR(INDEX(Rules!$B:$B,MATCH(K21,Rules!$A:$A,0)),"")</f>
        <v/>
      </c>
      <c r="M21" s="124" t="str">
        <f>IFERROR(INDEX(Rules!$C:$C,MATCH(K21,Rules!$A:$A,0)),"")</f>
        <v/>
      </c>
      <c r="N21" s="124" t="str">
        <f>IFERROR(INDEX(Rules!$D:$D,MATCH(K21,Rules!$A:$A,0)),"")</f>
        <v/>
      </c>
      <c r="O21" s="90"/>
      <c r="P21" s="90"/>
      <c r="Q21" s="91"/>
      <c r="R21" s="91"/>
      <c r="S21" s="90"/>
      <c r="T21" s="90"/>
      <c r="U21" s="91"/>
      <c r="V21" s="91"/>
      <c r="W21" s="134"/>
      <c r="X21" s="137"/>
      <c r="Y21" s="90"/>
      <c r="Z21" s="90"/>
      <c r="AA21" s="90"/>
      <c r="AB21" s="90"/>
      <c r="AC21" s="134"/>
      <c r="AD21" s="90"/>
      <c r="AE21" s="90"/>
      <c r="AF21" s="90"/>
      <c r="AG21" s="134"/>
      <c r="AH21" s="90"/>
      <c r="AK21" s="90"/>
      <c r="AL21" s="90"/>
      <c r="AM21" s="90"/>
      <c r="AN21" s="90"/>
      <c r="AO21" s="90"/>
      <c r="AP21" s="90"/>
      <c r="AQ21" s="90"/>
      <c r="AR21" s="90"/>
      <c r="AS21" s="90"/>
      <c r="AT21" s="90"/>
      <c r="AU21" s="90"/>
      <c r="AV21" s="90"/>
      <c r="AW21" s="90"/>
      <c r="AX21" s="90"/>
      <c r="AY21" s="90"/>
      <c r="AZ21" s="90"/>
      <c r="BA21" s="90"/>
      <c r="BB21" s="90"/>
      <c r="BC21" s="90"/>
      <c r="BD21" s="90"/>
      <c r="BE21" s="90"/>
      <c r="BF21" s="90"/>
    </row>
    <row r="22" spans="1:58" s="88" customFormat="1" ht="12.75" x14ac:dyDescent="0.25">
      <c r="A22" s="134"/>
      <c r="B22" s="135"/>
      <c r="C22" s="134"/>
      <c r="D22" s="90"/>
      <c r="E22" s="136"/>
      <c r="F22" s="90"/>
      <c r="G22" s="134"/>
      <c r="H22" s="112"/>
      <c r="I22" s="89"/>
      <c r="J22" s="90"/>
      <c r="K22" s="90"/>
      <c r="L22" s="124" t="str">
        <f>IFERROR(INDEX(Rules!$B:$B,MATCH(K22,Rules!$A:$A,0)),"")</f>
        <v/>
      </c>
      <c r="M22" s="124" t="str">
        <f>IFERROR(INDEX(Rules!$C:$C,MATCH(K22,Rules!$A:$A,0)),"")</f>
        <v/>
      </c>
      <c r="N22" s="124" t="str">
        <f>IFERROR(INDEX(Rules!$D:$D,MATCH(K22,Rules!$A:$A,0)),"")</f>
        <v/>
      </c>
      <c r="O22" s="94"/>
      <c r="P22" s="94"/>
      <c r="Q22" s="95"/>
      <c r="R22" s="95"/>
      <c r="S22" s="90"/>
      <c r="T22" s="90"/>
      <c r="U22" s="91"/>
      <c r="V22" s="91"/>
      <c r="W22" s="134"/>
      <c r="X22" s="137"/>
      <c r="Y22" s="90"/>
      <c r="Z22" s="90"/>
      <c r="AA22" s="90"/>
      <c r="AB22" s="90"/>
      <c r="AC22" s="134"/>
      <c r="AD22" s="90"/>
      <c r="AE22" s="90"/>
      <c r="AF22" s="90"/>
      <c r="AG22" s="134"/>
      <c r="AH22" s="90"/>
      <c r="AK22" s="90"/>
      <c r="AL22" s="90"/>
      <c r="AM22" s="90"/>
      <c r="AN22" s="90"/>
      <c r="AO22" s="90"/>
      <c r="AP22" s="90"/>
      <c r="AQ22" s="90"/>
      <c r="AR22" s="90"/>
      <c r="AS22" s="90"/>
      <c r="AT22" s="90"/>
      <c r="AU22" s="90"/>
      <c r="AV22" s="90"/>
      <c r="AW22" s="90"/>
      <c r="AX22" s="90"/>
      <c r="AY22" s="90"/>
      <c r="AZ22" s="90"/>
      <c r="BA22" s="90"/>
      <c r="BB22" s="90"/>
      <c r="BC22" s="90"/>
      <c r="BD22" s="90"/>
      <c r="BE22" s="90"/>
      <c r="BF22" s="90"/>
    </row>
    <row r="23" spans="1:58" s="88" customFormat="1" ht="12.75" x14ac:dyDescent="0.25">
      <c r="A23" s="134"/>
      <c r="B23" s="135"/>
      <c r="C23" s="134"/>
      <c r="D23" s="90"/>
      <c r="E23" s="136"/>
      <c r="F23" s="90"/>
      <c r="G23" s="134"/>
      <c r="H23" s="112"/>
      <c r="I23" s="89"/>
      <c r="J23" s="90"/>
      <c r="K23" s="90"/>
      <c r="L23" s="124" t="str">
        <f>IFERROR(INDEX(Rules!$B:$B,MATCH(K23,Rules!$A:$A,0)),"")</f>
        <v/>
      </c>
      <c r="M23" s="124" t="str">
        <f>IFERROR(INDEX(Rules!$C:$C,MATCH(K23,Rules!$A:$A,0)),"")</f>
        <v/>
      </c>
      <c r="N23" s="124" t="str">
        <f>IFERROR(INDEX(Rules!$D:$D,MATCH(K23,Rules!$A:$A,0)),"")</f>
        <v/>
      </c>
      <c r="O23" s="90"/>
      <c r="P23" s="90"/>
      <c r="Q23" s="91"/>
      <c r="R23" s="91"/>
      <c r="S23" s="90"/>
      <c r="T23" s="90"/>
      <c r="U23" s="91"/>
      <c r="V23" s="91"/>
      <c r="W23" s="134"/>
      <c r="X23" s="137"/>
      <c r="Y23" s="90"/>
      <c r="Z23" s="90"/>
      <c r="AA23" s="90"/>
      <c r="AB23" s="90"/>
      <c r="AC23" s="134"/>
      <c r="AD23" s="90"/>
      <c r="AE23" s="90"/>
      <c r="AF23" s="90"/>
      <c r="AG23" s="134"/>
      <c r="AH23" s="90"/>
      <c r="AK23" s="90"/>
      <c r="AL23" s="90"/>
      <c r="AM23" s="90"/>
      <c r="AN23" s="90"/>
      <c r="AO23" s="90"/>
      <c r="AP23" s="90"/>
      <c r="AQ23" s="90"/>
      <c r="AR23" s="90"/>
      <c r="AS23" s="90"/>
      <c r="AT23" s="90"/>
      <c r="AU23" s="90"/>
      <c r="AV23" s="90"/>
      <c r="AW23" s="90"/>
      <c r="AX23" s="90"/>
      <c r="AY23" s="90"/>
      <c r="AZ23" s="90"/>
      <c r="BA23" s="90"/>
      <c r="BB23" s="90"/>
      <c r="BC23" s="90"/>
      <c r="BD23" s="90"/>
      <c r="BE23" s="90"/>
      <c r="BF23" s="90"/>
    </row>
    <row r="24" spans="1:58" s="88" customFormat="1" ht="12.75" x14ac:dyDescent="0.25">
      <c r="A24" s="134"/>
      <c r="B24" s="135"/>
      <c r="C24" s="134"/>
      <c r="D24" s="90"/>
      <c r="E24" s="136"/>
      <c r="F24" s="90"/>
      <c r="G24" s="134"/>
      <c r="H24" s="112"/>
      <c r="I24" s="89"/>
      <c r="J24" s="90"/>
      <c r="K24" s="90"/>
      <c r="L24" s="124" t="str">
        <f>IFERROR(INDEX(Rules!$B:$B,MATCH(K24,Rules!$A:$A,0)),"")</f>
        <v/>
      </c>
      <c r="M24" s="124" t="str">
        <f>IFERROR(INDEX(Rules!$C:$C,MATCH(K24,Rules!$A:$A,0)),"")</f>
        <v/>
      </c>
      <c r="N24" s="124" t="str">
        <f>IFERROR(INDEX(Rules!$D:$D,MATCH(K24,Rules!$A:$A,0)),"")</f>
        <v/>
      </c>
      <c r="O24" s="94"/>
      <c r="P24" s="94"/>
      <c r="Q24" s="95"/>
      <c r="R24" s="95"/>
      <c r="S24" s="90"/>
      <c r="T24" s="90"/>
      <c r="U24" s="91"/>
      <c r="V24" s="91"/>
      <c r="W24" s="134"/>
      <c r="X24" s="137"/>
      <c r="Y24" s="90"/>
      <c r="Z24" s="90"/>
      <c r="AA24" s="90"/>
      <c r="AB24" s="90"/>
      <c r="AC24" s="134"/>
      <c r="AD24" s="90"/>
      <c r="AE24" s="90"/>
      <c r="AF24" s="90"/>
      <c r="AG24" s="134"/>
      <c r="AH24" s="90"/>
      <c r="AK24" s="90"/>
      <c r="AL24" s="90"/>
      <c r="AM24" s="90"/>
      <c r="AN24" s="90"/>
      <c r="AO24" s="90"/>
      <c r="AP24" s="90"/>
      <c r="AQ24" s="90"/>
      <c r="AR24" s="90"/>
      <c r="AS24" s="90"/>
      <c r="AT24" s="90"/>
      <c r="AU24" s="90"/>
      <c r="AV24" s="90"/>
      <c r="AW24" s="90"/>
      <c r="AX24" s="90"/>
      <c r="AY24" s="90"/>
      <c r="AZ24" s="90"/>
      <c r="BA24" s="90"/>
      <c r="BB24" s="90"/>
      <c r="BC24" s="90"/>
      <c r="BD24" s="90"/>
      <c r="BE24" s="90"/>
      <c r="BF24" s="90"/>
    </row>
  </sheetData>
  <sheetProtection selectLockedCells="1"/>
  <autoFilter ref="A6:AE6" xr:uid="{00000000-0009-0000-0000-000003000000}"/>
  <phoneticPr fontId="37" type="noConversion"/>
  <dataValidations xWindow="1091" yWindow="456" count="6">
    <dataValidation type="date" operator="greaterThanOrEqual" sqref="AB7:AB1996 AE7:AE14" xr:uid="{00000000-0002-0000-0300-000000000000}">
      <formula1>DATE(2000,1,1)</formula1>
    </dataValidation>
    <dataValidation type="list" allowBlank="1" sqref="AD7:AD1999" xr:uid="{00000000-0002-0000-0300-000001000000}">
      <formula1>Status</formula1>
    </dataValidation>
    <dataValidation type="list" allowBlank="1" sqref="K7:K1999" xr:uid="{00000000-0002-0000-0300-000002000000}">
      <formula1>Objekt_Einordnung</formula1>
    </dataValidation>
    <dataValidation type="list" allowBlank="1" sqref="L7:L1999" xr:uid="{00000000-0002-0000-0300-000003000000}">
      <formula1>Klassen_Zuordnung</formula1>
    </dataValidation>
    <dataValidation type="list" allowBlank="1" sqref="M7:M1999" xr:uid="{00000000-0002-0000-0300-000004000000}">
      <formula1>Affectation_de_classe</formula1>
    </dataValidation>
    <dataValidation type="list" allowBlank="1" sqref="N7:N1999" xr:uid="{00000000-0002-0000-0300-000005000000}">
      <formula1>Assegnazione_della_classe</formula1>
    </dataValidation>
  </dataValidations>
  <pageMargins left="0.70866141732283472" right="0.70866141732283472" top="0.78740157480314965" bottom="0.78740157480314965" header="0.31496062992125978" footer="0.31496062992125978"/>
  <pageSetup paperSize="9" scale="23"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A350"/>
  <sheetViews>
    <sheetView showGridLines="0" zoomScale="85" zoomScaleNormal="85" workbookViewId="0">
      <pane ySplit="6" topLeftCell="A9" activePane="bottomLeft" state="frozen"/>
      <selection activeCell="D30" sqref="D30:D31"/>
      <selection pane="bottomLeft" activeCell="D1" sqref="D1:U1"/>
    </sheetView>
  </sheetViews>
  <sheetFormatPr baseColWidth="10" defaultColWidth="11.28515625" defaultRowHeight="29.1" customHeight="1" outlineLevelRow="1" outlineLevelCol="1" x14ac:dyDescent="0.25"/>
  <cols>
    <col min="1" max="1" width="4.7109375" style="96" customWidth="1"/>
    <col min="2" max="2" width="25.7109375" style="97" customWidth="1" outlineLevel="1"/>
    <col min="3" max="3" width="4.7109375" style="92" customWidth="1"/>
    <col min="4" max="6" width="25.7109375" style="98" customWidth="1" outlineLevel="1"/>
    <col min="7" max="7" width="25.7109375" style="115" customWidth="1" outlineLevel="1"/>
    <col min="8" max="8" width="25.7109375" style="98" customWidth="1" outlineLevel="1"/>
    <col min="9" max="10" width="6.7109375" style="126" customWidth="1" outlineLevel="1"/>
    <col min="11" max="12" width="25.7109375" style="126" customWidth="1" outlineLevel="1"/>
    <col min="13" max="13" width="6.7109375" style="115" customWidth="1" outlineLevel="1"/>
    <col min="14" max="14" width="6.7109375" style="98" customWidth="1" outlineLevel="1"/>
    <col min="15" max="15" width="35.7109375" style="115" customWidth="1" outlineLevel="1"/>
    <col min="16" max="16" width="35.7109375" style="98" customWidth="1" outlineLevel="1"/>
    <col min="17" max="17" width="6.7109375" style="92" customWidth="1" outlineLevel="1"/>
    <col min="18" max="18" width="6.7109375" style="98" customWidth="1" outlineLevel="1"/>
    <col min="19" max="19" width="25.7109375" style="98" customWidth="1" outlineLevel="1"/>
    <col min="20" max="20" width="25.7109375" style="92" customWidth="1" outlineLevel="1"/>
    <col min="21" max="21" width="25.7109375" style="97" customWidth="1" outlineLevel="1"/>
    <col min="22" max="22" width="4.7109375" style="97" customWidth="1"/>
    <col min="23" max="25" width="25.7109375" style="98" customWidth="1" outlineLevel="1"/>
    <col min="26" max="26" width="4.7109375" style="98" customWidth="1"/>
    <col min="27" max="27" width="25.7109375" style="98" customWidth="1" outlineLevel="1"/>
    <col min="28" max="29" width="25.7109375" style="99" customWidth="1" outlineLevel="1"/>
    <col min="30" max="30" width="1.7109375" style="99" customWidth="1"/>
    <col min="31" max="31" width="6.7109375" style="99" customWidth="1"/>
    <col min="32" max="50" width="11.28515625" style="99" customWidth="1" outlineLevel="1"/>
    <col min="51" max="53" width="11.28515625" style="98" customWidth="1" outlineLevel="1"/>
    <col min="54" max="16384" width="11.28515625" style="98"/>
  </cols>
  <sheetData>
    <row r="1" spans="1:53" s="117" customFormat="1" ht="200.1" customHeight="1" x14ac:dyDescent="0.25">
      <c r="A1" s="66" t="s">
        <v>237</v>
      </c>
      <c r="B1" s="67" t="s">
        <v>70</v>
      </c>
      <c r="C1" s="68" t="s">
        <v>322</v>
      </c>
      <c r="D1" s="101" t="s">
        <v>143</v>
      </c>
      <c r="E1" s="116" t="s">
        <v>186</v>
      </c>
      <c r="F1" s="116" t="s">
        <v>187</v>
      </c>
      <c r="G1" s="116" t="s">
        <v>323</v>
      </c>
      <c r="H1" s="116" t="s">
        <v>324</v>
      </c>
      <c r="I1" s="116" t="s">
        <v>325</v>
      </c>
      <c r="J1" s="116" t="s">
        <v>326</v>
      </c>
      <c r="K1" s="116" t="s">
        <v>147</v>
      </c>
      <c r="L1" s="116" t="s">
        <v>146</v>
      </c>
      <c r="M1" s="116" t="s">
        <v>148</v>
      </c>
      <c r="N1" s="116" t="s">
        <v>149</v>
      </c>
      <c r="O1" s="101" t="s">
        <v>151</v>
      </c>
      <c r="P1" s="116" t="s">
        <v>150</v>
      </c>
      <c r="Q1" s="101" t="s">
        <v>152</v>
      </c>
      <c r="R1" s="101" t="s">
        <v>153</v>
      </c>
      <c r="S1" s="101" t="s">
        <v>327</v>
      </c>
      <c r="T1" s="101" t="s">
        <v>328</v>
      </c>
      <c r="U1" s="101" t="s">
        <v>190</v>
      </c>
      <c r="V1" s="68" t="s">
        <v>154</v>
      </c>
      <c r="W1" s="67" t="s">
        <v>155</v>
      </c>
      <c r="X1" s="67" t="s">
        <v>329</v>
      </c>
      <c r="Y1" s="67" t="s">
        <v>192</v>
      </c>
      <c r="Z1" s="102" t="s">
        <v>62</v>
      </c>
      <c r="AA1" s="101" t="s">
        <v>44</v>
      </c>
      <c r="AB1" s="101" t="s">
        <v>160</v>
      </c>
      <c r="AC1" s="67" t="s">
        <v>161</v>
      </c>
      <c r="AE1" s="66" t="s">
        <v>242</v>
      </c>
      <c r="AF1" s="67"/>
      <c r="AG1" s="67"/>
      <c r="AH1" s="67"/>
      <c r="AI1" s="67"/>
      <c r="AJ1" s="67"/>
      <c r="AK1" s="67"/>
      <c r="AL1" s="67"/>
      <c r="AM1" s="67"/>
      <c r="AN1" s="67"/>
      <c r="AO1" s="67"/>
      <c r="AP1" s="67"/>
      <c r="AQ1" s="67"/>
      <c r="AR1" s="67"/>
      <c r="AS1" s="67"/>
      <c r="AT1" s="67"/>
      <c r="AU1" s="67"/>
      <c r="AV1" s="67"/>
      <c r="AW1" s="67"/>
      <c r="AX1" s="67"/>
      <c r="AY1" s="67"/>
      <c r="AZ1" s="67"/>
      <c r="BA1" s="67"/>
    </row>
    <row r="2" spans="1:53" s="75" customFormat="1" ht="12.75" customHeight="1" outlineLevel="1" x14ac:dyDescent="0.25">
      <c r="A2" s="118"/>
      <c r="B2" s="72" t="s">
        <v>76</v>
      </c>
      <c r="C2" s="118"/>
      <c r="D2" s="74" t="s">
        <v>244</v>
      </c>
      <c r="E2" s="74" t="s">
        <v>244</v>
      </c>
      <c r="F2" s="74" t="s">
        <v>245</v>
      </c>
      <c r="G2" s="74" t="s">
        <v>245</v>
      </c>
      <c r="H2" s="74"/>
      <c r="I2" s="74"/>
      <c r="J2" s="74"/>
      <c r="K2" s="74" t="s">
        <v>245</v>
      </c>
      <c r="L2" s="74" t="s">
        <v>245</v>
      </c>
      <c r="M2" s="74" t="s">
        <v>243</v>
      </c>
      <c r="N2" s="74" t="s">
        <v>243</v>
      </c>
      <c r="O2" s="74" t="s">
        <v>245</v>
      </c>
      <c r="P2" s="74" t="s">
        <v>245</v>
      </c>
      <c r="Q2" s="74" t="s">
        <v>243</v>
      </c>
      <c r="R2" s="74" t="s">
        <v>243</v>
      </c>
      <c r="S2" s="74" t="s">
        <v>245</v>
      </c>
      <c r="T2" s="74" t="s">
        <v>245</v>
      </c>
      <c r="U2" s="74" t="s">
        <v>245</v>
      </c>
      <c r="V2" s="118"/>
      <c r="W2" s="74" t="s">
        <v>245</v>
      </c>
      <c r="X2" s="74" t="s">
        <v>245</v>
      </c>
      <c r="Y2" s="74" t="s">
        <v>245</v>
      </c>
      <c r="Z2" s="119"/>
      <c r="AA2" s="74" t="s">
        <v>245</v>
      </c>
      <c r="AB2" s="74" t="s">
        <v>245</v>
      </c>
      <c r="AC2" s="74" t="s">
        <v>245</v>
      </c>
      <c r="AE2" s="76"/>
      <c r="AF2" s="76"/>
      <c r="AG2" s="76"/>
      <c r="AH2" s="76"/>
      <c r="AI2" s="76"/>
      <c r="AJ2" s="76"/>
      <c r="AK2" s="76"/>
      <c r="AL2" s="76"/>
      <c r="AM2" s="76"/>
      <c r="AN2" s="76"/>
      <c r="AO2" s="76"/>
      <c r="AP2" s="76"/>
      <c r="AQ2" s="76"/>
      <c r="AR2" s="76"/>
      <c r="AS2" s="76"/>
      <c r="AT2" s="76"/>
      <c r="AU2" s="76"/>
      <c r="AV2" s="76"/>
      <c r="AW2" s="76"/>
      <c r="AX2" s="76"/>
      <c r="AY2" s="76"/>
      <c r="AZ2" s="76"/>
      <c r="BA2" s="76"/>
    </row>
    <row r="3" spans="1:53" s="77" customFormat="1" ht="13.5" customHeight="1" outlineLevel="1" x14ac:dyDescent="0.25">
      <c r="A3" s="118"/>
      <c r="B3" s="72" t="s">
        <v>77</v>
      </c>
      <c r="C3" s="118"/>
      <c r="D3" s="83" t="s">
        <v>248</v>
      </c>
      <c r="E3" s="83" t="s">
        <v>248</v>
      </c>
      <c r="F3" s="83" t="s">
        <v>248</v>
      </c>
      <c r="G3" s="83" t="s">
        <v>248</v>
      </c>
      <c r="H3" s="83" t="s">
        <v>249</v>
      </c>
      <c r="I3" s="83" t="s">
        <v>250</v>
      </c>
      <c r="J3" s="83" t="s">
        <v>251</v>
      </c>
      <c r="K3" s="74" t="s">
        <v>252</v>
      </c>
      <c r="L3" s="74" t="s">
        <v>249</v>
      </c>
      <c r="M3" s="74" t="s">
        <v>250</v>
      </c>
      <c r="N3" s="74" t="s">
        <v>251</v>
      </c>
      <c r="O3" s="74" t="s">
        <v>252</v>
      </c>
      <c r="P3" s="74" t="s">
        <v>249</v>
      </c>
      <c r="Q3" s="74" t="s">
        <v>250</v>
      </c>
      <c r="R3" s="74" t="s">
        <v>251</v>
      </c>
      <c r="S3" s="83" t="s">
        <v>248</v>
      </c>
      <c r="T3" s="83" t="s">
        <v>248</v>
      </c>
      <c r="U3" s="74" t="s">
        <v>252</v>
      </c>
      <c r="V3" s="118"/>
      <c r="W3" s="83" t="s">
        <v>248</v>
      </c>
      <c r="X3" s="74" t="s">
        <v>252</v>
      </c>
      <c r="Y3" s="83" t="s">
        <v>248</v>
      </c>
      <c r="Z3" s="119"/>
      <c r="AA3" s="74" t="s">
        <v>252</v>
      </c>
      <c r="AB3" s="74" t="s">
        <v>248</v>
      </c>
      <c r="AC3" s="74" t="s">
        <v>252</v>
      </c>
      <c r="AE3" s="78"/>
      <c r="AF3" s="78"/>
      <c r="AG3" s="78"/>
      <c r="AH3" s="78"/>
      <c r="AI3" s="78"/>
      <c r="AJ3" s="78"/>
      <c r="AK3" s="78"/>
      <c r="AL3" s="78"/>
      <c r="AM3" s="78"/>
      <c r="AN3" s="78"/>
      <c r="AO3" s="78"/>
      <c r="AP3" s="78"/>
      <c r="AQ3" s="78"/>
      <c r="AR3" s="78"/>
      <c r="AS3" s="78"/>
      <c r="AT3" s="78"/>
      <c r="AU3" s="78"/>
      <c r="AV3" s="78"/>
      <c r="AW3" s="78"/>
      <c r="AX3" s="78"/>
      <c r="AY3" s="78"/>
      <c r="AZ3" s="78"/>
      <c r="BA3" s="78"/>
    </row>
    <row r="4" spans="1:53" s="77" customFormat="1" ht="13.5" customHeight="1" outlineLevel="1" x14ac:dyDescent="0.25">
      <c r="A4" s="118"/>
      <c r="B4" s="72" t="s">
        <v>78</v>
      </c>
      <c r="C4" s="118"/>
      <c r="D4" s="83" t="s">
        <v>253</v>
      </c>
      <c r="E4" s="83" t="s">
        <v>254</v>
      </c>
      <c r="F4" s="74"/>
      <c r="G4" s="74"/>
      <c r="H4" s="74" t="s">
        <v>254</v>
      </c>
      <c r="I4" s="74" t="s">
        <v>254</v>
      </c>
      <c r="J4" s="74" t="s">
        <v>254</v>
      </c>
      <c r="K4" s="74"/>
      <c r="L4" s="74"/>
      <c r="M4" s="74"/>
      <c r="N4" s="74"/>
      <c r="O4" s="74"/>
      <c r="P4" s="74"/>
      <c r="Q4" s="74"/>
      <c r="R4" s="74"/>
      <c r="S4" s="74" t="s">
        <v>253</v>
      </c>
      <c r="T4" s="74" t="s">
        <v>253</v>
      </c>
      <c r="U4" s="74" t="s">
        <v>253</v>
      </c>
      <c r="V4" s="118"/>
      <c r="W4" s="74" t="s">
        <v>253</v>
      </c>
      <c r="X4" s="74" t="s">
        <v>253</v>
      </c>
      <c r="Y4" s="74"/>
      <c r="Z4" s="119"/>
      <c r="AA4" s="74" t="s">
        <v>253</v>
      </c>
      <c r="AB4" s="74" t="s">
        <v>253</v>
      </c>
      <c r="AC4" s="74" t="s">
        <v>253</v>
      </c>
      <c r="AE4" s="78"/>
      <c r="AF4" s="78"/>
      <c r="AG4" s="78"/>
      <c r="AH4" s="78"/>
      <c r="AI4" s="78"/>
      <c r="AJ4" s="78"/>
      <c r="AK4" s="78"/>
      <c r="AL4" s="78"/>
      <c r="AM4" s="78"/>
      <c r="AN4" s="78"/>
      <c r="AO4" s="78"/>
      <c r="AP4" s="78"/>
      <c r="AQ4" s="78"/>
      <c r="AR4" s="78"/>
      <c r="AS4" s="78"/>
      <c r="AT4" s="78"/>
      <c r="AU4" s="78"/>
      <c r="AV4" s="78"/>
      <c r="AW4" s="78"/>
      <c r="AX4" s="78"/>
      <c r="AY4" s="78"/>
      <c r="AZ4" s="78"/>
      <c r="BA4" s="78"/>
    </row>
    <row r="5" spans="1:53" s="77" customFormat="1" ht="14.1" customHeight="1" outlineLevel="1" x14ac:dyDescent="0.25">
      <c r="A5" s="118"/>
      <c r="B5" s="72" t="s">
        <v>255</v>
      </c>
      <c r="C5" s="118"/>
      <c r="D5" s="83"/>
      <c r="E5" s="83"/>
      <c r="F5" s="74"/>
      <c r="G5" s="74" t="s">
        <v>330</v>
      </c>
      <c r="H5" s="74" t="s">
        <v>331</v>
      </c>
      <c r="I5" s="74" t="s">
        <v>332</v>
      </c>
      <c r="J5" s="74" t="s">
        <v>333</v>
      </c>
      <c r="K5" s="74"/>
      <c r="L5" s="74"/>
      <c r="M5" s="74"/>
      <c r="N5" s="74"/>
      <c r="O5" s="74"/>
      <c r="P5" s="74"/>
      <c r="Q5" s="74"/>
      <c r="R5" s="74"/>
      <c r="S5" s="74" t="s">
        <v>334</v>
      </c>
      <c r="T5" s="74" t="s">
        <v>335</v>
      </c>
      <c r="U5" s="74"/>
      <c r="V5" s="118"/>
      <c r="W5" s="74"/>
      <c r="X5" s="74"/>
      <c r="Y5" s="74"/>
      <c r="Z5" s="119"/>
      <c r="AA5" s="74" t="s">
        <v>260</v>
      </c>
      <c r="AB5" s="74"/>
      <c r="AC5" s="79"/>
      <c r="AE5" s="78"/>
      <c r="AF5" s="78"/>
      <c r="AG5" s="78"/>
      <c r="AH5" s="78"/>
      <c r="AI5" s="78"/>
      <c r="AJ5" s="78"/>
      <c r="AK5" s="78"/>
      <c r="AL5" s="78"/>
      <c r="AM5" s="78"/>
      <c r="AN5" s="78"/>
      <c r="AO5" s="78"/>
      <c r="AP5" s="78"/>
      <c r="AQ5" s="78"/>
      <c r="AR5" s="78"/>
      <c r="AS5" s="78"/>
      <c r="AT5" s="78"/>
      <c r="AU5" s="78"/>
      <c r="AV5" s="78"/>
      <c r="AW5" s="78"/>
      <c r="AX5" s="78"/>
      <c r="AY5" s="78"/>
      <c r="AZ5" s="78"/>
      <c r="BA5" s="78"/>
    </row>
    <row r="6" spans="1:53" s="85" customFormat="1" ht="56.25" customHeight="1" outlineLevel="1" x14ac:dyDescent="0.25">
      <c r="A6" s="87"/>
      <c r="B6" s="81" t="s">
        <v>261</v>
      </c>
      <c r="C6" s="87"/>
      <c r="D6" s="83" t="s">
        <v>263</v>
      </c>
      <c r="E6" s="83" t="s">
        <v>264</v>
      </c>
      <c r="F6" s="83" t="s">
        <v>262</v>
      </c>
      <c r="G6" s="83" t="s">
        <v>336</v>
      </c>
      <c r="H6" s="83" t="s">
        <v>337</v>
      </c>
      <c r="I6" s="83" t="s">
        <v>337</v>
      </c>
      <c r="J6" s="83" t="s">
        <v>337</v>
      </c>
      <c r="K6" s="83" t="s">
        <v>262</v>
      </c>
      <c r="L6" s="83" t="s">
        <v>262</v>
      </c>
      <c r="M6" s="83" t="s">
        <v>262</v>
      </c>
      <c r="N6" s="83" t="s">
        <v>262</v>
      </c>
      <c r="O6" s="83" t="s">
        <v>262</v>
      </c>
      <c r="P6" s="83" t="s">
        <v>262</v>
      </c>
      <c r="Q6" s="83" t="s">
        <v>262</v>
      </c>
      <c r="R6" s="83" t="s">
        <v>262</v>
      </c>
      <c r="S6" s="83" t="s">
        <v>338</v>
      </c>
      <c r="T6" s="83" t="s">
        <v>339</v>
      </c>
      <c r="U6" s="83" t="s">
        <v>340</v>
      </c>
      <c r="V6" s="87"/>
      <c r="W6" s="83" t="s">
        <v>267</v>
      </c>
      <c r="X6" s="83" t="s">
        <v>341</v>
      </c>
      <c r="Y6" s="83" t="s">
        <v>262</v>
      </c>
      <c r="Z6" s="120"/>
      <c r="AA6" s="83" t="s">
        <v>270</v>
      </c>
      <c r="AB6" s="83" t="s">
        <v>271</v>
      </c>
      <c r="AC6" s="83" t="s">
        <v>262</v>
      </c>
      <c r="AE6" s="86"/>
      <c r="AF6" s="86"/>
      <c r="AG6" s="86"/>
      <c r="AH6" s="86"/>
      <c r="AI6" s="86"/>
      <c r="AJ6" s="86"/>
      <c r="AK6" s="86"/>
      <c r="AL6" s="86"/>
      <c r="AM6" s="86"/>
      <c r="AN6" s="86"/>
      <c r="AO6" s="86"/>
      <c r="AP6" s="86"/>
      <c r="AQ6" s="86"/>
      <c r="AR6" s="86"/>
      <c r="AS6" s="86"/>
      <c r="AT6" s="86"/>
      <c r="AU6" s="86"/>
      <c r="AV6" s="86"/>
      <c r="AW6" s="86"/>
      <c r="AX6" s="86"/>
      <c r="AY6" s="86"/>
      <c r="AZ6" s="86"/>
      <c r="BA6" s="86"/>
    </row>
    <row r="7" spans="1:53" s="122" customFormat="1" ht="76.5" x14ac:dyDescent="0.25">
      <c r="A7" s="121"/>
      <c r="C7" s="121"/>
      <c r="D7" s="123"/>
      <c r="E7" s="89"/>
      <c r="F7" s="94" t="s">
        <v>874</v>
      </c>
      <c r="G7" s="94" t="s">
        <v>690</v>
      </c>
      <c r="H7" s="124" t="str">
        <f>IFERROR(INDEX(Rules!$F:$F,MATCH(G7,Rules!$E:$E,0)),"")</f>
        <v>Identifikation und Klassifikation</v>
      </c>
      <c r="I7" s="124" t="str">
        <f>IFERROR(INDEX(Rules!$G:$G,MATCH(G7,Rules!$E:$E,0)),"")</f>
        <v>Identification et classification</v>
      </c>
      <c r="J7" s="124" t="str">
        <f>IFERROR(INDEX(Rules!$H:$H,MATCH(G7,Rules!$E:$E,0)),"")</f>
        <v>Identificazione e classificazione</v>
      </c>
      <c r="K7" s="113" t="s">
        <v>342</v>
      </c>
      <c r="L7" s="113" t="s">
        <v>343</v>
      </c>
      <c r="M7" s="114"/>
      <c r="N7" s="114"/>
      <c r="O7" s="94" t="s">
        <v>344</v>
      </c>
      <c r="P7" s="113" t="s">
        <v>345</v>
      </c>
      <c r="Q7" s="95"/>
      <c r="R7" s="95"/>
      <c r="S7" s="94" t="s">
        <v>346</v>
      </c>
      <c r="T7" s="94" t="s">
        <v>347</v>
      </c>
      <c r="U7" s="94"/>
      <c r="V7" s="121"/>
      <c r="W7" s="123"/>
      <c r="X7" s="94"/>
      <c r="Y7" s="94"/>
      <c r="Z7" s="121"/>
      <c r="AA7" s="90" t="s">
        <v>684</v>
      </c>
      <c r="AB7" s="90" t="s">
        <v>968</v>
      </c>
      <c r="AC7" s="90" t="s">
        <v>50</v>
      </c>
      <c r="AE7" s="88"/>
      <c r="AF7" s="90"/>
      <c r="AG7" s="90"/>
      <c r="AH7" s="90"/>
      <c r="AI7" s="90"/>
      <c r="AJ7" s="90"/>
      <c r="AK7" s="90"/>
      <c r="AL7" s="90"/>
      <c r="AM7" s="90"/>
      <c r="AN7" s="90"/>
      <c r="AO7" s="90"/>
      <c r="AP7" s="90"/>
      <c r="AQ7" s="90"/>
      <c r="AR7" s="90"/>
      <c r="AS7" s="90"/>
      <c r="AT7" s="90"/>
      <c r="AU7" s="90"/>
      <c r="AV7" s="90"/>
      <c r="AW7" s="90"/>
      <c r="AX7" s="90"/>
      <c r="AY7" s="90"/>
      <c r="AZ7" s="90"/>
      <c r="BA7" s="90"/>
    </row>
    <row r="8" spans="1:53" s="122" customFormat="1" ht="76.5" x14ac:dyDescent="0.25">
      <c r="A8" s="121"/>
      <c r="C8" s="121"/>
      <c r="D8" s="123"/>
      <c r="E8" s="89"/>
      <c r="F8" s="94" t="s">
        <v>875</v>
      </c>
      <c r="G8" s="94" t="s">
        <v>690</v>
      </c>
      <c r="H8" s="124" t="str">
        <f>IFERROR(INDEX(Rules!$F:$F,MATCH(G8,Rules!$E:$E,0)),"")</f>
        <v>Identifikation und Klassifikation</v>
      </c>
      <c r="I8" s="124" t="str">
        <f>IFERROR(INDEX(Rules!$G:$G,MATCH(G8,Rules!$E:$E,0)),"")</f>
        <v>Identification et classification</v>
      </c>
      <c r="J8" s="124" t="str">
        <f>IFERROR(INDEX(Rules!$H:$H,MATCH(G8,Rules!$E:$E,0)),"")</f>
        <v>Identificazione e classificazione</v>
      </c>
      <c r="K8" s="113" t="s">
        <v>348</v>
      </c>
      <c r="L8" s="113" t="s">
        <v>349</v>
      </c>
      <c r="M8" s="114"/>
      <c r="N8" s="114"/>
      <c r="O8" s="94" t="s">
        <v>350</v>
      </c>
      <c r="P8" s="113" t="s">
        <v>351</v>
      </c>
      <c r="Q8" s="95"/>
      <c r="R8" s="95"/>
      <c r="S8" s="94" t="s">
        <v>346</v>
      </c>
      <c r="T8" s="94" t="s">
        <v>347</v>
      </c>
      <c r="U8" s="94"/>
      <c r="V8" s="121"/>
      <c r="W8" s="123"/>
      <c r="X8" s="94"/>
      <c r="Y8" s="94"/>
      <c r="Z8" s="121"/>
      <c r="AA8" s="90" t="s">
        <v>684</v>
      </c>
      <c r="AB8" s="90" t="s">
        <v>968</v>
      </c>
      <c r="AC8" s="90" t="s">
        <v>50</v>
      </c>
      <c r="AE8" s="88"/>
      <c r="AF8" s="90"/>
      <c r="AG8" s="90"/>
      <c r="AH8" s="90"/>
      <c r="AI8" s="90"/>
      <c r="AJ8" s="90"/>
      <c r="AK8" s="90"/>
      <c r="AL8" s="90"/>
      <c r="AM8" s="90"/>
      <c r="AN8" s="90"/>
      <c r="AO8" s="90"/>
      <c r="AP8" s="90"/>
      <c r="AQ8" s="90"/>
      <c r="AR8" s="90"/>
      <c r="AS8" s="90"/>
      <c r="AT8" s="90"/>
      <c r="AU8" s="90"/>
      <c r="AV8" s="90"/>
      <c r="AW8" s="90"/>
      <c r="AX8" s="90"/>
      <c r="AY8" s="90"/>
      <c r="AZ8" s="90"/>
      <c r="BA8" s="90"/>
    </row>
    <row r="9" spans="1:53" s="122" customFormat="1" ht="76.5" x14ac:dyDescent="0.25">
      <c r="A9" s="121"/>
      <c r="C9" s="121"/>
      <c r="D9" s="123"/>
      <c r="E9" s="89"/>
      <c r="F9" s="94" t="s">
        <v>876</v>
      </c>
      <c r="G9" s="94" t="s">
        <v>690</v>
      </c>
      <c r="H9" s="124" t="str">
        <f>IFERROR(INDEX(Rules!$F:$F,MATCH(G9,Rules!$E:$E,0)),"")</f>
        <v>Identifikation und Klassifikation</v>
      </c>
      <c r="I9" s="124" t="str">
        <f>IFERROR(INDEX(Rules!$G:$G,MATCH(G9,Rules!$E:$E,0)),"")</f>
        <v>Identification et classification</v>
      </c>
      <c r="J9" s="124" t="str">
        <f>IFERROR(INDEX(Rules!$H:$H,MATCH(G9,Rules!$E:$E,0)),"")</f>
        <v>Identificazione e classificazione</v>
      </c>
      <c r="K9" s="113" t="s">
        <v>973</v>
      </c>
      <c r="L9" s="113" t="s">
        <v>969</v>
      </c>
      <c r="M9" s="114"/>
      <c r="N9" s="114"/>
      <c r="O9" s="94" t="s">
        <v>352</v>
      </c>
      <c r="P9" s="113" t="s">
        <v>353</v>
      </c>
      <c r="Q9" s="95"/>
      <c r="R9" s="95"/>
      <c r="S9" s="94" t="s">
        <v>346</v>
      </c>
      <c r="T9" s="94" t="s">
        <v>347</v>
      </c>
      <c r="U9" s="94" t="s">
        <v>354</v>
      </c>
      <c r="V9" s="121"/>
      <c r="W9" s="123"/>
      <c r="X9" s="94"/>
      <c r="Y9" s="94"/>
      <c r="Z9" s="121"/>
      <c r="AA9" s="90" t="s">
        <v>684</v>
      </c>
      <c r="AB9" s="90" t="s">
        <v>968</v>
      </c>
      <c r="AC9" s="90" t="s">
        <v>50</v>
      </c>
      <c r="AE9" s="88"/>
      <c r="AF9" s="90"/>
      <c r="AG9" s="90"/>
      <c r="AH9" s="90"/>
      <c r="AI9" s="90"/>
      <c r="AJ9" s="90"/>
      <c r="AK9" s="90"/>
      <c r="AL9" s="90"/>
      <c r="AM9" s="90"/>
      <c r="AN9" s="90"/>
      <c r="AO9" s="90"/>
      <c r="AP9" s="90"/>
      <c r="AQ9" s="90"/>
      <c r="AR9" s="90"/>
      <c r="AS9" s="90"/>
      <c r="AT9" s="90"/>
      <c r="AU9" s="90"/>
      <c r="AV9" s="90"/>
      <c r="AW9" s="90"/>
      <c r="AX9" s="90"/>
      <c r="AY9" s="90"/>
      <c r="AZ9" s="90"/>
      <c r="BA9" s="90"/>
    </row>
    <row r="10" spans="1:53" s="122" customFormat="1" ht="76.5" x14ac:dyDescent="0.25">
      <c r="A10" s="121"/>
      <c r="C10" s="121"/>
      <c r="D10" s="123"/>
      <c r="E10" s="89"/>
      <c r="F10" s="113" t="s">
        <v>877</v>
      </c>
      <c r="G10" s="94" t="s">
        <v>690</v>
      </c>
      <c r="H10" s="124" t="str">
        <f>IFERROR(INDEX(Rules!$F:$F,MATCH(G10,Rules!$E:$E,0)),"")</f>
        <v>Identifikation und Klassifikation</v>
      </c>
      <c r="I10" s="124" t="str">
        <f>IFERROR(INDEX(Rules!$G:$G,MATCH(G10,Rules!$E:$E,0)),"")</f>
        <v>Identification et classification</v>
      </c>
      <c r="J10" s="124" t="str">
        <f>IFERROR(INDEX(Rules!$H:$H,MATCH(G10,Rules!$E:$E,0)),"")</f>
        <v>Identificazione e classificazione</v>
      </c>
      <c r="K10" s="113" t="s">
        <v>974</v>
      </c>
      <c r="L10" s="113" t="s">
        <v>970</v>
      </c>
      <c r="M10" s="114"/>
      <c r="N10" s="114"/>
      <c r="O10" s="113" t="s">
        <v>355</v>
      </c>
      <c r="P10" s="113" t="s">
        <v>356</v>
      </c>
      <c r="Q10" s="95"/>
      <c r="R10" s="95"/>
      <c r="S10" s="94" t="s">
        <v>346</v>
      </c>
      <c r="T10" s="94" t="s">
        <v>347</v>
      </c>
      <c r="U10" s="94" t="s">
        <v>357</v>
      </c>
      <c r="V10" s="121"/>
      <c r="W10" s="123"/>
      <c r="X10" s="94"/>
      <c r="Y10" s="94"/>
      <c r="Z10" s="121"/>
      <c r="AA10" s="90" t="s">
        <v>684</v>
      </c>
      <c r="AB10" s="90" t="s">
        <v>968</v>
      </c>
      <c r="AC10" s="90" t="s">
        <v>50</v>
      </c>
      <c r="AE10" s="88"/>
      <c r="AF10" s="90"/>
      <c r="AG10" s="90"/>
      <c r="AH10" s="90"/>
      <c r="AI10" s="90"/>
      <c r="AJ10" s="90"/>
      <c r="AK10" s="90"/>
      <c r="AL10" s="90"/>
      <c r="AM10" s="90"/>
      <c r="AN10" s="90"/>
      <c r="AO10" s="90"/>
      <c r="AP10" s="90"/>
      <c r="AQ10" s="90"/>
      <c r="AR10" s="90"/>
      <c r="AS10" s="90"/>
      <c r="AT10" s="90"/>
      <c r="AU10" s="90"/>
      <c r="AV10" s="90"/>
      <c r="AW10" s="90"/>
      <c r="AX10" s="90"/>
      <c r="AY10" s="90"/>
      <c r="AZ10" s="90"/>
      <c r="BA10" s="90"/>
    </row>
    <row r="11" spans="1:53" s="122" customFormat="1" ht="76.5" x14ac:dyDescent="0.25">
      <c r="A11" s="121"/>
      <c r="C11" s="121"/>
      <c r="D11" s="123"/>
      <c r="E11" s="89"/>
      <c r="F11" s="94" t="s">
        <v>878</v>
      </c>
      <c r="G11" s="94" t="s">
        <v>690</v>
      </c>
      <c r="H11" s="124" t="str">
        <f>IFERROR(INDEX(Rules!$F:$F,MATCH(G11,Rules!$E:$E,0)),"")</f>
        <v>Identifikation und Klassifikation</v>
      </c>
      <c r="I11" s="124" t="str">
        <f>IFERROR(INDEX(Rules!$G:$G,MATCH(G11,Rules!$E:$E,0)),"")</f>
        <v>Identification et classification</v>
      </c>
      <c r="J11" s="124" t="str">
        <f>IFERROR(INDEX(Rules!$H:$H,MATCH(G11,Rules!$E:$E,0)),"")</f>
        <v>Identificazione e classificazione</v>
      </c>
      <c r="K11" s="113" t="s">
        <v>975</v>
      </c>
      <c r="L11" s="113" t="s">
        <v>971</v>
      </c>
      <c r="M11" s="114"/>
      <c r="N11" s="114"/>
      <c r="O11" s="94" t="s">
        <v>359</v>
      </c>
      <c r="P11" s="113" t="s">
        <v>360</v>
      </c>
      <c r="Q11" s="95"/>
      <c r="R11" s="95"/>
      <c r="S11" s="94" t="s">
        <v>346</v>
      </c>
      <c r="T11" s="94" t="s">
        <v>347</v>
      </c>
      <c r="U11" s="94" t="s">
        <v>361</v>
      </c>
      <c r="V11" s="121"/>
      <c r="W11" s="123"/>
      <c r="X11" s="94"/>
      <c r="Y11" s="94"/>
      <c r="Z11" s="121"/>
      <c r="AA11" s="90" t="s">
        <v>684</v>
      </c>
      <c r="AB11" s="90" t="s">
        <v>968</v>
      </c>
      <c r="AC11" s="90" t="s">
        <v>50</v>
      </c>
      <c r="AE11" s="88"/>
      <c r="AF11" s="90"/>
      <c r="AG11" s="90"/>
      <c r="AH11" s="90"/>
      <c r="AI11" s="90"/>
      <c r="AJ11" s="90"/>
      <c r="AK11" s="90"/>
      <c r="AL11" s="90"/>
      <c r="AM11" s="90"/>
      <c r="AN11" s="90"/>
      <c r="AO11" s="90"/>
      <c r="AP11" s="90"/>
      <c r="AQ11" s="90"/>
      <c r="AR11" s="90"/>
      <c r="AS11" s="90"/>
      <c r="AT11" s="90"/>
      <c r="AU11" s="90"/>
      <c r="AV11" s="90"/>
      <c r="AW11" s="90"/>
      <c r="AX11" s="90"/>
      <c r="AY11" s="90"/>
      <c r="AZ11" s="90"/>
      <c r="BA11" s="90"/>
    </row>
    <row r="12" spans="1:53" s="122" customFormat="1" ht="76.5" x14ac:dyDescent="0.25">
      <c r="A12" s="121"/>
      <c r="C12" s="121"/>
      <c r="D12" s="123"/>
      <c r="E12" s="89"/>
      <c r="F12" s="94" t="s">
        <v>879</v>
      </c>
      <c r="G12" s="94" t="s">
        <v>690</v>
      </c>
      <c r="H12" s="124" t="str">
        <f>IFERROR(INDEX(Rules!$F:$F,MATCH(G12,Rules!$E:$E,0)),"")</f>
        <v>Identifikation und Klassifikation</v>
      </c>
      <c r="I12" s="124" t="str">
        <f>IFERROR(INDEX(Rules!$G:$G,MATCH(G12,Rules!$E:$E,0)),"")</f>
        <v>Identification et classification</v>
      </c>
      <c r="J12" s="124" t="str">
        <f>IFERROR(INDEX(Rules!$H:$H,MATCH(G12,Rules!$E:$E,0)),"")</f>
        <v>Identificazione e classificazione</v>
      </c>
      <c r="K12" s="113" t="s">
        <v>976</v>
      </c>
      <c r="L12" s="113" t="s">
        <v>972</v>
      </c>
      <c r="M12" s="114"/>
      <c r="N12" s="114"/>
      <c r="O12" s="94" t="s">
        <v>363</v>
      </c>
      <c r="P12" s="113" t="s">
        <v>364</v>
      </c>
      <c r="Q12" s="95"/>
      <c r="R12" s="95"/>
      <c r="S12" s="94" t="s">
        <v>346</v>
      </c>
      <c r="T12" s="94" t="s">
        <v>347</v>
      </c>
      <c r="U12" s="94" t="s">
        <v>365</v>
      </c>
      <c r="V12" s="121"/>
      <c r="W12" s="123"/>
      <c r="X12" s="94"/>
      <c r="Y12" s="94"/>
      <c r="Z12" s="121"/>
      <c r="AA12" s="90" t="s">
        <v>684</v>
      </c>
      <c r="AB12" s="90" t="s">
        <v>968</v>
      </c>
      <c r="AC12" s="90" t="s">
        <v>50</v>
      </c>
      <c r="AE12" s="88"/>
      <c r="AF12" s="90"/>
      <c r="AG12" s="90"/>
      <c r="AH12" s="90"/>
      <c r="AI12" s="90"/>
      <c r="AJ12" s="90"/>
      <c r="AK12" s="90"/>
      <c r="AL12" s="90"/>
      <c r="AM12" s="90"/>
      <c r="AN12" s="90"/>
      <c r="AO12" s="90"/>
      <c r="AP12" s="90"/>
      <c r="AQ12" s="90"/>
      <c r="AR12" s="90"/>
      <c r="AS12" s="90"/>
      <c r="AT12" s="90"/>
      <c r="AU12" s="90"/>
      <c r="AV12" s="90"/>
      <c r="AW12" s="90"/>
      <c r="AX12" s="90"/>
      <c r="AY12" s="90"/>
      <c r="AZ12" s="90"/>
      <c r="BA12" s="90"/>
    </row>
    <row r="13" spans="1:53" s="122" customFormat="1" ht="76.5" x14ac:dyDescent="0.25">
      <c r="A13" s="121"/>
      <c r="C13" s="121"/>
      <c r="D13" s="123"/>
      <c r="E13" s="89"/>
      <c r="F13" s="94" t="s">
        <v>880</v>
      </c>
      <c r="G13" s="94" t="s">
        <v>744</v>
      </c>
      <c r="H13" s="124" t="str">
        <f>IFERROR(INDEX(Rules!$F:$F,MATCH(G13,Rules!$E:$E,0)),"")</f>
        <v>Betriebsbedingungen und Grenzwerte</v>
      </c>
      <c r="I13" s="124" t="str">
        <f>IFERROR(INDEX(Rules!$G:$G,MATCH(G13,Rules!$E:$E,0)),"")</f>
        <v>Conditions de fonctionnement et limites</v>
      </c>
      <c r="J13" s="124" t="str">
        <f>IFERROR(INDEX(Rules!$H:$H,MATCH(G13,Rules!$E:$E,0)),"")</f>
        <v>Condizioni operative e limiti</v>
      </c>
      <c r="K13" s="113" t="s">
        <v>366</v>
      </c>
      <c r="L13" s="113" t="s">
        <v>367</v>
      </c>
      <c r="M13" s="114"/>
      <c r="N13" s="114"/>
      <c r="O13" s="94" t="s">
        <v>368</v>
      </c>
      <c r="P13" s="113" t="s">
        <v>369</v>
      </c>
      <c r="Q13" s="95"/>
      <c r="R13" s="95"/>
      <c r="S13" s="94" t="s">
        <v>346</v>
      </c>
      <c r="T13" s="94" t="s">
        <v>347</v>
      </c>
      <c r="U13" s="94" t="s">
        <v>370</v>
      </c>
      <c r="V13" s="121"/>
      <c r="W13" s="123"/>
      <c r="X13" s="94"/>
      <c r="Y13" s="94"/>
      <c r="Z13" s="121"/>
      <c r="AA13" s="90" t="s">
        <v>684</v>
      </c>
      <c r="AB13" s="90" t="s">
        <v>968</v>
      </c>
      <c r="AC13" s="90" t="s">
        <v>50</v>
      </c>
      <c r="AE13" s="88"/>
      <c r="AF13" s="90"/>
      <c r="AG13" s="90"/>
      <c r="AH13" s="90"/>
      <c r="AI13" s="90"/>
      <c r="AJ13" s="90"/>
      <c r="AK13" s="90"/>
      <c r="AL13" s="90"/>
      <c r="AM13" s="90"/>
      <c r="AN13" s="90"/>
      <c r="AO13" s="90"/>
      <c r="AP13" s="90"/>
      <c r="AQ13" s="90"/>
      <c r="AR13" s="90"/>
      <c r="AS13" s="90"/>
      <c r="AT13" s="90"/>
      <c r="AU13" s="90"/>
      <c r="AV13" s="90"/>
      <c r="AW13" s="90"/>
      <c r="AX13" s="90"/>
      <c r="AY13" s="90"/>
      <c r="AZ13" s="90"/>
      <c r="BA13" s="90"/>
    </row>
    <row r="14" spans="1:53" s="122" customFormat="1" ht="76.5" x14ac:dyDescent="0.25">
      <c r="A14" s="121"/>
      <c r="C14" s="121"/>
      <c r="D14" s="123"/>
      <c r="E14" s="89"/>
      <c r="F14" s="94" t="s">
        <v>881</v>
      </c>
      <c r="G14" s="94" t="s">
        <v>744</v>
      </c>
      <c r="H14" s="124" t="str">
        <f>IFERROR(INDEX(Rules!$F:$F,MATCH(G14,Rules!$E:$E,0)),"")</f>
        <v>Betriebsbedingungen und Grenzwerte</v>
      </c>
      <c r="I14" s="124" t="str">
        <f>IFERROR(INDEX(Rules!$G:$G,MATCH(G14,Rules!$E:$E,0)),"")</f>
        <v>Conditions de fonctionnement et limites</v>
      </c>
      <c r="J14" s="124" t="str">
        <f>IFERROR(INDEX(Rules!$H:$H,MATCH(G14,Rules!$E:$E,0)),"")</f>
        <v>Condizioni operative e limiti</v>
      </c>
      <c r="K14" s="113" t="s">
        <v>371</v>
      </c>
      <c r="L14" s="113" t="s">
        <v>372</v>
      </c>
      <c r="M14" s="114"/>
      <c r="N14" s="114"/>
      <c r="O14" s="94" t="s">
        <v>373</v>
      </c>
      <c r="P14" s="113" t="s">
        <v>374</v>
      </c>
      <c r="Q14" s="95"/>
      <c r="R14" s="95"/>
      <c r="S14" s="94" t="s">
        <v>346</v>
      </c>
      <c r="T14" s="94" t="s">
        <v>347</v>
      </c>
      <c r="U14" s="94" t="s">
        <v>375</v>
      </c>
      <c r="V14" s="121"/>
      <c r="W14" s="123"/>
      <c r="X14" s="94"/>
      <c r="Y14" s="94"/>
      <c r="Z14" s="121"/>
      <c r="AA14" s="90" t="s">
        <v>684</v>
      </c>
      <c r="AB14" s="90" t="s">
        <v>968</v>
      </c>
      <c r="AC14" s="90" t="s">
        <v>50</v>
      </c>
      <c r="AE14" s="88"/>
      <c r="AF14" s="90"/>
      <c r="AG14" s="90"/>
      <c r="AH14" s="90"/>
      <c r="AI14" s="90"/>
      <c r="AJ14" s="90"/>
      <c r="AK14" s="90"/>
      <c r="AL14" s="90"/>
      <c r="AM14" s="90"/>
      <c r="AN14" s="90"/>
      <c r="AO14" s="90"/>
      <c r="AP14" s="90"/>
      <c r="AQ14" s="90"/>
      <c r="AR14" s="90"/>
      <c r="AS14" s="90"/>
      <c r="AT14" s="90"/>
      <c r="AU14" s="90"/>
      <c r="AV14" s="90"/>
      <c r="AW14" s="90"/>
      <c r="AX14" s="90"/>
      <c r="AY14" s="90"/>
      <c r="AZ14" s="90"/>
      <c r="BA14" s="90"/>
    </row>
    <row r="15" spans="1:53" s="122" customFormat="1" ht="76.5" x14ac:dyDescent="0.25">
      <c r="A15" s="121"/>
      <c r="C15" s="121"/>
      <c r="D15" s="123"/>
      <c r="E15" s="89"/>
      <c r="F15" s="94" t="s">
        <v>882</v>
      </c>
      <c r="G15" s="94" t="s">
        <v>690</v>
      </c>
      <c r="H15" s="124" t="str">
        <f>IFERROR(INDEX(Rules!$F:$F,MATCH(G15,Rules!$E:$E,0)),"")</f>
        <v>Identifikation und Klassifikation</v>
      </c>
      <c r="I15" s="124" t="str">
        <f>IFERROR(INDEX(Rules!$G:$G,MATCH(G15,Rules!$E:$E,0)),"")</f>
        <v>Identification et classification</v>
      </c>
      <c r="J15" s="124" t="str">
        <f>IFERROR(INDEX(Rules!$H:$H,MATCH(G15,Rules!$E:$E,0)),"")</f>
        <v>Identificazione e classificazione</v>
      </c>
      <c r="K15" s="113" t="s">
        <v>376</v>
      </c>
      <c r="L15" s="113" t="s">
        <v>377</v>
      </c>
      <c r="M15" s="114"/>
      <c r="N15" s="114"/>
      <c r="O15" s="94" t="s">
        <v>378</v>
      </c>
      <c r="P15" s="113" t="s">
        <v>379</v>
      </c>
      <c r="Q15" s="95"/>
      <c r="R15" s="95"/>
      <c r="S15" s="94" t="s">
        <v>346</v>
      </c>
      <c r="T15" s="94" t="s">
        <v>347</v>
      </c>
      <c r="U15" s="94" t="s">
        <v>380</v>
      </c>
      <c r="V15" s="121"/>
      <c r="W15" s="123"/>
      <c r="X15" s="94"/>
      <c r="Y15" s="94"/>
      <c r="Z15" s="121"/>
      <c r="AA15" s="90" t="s">
        <v>684</v>
      </c>
      <c r="AB15" s="90" t="s">
        <v>968</v>
      </c>
      <c r="AC15" s="90" t="s">
        <v>50</v>
      </c>
      <c r="AE15" s="88"/>
      <c r="AF15" s="90"/>
      <c r="AG15" s="90"/>
      <c r="AH15" s="90"/>
      <c r="AI15" s="90"/>
      <c r="AJ15" s="90"/>
      <c r="AK15" s="90"/>
      <c r="AL15" s="90"/>
      <c r="AM15" s="90"/>
      <c r="AN15" s="90"/>
      <c r="AO15" s="90"/>
      <c r="AP15" s="90"/>
      <c r="AQ15" s="90"/>
      <c r="AR15" s="90"/>
      <c r="AS15" s="90"/>
      <c r="AT15" s="90"/>
      <c r="AU15" s="90"/>
      <c r="AV15" s="90"/>
      <c r="AW15" s="90"/>
      <c r="AX15" s="90"/>
      <c r="AY15" s="90"/>
      <c r="AZ15" s="90"/>
      <c r="BA15" s="90"/>
    </row>
    <row r="16" spans="1:53" s="122" customFormat="1" ht="76.5" x14ac:dyDescent="0.25">
      <c r="A16" s="121"/>
      <c r="C16" s="121"/>
      <c r="D16" s="123"/>
      <c r="E16" s="89"/>
      <c r="F16" s="94" t="s">
        <v>883</v>
      </c>
      <c r="G16" s="94" t="s">
        <v>690</v>
      </c>
      <c r="H16" s="124" t="str">
        <f>IFERROR(INDEX(Rules!$F:$F,MATCH(G16,Rules!$E:$E,0)),"")</f>
        <v>Identifikation und Klassifikation</v>
      </c>
      <c r="I16" s="124" t="str">
        <f>IFERROR(INDEX(Rules!$G:$G,MATCH(G16,Rules!$E:$E,0)),"")</f>
        <v>Identification et classification</v>
      </c>
      <c r="J16" s="124" t="str">
        <f>IFERROR(INDEX(Rules!$H:$H,MATCH(G16,Rules!$E:$E,0)),"")</f>
        <v>Identificazione e classificazione</v>
      </c>
      <c r="K16" s="113" t="s">
        <v>381</v>
      </c>
      <c r="L16" s="113" t="s">
        <v>382</v>
      </c>
      <c r="M16" s="114"/>
      <c r="N16" s="114"/>
      <c r="O16" s="94" t="s">
        <v>383</v>
      </c>
      <c r="P16" s="113" t="s">
        <v>384</v>
      </c>
      <c r="Q16" s="95"/>
      <c r="R16" s="95"/>
      <c r="S16" s="94" t="s">
        <v>346</v>
      </c>
      <c r="T16" s="94" t="s">
        <v>347</v>
      </c>
      <c r="U16" s="94" t="s">
        <v>385</v>
      </c>
      <c r="V16" s="121"/>
      <c r="W16" s="123"/>
      <c r="X16" s="94"/>
      <c r="Y16" s="94"/>
      <c r="Z16" s="121"/>
      <c r="AA16" s="90" t="s">
        <v>684</v>
      </c>
      <c r="AB16" s="90" t="s">
        <v>968</v>
      </c>
      <c r="AC16" s="90" t="s">
        <v>50</v>
      </c>
      <c r="AE16" s="88"/>
      <c r="AF16" s="90"/>
      <c r="AG16" s="90"/>
      <c r="AH16" s="90"/>
      <c r="AI16" s="90"/>
      <c r="AJ16" s="90"/>
      <c r="AK16" s="90"/>
      <c r="AL16" s="90"/>
      <c r="AM16" s="90"/>
      <c r="AN16" s="90"/>
      <c r="AO16" s="90"/>
      <c r="AP16" s="90"/>
      <c r="AQ16" s="90"/>
      <c r="AR16" s="90"/>
      <c r="AS16" s="90"/>
      <c r="AT16" s="90"/>
      <c r="AU16" s="90"/>
      <c r="AV16" s="90"/>
      <c r="AW16" s="90"/>
      <c r="AX16" s="90"/>
      <c r="AY16" s="90"/>
      <c r="AZ16" s="90"/>
      <c r="BA16" s="90"/>
    </row>
    <row r="17" spans="1:53" s="122" customFormat="1" ht="76.5" x14ac:dyDescent="0.25">
      <c r="A17" s="121"/>
      <c r="C17" s="121"/>
      <c r="D17" s="123"/>
      <c r="E17" s="89"/>
      <c r="F17" s="94" t="s">
        <v>884</v>
      </c>
      <c r="G17" s="94" t="s">
        <v>690</v>
      </c>
      <c r="H17" s="124" t="str">
        <f>IFERROR(INDEX(Rules!$F:$F,MATCH(G17,Rules!$E:$E,0)),"")</f>
        <v>Identifikation und Klassifikation</v>
      </c>
      <c r="I17" s="124" t="str">
        <f>IFERROR(INDEX(Rules!$G:$G,MATCH(G17,Rules!$E:$E,0)),"")</f>
        <v>Identification et classification</v>
      </c>
      <c r="J17" s="124" t="str">
        <f>IFERROR(INDEX(Rules!$H:$H,MATCH(G17,Rules!$E:$E,0)),"")</f>
        <v>Identificazione e classificazione</v>
      </c>
      <c r="K17" s="113" t="s">
        <v>386</v>
      </c>
      <c r="L17" s="113" t="s">
        <v>387</v>
      </c>
      <c r="M17" s="114"/>
      <c r="N17" s="114"/>
      <c r="O17" s="94" t="s">
        <v>388</v>
      </c>
      <c r="P17" s="113" t="s">
        <v>389</v>
      </c>
      <c r="Q17" s="95"/>
      <c r="R17" s="95"/>
      <c r="S17" s="94" t="s">
        <v>346</v>
      </c>
      <c r="T17" s="94" t="s">
        <v>347</v>
      </c>
      <c r="U17" s="94" t="s">
        <v>388</v>
      </c>
      <c r="V17" s="121"/>
      <c r="W17" s="123"/>
      <c r="X17" s="94"/>
      <c r="Y17" s="94"/>
      <c r="Z17" s="121"/>
      <c r="AA17" s="90" t="s">
        <v>684</v>
      </c>
      <c r="AB17" s="90" t="s">
        <v>968</v>
      </c>
      <c r="AC17" s="90" t="s">
        <v>50</v>
      </c>
      <c r="AE17" s="88"/>
      <c r="AF17" s="90"/>
      <c r="AG17" s="90"/>
      <c r="AH17" s="90"/>
      <c r="AI17" s="90"/>
      <c r="AJ17" s="90"/>
      <c r="AK17" s="90"/>
      <c r="AL17" s="90"/>
      <c r="AM17" s="90"/>
      <c r="AN17" s="90"/>
      <c r="AO17" s="90"/>
      <c r="AP17" s="90"/>
      <c r="AQ17" s="90"/>
      <c r="AR17" s="90"/>
      <c r="AS17" s="90"/>
      <c r="AT17" s="90"/>
      <c r="AU17" s="90"/>
      <c r="AV17" s="90"/>
      <c r="AW17" s="90"/>
      <c r="AX17" s="90"/>
      <c r="AY17" s="90"/>
      <c r="AZ17" s="90"/>
      <c r="BA17" s="90"/>
    </row>
    <row r="18" spans="1:53" s="122" customFormat="1" ht="76.5" x14ac:dyDescent="0.25">
      <c r="A18" s="121"/>
      <c r="C18" s="121"/>
      <c r="D18" s="123"/>
      <c r="E18" s="89"/>
      <c r="F18" s="94" t="s">
        <v>885</v>
      </c>
      <c r="G18" s="94" t="s">
        <v>690</v>
      </c>
      <c r="H18" s="124" t="str">
        <f>IFERROR(INDEX(Rules!$F:$F,MATCH(G18,Rules!$E:$E,0)),"")</f>
        <v>Identifikation und Klassifikation</v>
      </c>
      <c r="I18" s="124" t="str">
        <f>IFERROR(INDEX(Rules!$G:$G,MATCH(G18,Rules!$E:$E,0)),"")</f>
        <v>Identification et classification</v>
      </c>
      <c r="J18" s="124" t="str">
        <f>IFERROR(INDEX(Rules!$H:$H,MATCH(G18,Rules!$E:$E,0)),"")</f>
        <v>Identificazione e classificazione</v>
      </c>
      <c r="K18" s="113" t="s">
        <v>390</v>
      </c>
      <c r="L18" s="113" t="s">
        <v>391</v>
      </c>
      <c r="M18" s="114"/>
      <c r="N18" s="114"/>
      <c r="O18" s="94" t="s">
        <v>392</v>
      </c>
      <c r="P18" s="113" t="s">
        <v>393</v>
      </c>
      <c r="Q18" s="95"/>
      <c r="R18" s="95"/>
      <c r="S18" s="94" t="s">
        <v>346</v>
      </c>
      <c r="T18" s="94" t="s">
        <v>347</v>
      </c>
      <c r="U18" s="94" t="s">
        <v>394</v>
      </c>
      <c r="V18" s="121"/>
      <c r="W18" s="123"/>
      <c r="X18" s="94"/>
      <c r="Y18" s="94"/>
      <c r="Z18" s="121"/>
      <c r="AA18" s="90" t="s">
        <v>684</v>
      </c>
      <c r="AB18" s="90" t="s">
        <v>968</v>
      </c>
      <c r="AC18" s="90" t="s">
        <v>50</v>
      </c>
      <c r="AE18" s="88"/>
      <c r="AF18" s="90"/>
      <c r="AG18" s="90"/>
      <c r="AH18" s="90"/>
      <c r="AI18" s="90"/>
      <c r="AJ18" s="90"/>
      <c r="AK18" s="90"/>
      <c r="AL18" s="90"/>
      <c r="AM18" s="90"/>
      <c r="AN18" s="90"/>
      <c r="AO18" s="90"/>
      <c r="AP18" s="90"/>
      <c r="AQ18" s="90"/>
      <c r="AR18" s="90"/>
      <c r="AS18" s="90"/>
      <c r="AT18" s="90"/>
      <c r="AU18" s="90"/>
      <c r="AV18" s="90"/>
      <c r="AW18" s="90"/>
      <c r="AX18" s="90"/>
      <c r="AY18" s="90"/>
      <c r="AZ18" s="90"/>
      <c r="BA18" s="90"/>
    </row>
    <row r="19" spans="1:53" s="122" customFormat="1" ht="76.5" x14ac:dyDescent="0.25">
      <c r="A19" s="121"/>
      <c r="C19" s="121"/>
      <c r="D19" s="123"/>
      <c r="E19" s="89"/>
      <c r="F19" s="94" t="s">
        <v>886</v>
      </c>
      <c r="G19" s="94" t="s">
        <v>744</v>
      </c>
      <c r="H19" s="124" t="str">
        <f>IFERROR(INDEX(Rules!$F:$F,MATCH(G19,Rules!$E:$E,0)),"")</f>
        <v>Betriebsbedingungen und Grenzwerte</v>
      </c>
      <c r="I19" s="124" t="str">
        <f>IFERROR(INDEX(Rules!$G:$G,MATCH(G19,Rules!$E:$E,0)),"")</f>
        <v>Conditions de fonctionnement et limites</v>
      </c>
      <c r="J19" s="124" t="str">
        <f>IFERROR(INDEX(Rules!$H:$H,MATCH(G19,Rules!$E:$E,0)),"")</f>
        <v>Condizioni operative e limiti</v>
      </c>
      <c r="K19" s="113" t="s">
        <v>395</v>
      </c>
      <c r="L19" s="113" t="s">
        <v>396</v>
      </c>
      <c r="M19" s="114"/>
      <c r="N19" s="114"/>
      <c r="O19" s="94" t="s">
        <v>397</v>
      </c>
      <c r="P19" s="113" t="s">
        <v>396</v>
      </c>
      <c r="Q19" s="95"/>
      <c r="R19" s="95"/>
      <c r="S19" s="94" t="s">
        <v>346</v>
      </c>
      <c r="T19" s="94" t="s">
        <v>347</v>
      </c>
      <c r="U19" s="94" t="s">
        <v>397</v>
      </c>
      <c r="V19" s="121"/>
      <c r="W19" s="123"/>
      <c r="X19" s="94"/>
      <c r="Y19" s="94"/>
      <c r="Z19" s="121"/>
      <c r="AA19" s="90" t="s">
        <v>684</v>
      </c>
      <c r="AB19" s="90" t="s">
        <v>968</v>
      </c>
      <c r="AC19" s="90" t="s">
        <v>50</v>
      </c>
      <c r="AE19" s="88"/>
      <c r="AF19" s="90"/>
      <c r="AG19" s="90"/>
      <c r="AH19" s="90"/>
      <c r="AI19" s="90"/>
      <c r="AJ19" s="90"/>
      <c r="AK19" s="90"/>
      <c r="AL19" s="90"/>
      <c r="AM19" s="90"/>
      <c r="AN19" s="90"/>
      <c r="AO19" s="90"/>
      <c r="AP19" s="90"/>
      <c r="AQ19" s="90"/>
      <c r="AR19" s="90"/>
      <c r="AS19" s="90"/>
      <c r="AT19" s="90"/>
      <c r="AU19" s="90"/>
      <c r="AV19" s="90"/>
      <c r="AW19" s="90"/>
      <c r="AX19" s="90"/>
      <c r="AY19" s="90"/>
      <c r="AZ19" s="90"/>
      <c r="BA19" s="90"/>
    </row>
    <row r="20" spans="1:53" s="122" customFormat="1" ht="63.75" x14ac:dyDescent="0.25">
      <c r="A20" s="121"/>
      <c r="C20" s="121"/>
      <c r="D20" s="123"/>
      <c r="E20" s="89"/>
      <c r="F20" s="94" t="s">
        <v>887</v>
      </c>
      <c r="G20" s="94" t="s">
        <v>724</v>
      </c>
      <c r="H20" s="124" t="str">
        <f>IFERROR(INDEX(Rules!$F:$F,MATCH(G20,Rules!$E:$E,0)),"")</f>
        <v>Physikalische Eigenschaften</v>
      </c>
      <c r="I20" s="124" t="str">
        <f>IFERROR(INDEX(Rules!$G:$G,MATCH(G20,Rules!$E:$E,0)),"")</f>
        <v>Caractéristiques physiques</v>
      </c>
      <c r="J20" s="124" t="str">
        <f>IFERROR(INDEX(Rules!$H:$H,MATCH(G20,Rules!$E:$E,0)),"")</f>
        <v>Caratteristiche fisiche</v>
      </c>
      <c r="K20" s="113" t="s">
        <v>398</v>
      </c>
      <c r="L20" s="113" t="s">
        <v>399</v>
      </c>
      <c r="M20" s="114"/>
      <c r="N20" s="114"/>
      <c r="O20" s="94" t="s">
        <v>400</v>
      </c>
      <c r="P20" s="113" t="s">
        <v>399</v>
      </c>
      <c r="Q20" s="95"/>
      <c r="R20" s="95"/>
      <c r="S20" s="94" t="s">
        <v>401</v>
      </c>
      <c r="T20" s="94" t="s">
        <v>402</v>
      </c>
      <c r="U20" s="94" t="s">
        <v>400</v>
      </c>
      <c r="V20" s="121"/>
      <c r="W20" s="123"/>
      <c r="X20" s="94"/>
      <c r="Y20" s="94"/>
      <c r="Z20" s="121"/>
      <c r="AA20" s="90" t="s">
        <v>684</v>
      </c>
      <c r="AB20" s="90" t="s">
        <v>968</v>
      </c>
      <c r="AC20" s="90" t="s">
        <v>50</v>
      </c>
      <c r="AE20" s="88"/>
      <c r="AF20" s="90"/>
      <c r="AG20" s="90"/>
      <c r="AH20" s="90"/>
      <c r="AI20" s="90"/>
      <c r="AJ20" s="90"/>
      <c r="AK20" s="90"/>
      <c r="AL20" s="90"/>
      <c r="AM20" s="90"/>
      <c r="AN20" s="90"/>
      <c r="AO20" s="90"/>
      <c r="AP20" s="90"/>
      <c r="AQ20" s="90"/>
      <c r="AR20" s="90"/>
      <c r="AS20" s="90"/>
      <c r="AT20" s="90"/>
      <c r="AU20" s="90"/>
      <c r="AV20" s="90"/>
      <c r="AW20" s="90"/>
      <c r="AX20" s="90"/>
      <c r="AY20" s="90"/>
      <c r="AZ20" s="90"/>
      <c r="BA20" s="90"/>
    </row>
    <row r="21" spans="1:53" s="122" customFormat="1" ht="63.75" x14ac:dyDescent="0.25">
      <c r="A21" s="121"/>
      <c r="C21" s="121"/>
      <c r="D21" s="123"/>
      <c r="E21" s="89"/>
      <c r="F21" s="94" t="s">
        <v>888</v>
      </c>
      <c r="G21" s="94" t="s">
        <v>724</v>
      </c>
      <c r="H21" s="124" t="str">
        <f>IFERROR(INDEX(Rules!$F:$F,MATCH(G21,Rules!$E:$E,0)),"")</f>
        <v>Physikalische Eigenschaften</v>
      </c>
      <c r="I21" s="124" t="str">
        <f>IFERROR(INDEX(Rules!$G:$G,MATCH(G21,Rules!$E:$E,0)),"")</f>
        <v>Caractéristiques physiques</v>
      </c>
      <c r="J21" s="124" t="str">
        <f>IFERROR(INDEX(Rules!$H:$H,MATCH(G21,Rules!$E:$E,0)),"")</f>
        <v>Caratteristiche fisiche</v>
      </c>
      <c r="K21" s="113" t="s">
        <v>403</v>
      </c>
      <c r="L21" s="113" t="s">
        <v>404</v>
      </c>
      <c r="M21" s="114"/>
      <c r="N21" s="114"/>
      <c r="O21" s="94" t="s">
        <v>405</v>
      </c>
      <c r="P21" s="113" t="s">
        <v>404</v>
      </c>
      <c r="Q21" s="95"/>
      <c r="R21" s="95"/>
      <c r="S21" s="94" t="s">
        <v>401</v>
      </c>
      <c r="T21" s="94" t="s">
        <v>406</v>
      </c>
      <c r="U21" s="94" t="s">
        <v>405</v>
      </c>
      <c r="V21" s="121"/>
      <c r="W21" s="123"/>
      <c r="X21" s="94"/>
      <c r="Y21" s="94"/>
      <c r="Z21" s="121"/>
      <c r="AA21" s="90" t="s">
        <v>684</v>
      </c>
      <c r="AB21" s="90" t="s">
        <v>968</v>
      </c>
      <c r="AC21" s="90" t="s">
        <v>50</v>
      </c>
      <c r="AE21" s="125"/>
      <c r="AF21" s="90"/>
      <c r="AG21" s="90"/>
      <c r="AH21" s="90"/>
      <c r="AI21" s="90"/>
      <c r="AJ21" s="90"/>
      <c r="AK21" s="90"/>
      <c r="AL21" s="90"/>
      <c r="AM21" s="90"/>
      <c r="AN21" s="90"/>
      <c r="AO21" s="90"/>
      <c r="AP21" s="90"/>
      <c r="AQ21" s="90"/>
      <c r="AR21" s="90"/>
      <c r="AS21" s="90"/>
      <c r="AT21" s="90"/>
      <c r="AU21" s="90"/>
      <c r="AV21" s="90"/>
      <c r="AW21" s="90"/>
      <c r="AX21" s="90"/>
      <c r="AY21" s="90"/>
      <c r="AZ21" s="90"/>
      <c r="BA21" s="90"/>
    </row>
    <row r="22" spans="1:53" s="122" customFormat="1" ht="63.75" x14ac:dyDescent="0.25">
      <c r="A22" s="121"/>
      <c r="C22" s="121"/>
      <c r="D22" s="123"/>
      <c r="E22" s="89"/>
      <c r="F22" s="94" t="s">
        <v>889</v>
      </c>
      <c r="G22" s="94" t="s">
        <v>724</v>
      </c>
      <c r="H22" s="124" t="str">
        <f>IFERROR(INDEX(Rules!$F:$F,MATCH(G22,Rules!$E:$E,0)),"")</f>
        <v>Physikalische Eigenschaften</v>
      </c>
      <c r="I22" s="124" t="str">
        <f>IFERROR(INDEX(Rules!$G:$G,MATCH(G22,Rules!$E:$E,0)),"")</f>
        <v>Caractéristiques physiques</v>
      </c>
      <c r="J22" s="124" t="str">
        <f>IFERROR(INDEX(Rules!$H:$H,MATCH(G22,Rules!$E:$E,0)),"")</f>
        <v>Caratteristiche fisiche</v>
      </c>
      <c r="K22" s="113" t="s">
        <v>407</v>
      </c>
      <c r="L22" s="113" t="s">
        <v>408</v>
      </c>
      <c r="M22" s="114"/>
      <c r="N22" s="114"/>
      <c r="O22" s="94" t="s">
        <v>409</v>
      </c>
      <c r="P22" s="113" t="s">
        <v>408</v>
      </c>
      <c r="Q22" s="95"/>
      <c r="R22" s="95"/>
      <c r="S22" s="94" t="s">
        <v>410</v>
      </c>
      <c r="T22" s="94" t="s">
        <v>411</v>
      </c>
      <c r="U22" s="94" t="s">
        <v>409</v>
      </c>
      <c r="V22" s="121"/>
      <c r="W22" s="123"/>
      <c r="X22" s="94"/>
      <c r="Y22" s="94"/>
      <c r="Z22" s="121"/>
      <c r="AA22" s="90" t="s">
        <v>684</v>
      </c>
      <c r="AB22" s="90" t="s">
        <v>968</v>
      </c>
      <c r="AC22" s="90" t="s">
        <v>50</v>
      </c>
      <c r="AE22" s="125"/>
      <c r="AF22" s="90"/>
      <c r="AG22" s="90"/>
      <c r="AH22" s="90"/>
      <c r="AI22" s="90"/>
      <c r="AJ22" s="90"/>
      <c r="AK22" s="90"/>
      <c r="AL22" s="90"/>
      <c r="AM22" s="90"/>
      <c r="AN22" s="90"/>
      <c r="AO22" s="90"/>
      <c r="AP22" s="90"/>
      <c r="AQ22" s="90"/>
      <c r="AR22" s="90"/>
      <c r="AS22" s="90"/>
      <c r="AT22" s="90"/>
      <c r="AU22" s="90"/>
      <c r="AV22" s="90"/>
      <c r="AW22" s="90"/>
      <c r="AX22" s="90"/>
      <c r="AY22" s="90"/>
      <c r="AZ22" s="90"/>
      <c r="BA22" s="90"/>
    </row>
    <row r="23" spans="1:53" s="122" customFormat="1" ht="63.75" x14ac:dyDescent="0.25">
      <c r="A23" s="121"/>
      <c r="C23" s="121"/>
      <c r="D23" s="123"/>
      <c r="E23" s="89"/>
      <c r="F23" s="94" t="s">
        <v>890</v>
      </c>
      <c r="G23" s="94" t="s">
        <v>724</v>
      </c>
      <c r="H23" s="124" t="str">
        <f>IFERROR(INDEX(Rules!$F:$F,MATCH(G23,Rules!$E:$E,0)),"")</f>
        <v>Physikalische Eigenschaften</v>
      </c>
      <c r="I23" s="124" t="str">
        <f>IFERROR(INDEX(Rules!$G:$G,MATCH(G23,Rules!$E:$E,0)),"")</f>
        <v>Caractéristiques physiques</v>
      </c>
      <c r="J23" s="124" t="str">
        <f>IFERROR(INDEX(Rules!$H:$H,MATCH(G23,Rules!$E:$E,0)),"")</f>
        <v>Caratteristiche fisiche</v>
      </c>
      <c r="K23" s="113" t="s">
        <v>412</v>
      </c>
      <c r="L23" s="113" t="s">
        <v>413</v>
      </c>
      <c r="M23" s="114"/>
      <c r="N23" s="114"/>
      <c r="O23" s="94" t="s">
        <v>414</v>
      </c>
      <c r="P23" s="113" t="s">
        <v>413</v>
      </c>
      <c r="Q23" s="95"/>
      <c r="R23" s="95"/>
      <c r="S23" s="94" t="s">
        <v>401</v>
      </c>
      <c r="T23" s="94" t="s">
        <v>406</v>
      </c>
      <c r="U23" s="94" t="s">
        <v>414</v>
      </c>
      <c r="V23" s="121"/>
      <c r="W23" s="123"/>
      <c r="X23" s="94"/>
      <c r="Y23" s="94"/>
      <c r="Z23" s="121"/>
      <c r="AA23" s="90" t="s">
        <v>684</v>
      </c>
      <c r="AB23" s="90" t="s">
        <v>968</v>
      </c>
      <c r="AC23" s="90" t="s">
        <v>50</v>
      </c>
      <c r="AE23" s="125"/>
      <c r="AF23" s="90"/>
      <c r="AG23" s="90"/>
      <c r="AH23" s="90"/>
      <c r="AI23" s="90"/>
      <c r="AJ23" s="90"/>
      <c r="AK23" s="90"/>
      <c r="AL23" s="90"/>
      <c r="AM23" s="90"/>
      <c r="AN23" s="90"/>
      <c r="AO23" s="90"/>
      <c r="AP23" s="90"/>
      <c r="AQ23" s="90"/>
      <c r="AR23" s="90"/>
      <c r="AS23" s="90"/>
      <c r="AT23" s="90"/>
      <c r="AU23" s="90"/>
      <c r="AV23" s="90"/>
      <c r="AW23" s="90"/>
      <c r="AX23" s="90"/>
      <c r="AY23" s="90"/>
      <c r="AZ23" s="90"/>
      <c r="BA23" s="90"/>
    </row>
    <row r="24" spans="1:53" s="122" customFormat="1" ht="114.75" x14ac:dyDescent="0.25">
      <c r="A24" s="121"/>
      <c r="C24" s="121"/>
      <c r="D24" s="123"/>
      <c r="E24" s="89"/>
      <c r="F24" s="94" t="s">
        <v>891</v>
      </c>
      <c r="G24" s="94" t="s">
        <v>755</v>
      </c>
      <c r="H24" s="124" t="str">
        <f>IFERROR(INDEX(Rules!$F:$F,MATCH(G24,Rules!$E:$E,0)),"")</f>
        <v>Leistungs- und Funktionskennwerte</v>
      </c>
      <c r="I24" s="124" t="str">
        <f>IFERROR(INDEX(Rules!$G:$G,MATCH(G24,Rules!$E:$E,0)),"")</f>
        <v>Caractéristiques de performance et de fonctionnement</v>
      </c>
      <c r="J24" s="124" t="str">
        <f>IFERROR(INDEX(Rules!$H:$H,MATCH(G24,Rules!$E:$E,0)),"")</f>
        <v>Caratteristiche prestazionali e funzionali</v>
      </c>
      <c r="K24" s="113" t="s">
        <v>415</v>
      </c>
      <c r="L24" s="113" t="s">
        <v>416</v>
      </c>
      <c r="M24" s="114"/>
      <c r="N24" s="114"/>
      <c r="O24" s="94" t="s">
        <v>417</v>
      </c>
      <c r="P24" s="113" t="s">
        <v>418</v>
      </c>
      <c r="Q24" s="95"/>
      <c r="R24" s="95"/>
      <c r="S24" s="94" t="s">
        <v>410</v>
      </c>
      <c r="T24" s="94" t="s">
        <v>411</v>
      </c>
      <c r="U24" s="94" t="s">
        <v>417</v>
      </c>
      <c r="V24" s="121"/>
      <c r="W24" s="123"/>
      <c r="X24" s="94"/>
      <c r="Y24" s="94"/>
      <c r="Z24" s="121"/>
      <c r="AA24" s="90" t="s">
        <v>684</v>
      </c>
      <c r="AB24" s="90" t="s">
        <v>968</v>
      </c>
      <c r="AC24" s="90" t="s">
        <v>50</v>
      </c>
      <c r="AE24" s="125"/>
      <c r="AF24" s="90"/>
      <c r="AG24" s="90"/>
      <c r="AH24" s="90"/>
      <c r="AI24" s="90"/>
      <c r="AJ24" s="90"/>
      <c r="AK24" s="90"/>
      <c r="AL24" s="90"/>
      <c r="AM24" s="90"/>
      <c r="AN24" s="90"/>
      <c r="AO24" s="90"/>
      <c r="AP24" s="90"/>
      <c r="AQ24" s="90"/>
      <c r="AR24" s="90"/>
      <c r="AS24" s="90"/>
      <c r="AT24" s="90"/>
      <c r="AU24" s="90"/>
      <c r="AV24" s="90"/>
      <c r="AW24" s="90"/>
      <c r="AX24" s="90"/>
      <c r="AY24" s="90"/>
      <c r="AZ24" s="90"/>
      <c r="BA24" s="90"/>
    </row>
    <row r="25" spans="1:53" s="122" customFormat="1" ht="76.5" x14ac:dyDescent="0.25">
      <c r="A25" s="121"/>
      <c r="C25" s="121"/>
      <c r="D25" s="123"/>
      <c r="E25" s="89"/>
      <c r="F25" s="94" t="s">
        <v>892</v>
      </c>
      <c r="G25" s="94" t="s">
        <v>744</v>
      </c>
      <c r="H25" s="124" t="str">
        <f>IFERROR(INDEX(Rules!$F:$F,MATCH(G25,Rules!$E:$E,0)),"")</f>
        <v>Betriebsbedingungen und Grenzwerte</v>
      </c>
      <c r="I25" s="124" t="str">
        <f>IFERROR(INDEX(Rules!$G:$G,MATCH(G25,Rules!$E:$E,0)),"")</f>
        <v>Conditions de fonctionnement et limites</v>
      </c>
      <c r="J25" s="124" t="str">
        <f>IFERROR(INDEX(Rules!$H:$H,MATCH(G25,Rules!$E:$E,0)),"")</f>
        <v>Condizioni operative e limiti</v>
      </c>
      <c r="K25" s="113" t="s">
        <v>419</v>
      </c>
      <c r="L25" s="113" t="s">
        <v>420</v>
      </c>
      <c r="M25" s="114"/>
      <c r="N25" s="114"/>
      <c r="O25" s="94" t="s">
        <v>421</v>
      </c>
      <c r="P25" s="113" t="s">
        <v>420</v>
      </c>
      <c r="Q25" s="95"/>
      <c r="R25" s="95"/>
      <c r="S25" s="94" t="s">
        <v>346</v>
      </c>
      <c r="T25" s="94" t="s">
        <v>347</v>
      </c>
      <c r="U25" s="94" t="s">
        <v>419</v>
      </c>
      <c r="V25" s="121"/>
      <c r="W25" s="123"/>
      <c r="X25" s="94"/>
      <c r="Y25" s="94"/>
      <c r="Z25" s="121"/>
      <c r="AA25" s="90" t="s">
        <v>684</v>
      </c>
      <c r="AB25" s="90" t="s">
        <v>968</v>
      </c>
      <c r="AC25" s="90" t="s">
        <v>50</v>
      </c>
      <c r="AE25" s="125"/>
      <c r="AF25" s="90"/>
      <c r="AG25" s="90"/>
      <c r="AH25" s="90"/>
      <c r="AI25" s="90"/>
      <c r="AJ25" s="90"/>
      <c r="AK25" s="90"/>
      <c r="AL25" s="90"/>
      <c r="AM25" s="90"/>
      <c r="AN25" s="90"/>
      <c r="AO25" s="90"/>
      <c r="AP25" s="90"/>
      <c r="AQ25" s="90"/>
      <c r="AR25" s="90"/>
      <c r="AS25" s="90"/>
      <c r="AT25" s="90"/>
      <c r="AU25" s="90"/>
      <c r="AV25" s="90"/>
      <c r="AW25" s="90"/>
      <c r="AX25" s="90"/>
      <c r="AY25" s="90"/>
      <c r="AZ25" s="90"/>
      <c r="BA25" s="90"/>
    </row>
    <row r="26" spans="1:53" s="122" customFormat="1" ht="76.5" x14ac:dyDescent="0.25">
      <c r="A26" s="121"/>
      <c r="C26" s="121"/>
      <c r="D26" s="123"/>
      <c r="E26" s="89"/>
      <c r="F26" s="94" t="s">
        <v>893</v>
      </c>
      <c r="G26" s="94" t="s">
        <v>744</v>
      </c>
      <c r="H26" s="124" t="str">
        <f>IFERROR(INDEX(Rules!$F:$F,MATCH(G26,Rules!$E:$E,0)),"")</f>
        <v>Betriebsbedingungen und Grenzwerte</v>
      </c>
      <c r="I26" s="124" t="str">
        <f>IFERROR(INDEX(Rules!$G:$G,MATCH(G26,Rules!$E:$E,0)),"")</f>
        <v>Conditions de fonctionnement et limites</v>
      </c>
      <c r="J26" s="124" t="str">
        <f>IFERROR(INDEX(Rules!$H:$H,MATCH(G26,Rules!$E:$E,0)),"")</f>
        <v>Condizioni operative e limiti</v>
      </c>
      <c r="K26" s="113" t="s">
        <v>422</v>
      </c>
      <c r="L26" s="113" t="s">
        <v>423</v>
      </c>
      <c r="M26" s="114"/>
      <c r="N26" s="114"/>
      <c r="O26" s="94" t="s">
        <v>424</v>
      </c>
      <c r="P26" s="113" t="s">
        <v>423</v>
      </c>
      <c r="Q26" s="95"/>
      <c r="R26" s="95"/>
      <c r="S26" s="94" t="s">
        <v>410</v>
      </c>
      <c r="T26" s="94" t="s">
        <v>411</v>
      </c>
      <c r="U26" s="94" t="s">
        <v>424</v>
      </c>
      <c r="V26" s="121"/>
      <c r="W26" s="123"/>
      <c r="X26" s="94"/>
      <c r="Y26" s="94"/>
      <c r="Z26" s="121"/>
      <c r="AA26" s="90" t="s">
        <v>684</v>
      </c>
      <c r="AB26" s="90" t="s">
        <v>968</v>
      </c>
      <c r="AC26" s="90" t="s">
        <v>50</v>
      </c>
      <c r="AE26" s="125"/>
      <c r="AF26" s="90"/>
      <c r="AG26" s="90"/>
      <c r="AH26" s="90"/>
      <c r="AI26" s="90"/>
      <c r="AJ26" s="90"/>
      <c r="AK26" s="90"/>
      <c r="AL26" s="90"/>
      <c r="AM26" s="90"/>
      <c r="AN26" s="90"/>
      <c r="AO26" s="90"/>
      <c r="AP26" s="90"/>
      <c r="AQ26" s="90"/>
      <c r="AR26" s="90"/>
      <c r="AS26" s="90"/>
      <c r="AT26" s="90"/>
      <c r="AU26" s="90"/>
      <c r="AV26" s="90"/>
      <c r="AW26" s="90"/>
      <c r="AX26" s="90"/>
      <c r="AY26" s="90"/>
      <c r="AZ26" s="90"/>
      <c r="BA26" s="90"/>
    </row>
    <row r="27" spans="1:53" s="122" customFormat="1" ht="63.75" x14ac:dyDescent="0.25">
      <c r="A27" s="121"/>
      <c r="C27" s="121"/>
      <c r="D27" s="123"/>
      <c r="E27" s="89"/>
      <c r="F27" s="94" t="s">
        <v>894</v>
      </c>
      <c r="G27" s="94" t="s">
        <v>765</v>
      </c>
      <c r="H27" s="124" t="str">
        <f>IFERROR(INDEX(Rules!$F:$F,MATCH(G27,Rules!$E:$E,0)),"")</f>
        <v>Thermische Kennwerte</v>
      </c>
      <c r="I27" s="124" t="str">
        <f>IFERROR(INDEX(Rules!$G:$G,MATCH(G27,Rules!$E:$E,0)),"")</f>
        <v>Caractéristiques thermiques</v>
      </c>
      <c r="J27" s="124" t="str">
        <f>IFERROR(INDEX(Rules!$H:$H,MATCH(G27,Rules!$E:$E,0)),"")</f>
        <v>Caratteristiche termiche</v>
      </c>
      <c r="K27" s="113" t="s">
        <v>425</v>
      </c>
      <c r="L27" s="113" t="s">
        <v>426</v>
      </c>
      <c r="M27" s="114"/>
      <c r="N27" s="114"/>
      <c r="O27" s="94" t="s">
        <v>427</v>
      </c>
      <c r="P27" s="113" t="s">
        <v>426</v>
      </c>
      <c r="Q27" s="95"/>
      <c r="R27" s="95"/>
      <c r="S27" s="94" t="s">
        <v>410</v>
      </c>
      <c r="T27" s="94" t="s">
        <v>411</v>
      </c>
      <c r="U27" s="94" t="s">
        <v>427</v>
      </c>
      <c r="V27" s="121"/>
      <c r="W27" s="123"/>
      <c r="X27" s="94"/>
      <c r="Y27" s="94"/>
      <c r="Z27" s="121"/>
      <c r="AA27" s="90" t="s">
        <v>684</v>
      </c>
      <c r="AB27" s="90" t="s">
        <v>968</v>
      </c>
      <c r="AC27" s="90" t="s">
        <v>50</v>
      </c>
      <c r="AE27" s="125"/>
      <c r="AF27" s="90"/>
      <c r="AG27" s="90"/>
      <c r="AH27" s="90"/>
      <c r="AI27" s="90"/>
      <c r="AJ27" s="90"/>
      <c r="AK27" s="90"/>
      <c r="AL27" s="90"/>
      <c r="AM27" s="90"/>
      <c r="AN27" s="90"/>
      <c r="AO27" s="90"/>
      <c r="AP27" s="90"/>
      <c r="AQ27" s="90"/>
      <c r="AR27" s="90"/>
      <c r="AS27" s="90"/>
      <c r="AT27" s="90"/>
      <c r="AU27" s="90"/>
      <c r="AV27" s="90"/>
      <c r="AW27" s="90"/>
      <c r="AX27" s="90"/>
      <c r="AY27" s="90"/>
      <c r="AZ27" s="90"/>
      <c r="BA27" s="90"/>
    </row>
    <row r="28" spans="1:53" s="122" customFormat="1" ht="63.75" x14ac:dyDescent="0.25">
      <c r="A28" s="121"/>
      <c r="C28" s="121"/>
      <c r="D28" s="123"/>
      <c r="E28" s="89"/>
      <c r="F28" s="94" t="s">
        <v>895</v>
      </c>
      <c r="G28" s="94" t="s">
        <v>765</v>
      </c>
      <c r="H28" s="124" t="str">
        <f>IFERROR(INDEX(Rules!$F:$F,MATCH(G28,Rules!$E:$E,0)),"")</f>
        <v>Thermische Kennwerte</v>
      </c>
      <c r="I28" s="124" t="str">
        <f>IFERROR(INDEX(Rules!$G:$G,MATCH(G28,Rules!$E:$E,0)),"")</f>
        <v>Caractéristiques thermiques</v>
      </c>
      <c r="J28" s="124" t="str">
        <f>IFERROR(INDEX(Rules!$H:$H,MATCH(G28,Rules!$E:$E,0)),"")</f>
        <v>Caratteristiche termiche</v>
      </c>
      <c r="K28" s="113" t="s">
        <v>428</v>
      </c>
      <c r="L28" s="113" t="s">
        <v>429</v>
      </c>
      <c r="M28" s="114"/>
      <c r="N28" s="114"/>
      <c r="O28" s="94" t="s">
        <v>430</v>
      </c>
      <c r="P28" s="113" t="s">
        <v>429</v>
      </c>
      <c r="Q28" s="95"/>
      <c r="R28" s="95"/>
      <c r="S28" s="94" t="s">
        <v>410</v>
      </c>
      <c r="T28" s="94" t="s">
        <v>411</v>
      </c>
      <c r="U28" s="94" t="s">
        <v>430</v>
      </c>
      <c r="V28" s="121"/>
      <c r="W28" s="123"/>
      <c r="X28" s="94"/>
      <c r="Y28" s="94"/>
      <c r="Z28" s="121"/>
      <c r="AA28" s="90" t="s">
        <v>684</v>
      </c>
      <c r="AB28" s="90" t="s">
        <v>968</v>
      </c>
      <c r="AC28" s="90" t="s">
        <v>50</v>
      </c>
      <c r="AE28" s="125"/>
      <c r="AF28" s="90"/>
      <c r="AG28" s="90"/>
      <c r="AH28" s="90"/>
      <c r="AI28" s="90"/>
      <c r="AJ28" s="90"/>
      <c r="AK28" s="90"/>
      <c r="AL28" s="90"/>
      <c r="AM28" s="90"/>
      <c r="AN28" s="90"/>
      <c r="AO28" s="90"/>
      <c r="AP28" s="90"/>
      <c r="AQ28" s="90"/>
      <c r="AR28" s="90"/>
      <c r="AS28" s="90"/>
      <c r="AT28" s="90"/>
      <c r="AU28" s="90"/>
      <c r="AV28" s="90"/>
      <c r="AW28" s="90"/>
      <c r="AX28" s="90"/>
      <c r="AY28" s="90"/>
      <c r="AZ28" s="90"/>
      <c r="BA28" s="90"/>
    </row>
    <row r="29" spans="1:53" s="122" customFormat="1" ht="76.5" x14ac:dyDescent="0.25">
      <c r="A29" s="121"/>
      <c r="C29" s="121"/>
      <c r="D29" s="123"/>
      <c r="E29" s="89"/>
      <c r="F29" s="94" t="s">
        <v>896</v>
      </c>
      <c r="G29" s="94" t="s">
        <v>744</v>
      </c>
      <c r="H29" s="124" t="str">
        <f>IFERROR(INDEX(Rules!$F:$F,MATCH(G29,Rules!$E:$E,0)),"")</f>
        <v>Betriebsbedingungen und Grenzwerte</v>
      </c>
      <c r="I29" s="124" t="str">
        <f>IFERROR(INDEX(Rules!$G:$G,MATCH(G29,Rules!$E:$E,0)),"")</f>
        <v>Conditions de fonctionnement et limites</v>
      </c>
      <c r="J29" s="124" t="str">
        <f>IFERROR(INDEX(Rules!$H:$H,MATCH(G29,Rules!$E:$E,0)),"")</f>
        <v>Condizioni operative e limiti</v>
      </c>
      <c r="K29" s="113" t="s">
        <v>431</v>
      </c>
      <c r="L29" s="113" t="s">
        <v>432</v>
      </c>
      <c r="M29" s="114"/>
      <c r="N29" s="114"/>
      <c r="O29" s="94" t="s">
        <v>433</v>
      </c>
      <c r="P29" s="113" t="s">
        <v>432</v>
      </c>
      <c r="Q29" s="95"/>
      <c r="R29" s="95"/>
      <c r="S29" s="94" t="s">
        <v>410</v>
      </c>
      <c r="T29" s="94" t="s">
        <v>411</v>
      </c>
      <c r="U29" s="94" t="s">
        <v>434</v>
      </c>
      <c r="V29" s="121"/>
      <c r="W29" s="123"/>
      <c r="X29" s="94"/>
      <c r="Y29" s="94"/>
      <c r="Z29" s="121"/>
      <c r="AA29" s="90" t="s">
        <v>684</v>
      </c>
      <c r="AB29" s="90" t="s">
        <v>968</v>
      </c>
      <c r="AC29" s="90" t="s">
        <v>50</v>
      </c>
      <c r="AE29" s="125"/>
      <c r="AF29" s="90"/>
      <c r="AG29" s="90"/>
      <c r="AH29" s="90"/>
      <c r="AI29" s="90"/>
      <c r="AJ29" s="90"/>
      <c r="AK29" s="90"/>
      <c r="AL29" s="90"/>
      <c r="AM29" s="90"/>
      <c r="AN29" s="90"/>
      <c r="AO29" s="90"/>
      <c r="AP29" s="90"/>
      <c r="AQ29" s="90"/>
      <c r="AR29" s="90"/>
      <c r="AS29" s="90"/>
      <c r="AT29" s="90"/>
      <c r="AU29" s="90"/>
      <c r="AV29" s="90"/>
      <c r="AW29" s="90"/>
      <c r="AX29" s="90"/>
      <c r="AY29" s="90"/>
      <c r="AZ29" s="90"/>
      <c r="BA29" s="90"/>
    </row>
    <row r="30" spans="1:53" s="122" customFormat="1" ht="76.5" x14ac:dyDescent="0.25">
      <c r="A30" s="121"/>
      <c r="C30" s="121"/>
      <c r="D30" s="123" t="s">
        <v>440</v>
      </c>
      <c r="E30" s="89"/>
      <c r="F30" s="94" t="s">
        <v>897</v>
      </c>
      <c r="G30" s="94" t="s">
        <v>690</v>
      </c>
      <c r="H30" s="124" t="str">
        <f>IFERROR(INDEX(Rules!$F:$F,MATCH(G30,Rules!$E:$E,0)),"")</f>
        <v>Identifikation und Klassifikation</v>
      </c>
      <c r="I30" s="124" t="str">
        <f>IFERROR(INDEX(Rules!$G:$G,MATCH(G30,Rules!$E:$E,0)),"")</f>
        <v>Identification et classification</v>
      </c>
      <c r="J30" s="124" t="str">
        <f>IFERROR(INDEX(Rules!$H:$H,MATCH(G30,Rules!$E:$E,0)),"")</f>
        <v>Identificazione e classificazione</v>
      </c>
      <c r="K30" s="113" t="s">
        <v>435</v>
      </c>
      <c r="L30" s="113" t="s">
        <v>436</v>
      </c>
      <c r="M30" s="114"/>
      <c r="N30" s="114"/>
      <c r="O30" s="94" t="s">
        <v>437</v>
      </c>
      <c r="P30" s="113" t="s">
        <v>438</v>
      </c>
      <c r="Q30" s="95"/>
      <c r="R30" s="95"/>
      <c r="S30" s="94" t="s">
        <v>410</v>
      </c>
      <c r="T30" s="94" t="s">
        <v>411</v>
      </c>
      <c r="U30" s="94" t="s">
        <v>439</v>
      </c>
      <c r="V30" s="121"/>
      <c r="W30" s="123" t="s">
        <v>440</v>
      </c>
      <c r="X30" s="94" t="s">
        <v>441</v>
      </c>
      <c r="Y30" s="94"/>
      <c r="Z30" s="121"/>
      <c r="AA30" s="90" t="s">
        <v>684</v>
      </c>
      <c r="AB30" s="90" t="s">
        <v>968</v>
      </c>
      <c r="AC30" s="90" t="s">
        <v>50</v>
      </c>
      <c r="AE30" s="125"/>
      <c r="AF30" s="90"/>
      <c r="AG30" s="90"/>
      <c r="AH30" s="90"/>
      <c r="AI30" s="90"/>
      <c r="AJ30" s="90"/>
      <c r="AK30" s="90"/>
      <c r="AL30" s="90"/>
      <c r="AM30" s="90"/>
      <c r="AN30" s="90"/>
      <c r="AO30" s="90"/>
      <c r="AP30" s="90"/>
      <c r="AQ30" s="90"/>
      <c r="AR30" s="90"/>
      <c r="AS30" s="90"/>
      <c r="AT30" s="90"/>
      <c r="AU30" s="90"/>
      <c r="AV30" s="90"/>
      <c r="AW30" s="90"/>
      <c r="AX30" s="90"/>
      <c r="AY30" s="90"/>
      <c r="AZ30" s="90"/>
      <c r="BA30" s="90"/>
    </row>
    <row r="31" spans="1:53" s="122" customFormat="1" ht="76.5" x14ac:dyDescent="0.25">
      <c r="A31" s="121"/>
      <c r="C31" s="121"/>
      <c r="D31" s="123" t="s">
        <v>447</v>
      </c>
      <c r="E31" s="89"/>
      <c r="F31" s="94" t="s">
        <v>898</v>
      </c>
      <c r="G31" s="94" t="s">
        <v>744</v>
      </c>
      <c r="H31" s="124" t="str">
        <f>IFERROR(INDEX(Rules!$F:$F,MATCH(G31,Rules!$E:$E,0)),"")</f>
        <v>Betriebsbedingungen und Grenzwerte</v>
      </c>
      <c r="I31" s="124" t="str">
        <f>IFERROR(INDEX(Rules!$G:$G,MATCH(G31,Rules!$E:$E,0)),"")</f>
        <v>Conditions de fonctionnement et limites</v>
      </c>
      <c r="J31" s="124" t="str">
        <f>IFERROR(INDEX(Rules!$H:$H,MATCH(G31,Rules!$E:$E,0)),"")</f>
        <v>Condizioni operative e limiti</v>
      </c>
      <c r="K31" s="113" t="s">
        <v>442</v>
      </c>
      <c r="L31" s="113" t="s">
        <v>443</v>
      </c>
      <c r="M31" s="114"/>
      <c r="N31" s="114"/>
      <c r="O31" s="94" t="s">
        <v>444</v>
      </c>
      <c r="P31" s="113" t="s">
        <v>445</v>
      </c>
      <c r="Q31" s="95"/>
      <c r="R31" s="95"/>
      <c r="S31" s="94" t="s">
        <v>346</v>
      </c>
      <c r="T31" s="94" t="s">
        <v>347</v>
      </c>
      <c r="U31" s="94" t="s">
        <v>446</v>
      </c>
      <c r="V31" s="121"/>
      <c r="W31" s="123" t="s">
        <v>447</v>
      </c>
      <c r="X31" s="94" t="s">
        <v>448</v>
      </c>
      <c r="Y31" s="94"/>
      <c r="Z31" s="121"/>
      <c r="AA31" s="90" t="s">
        <v>684</v>
      </c>
      <c r="AB31" s="90" t="s">
        <v>968</v>
      </c>
      <c r="AC31" s="90" t="s">
        <v>50</v>
      </c>
      <c r="AE31" s="125"/>
      <c r="AF31" s="90"/>
      <c r="AG31" s="90"/>
      <c r="AH31" s="90"/>
      <c r="AI31" s="90"/>
      <c r="AJ31" s="90"/>
      <c r="AK31" s="90"/>
      <c r="AL31" s="90"/>
      <c r="AM31" s="90"/>
      <c r="AN31" s="90"/>
      <c r="AO31" s="90"/>
      <c r="AP31" s="90"/>
      <c r="AQ31" s="90"/>
      <c r="AR31" s="90"/>
      <c r="AS31" s="90"/>
      <c r="AT31" s="90"/>
      <c r="AU31" s="90"/>
      <c r="AV31" s="90"/>
      <c r="AW31" s="90"/>
      <c r="AX31" s="90"/>
      <c r="AY31" s="90"/>
      <c r="AZ31" s="90"/>
      <c r="BA31" s="90"/>
    </row>
    <row r="32" spans="1:53" s="122" customFormat="1" ht="63.75" x14ac:dyDescent="0.25">
      <c r="A32" s="121"/>
      <c r="C32" s="121"/>
      <c r="D32" s="123"/>
      <c r="E32" s="89"/>
      <c r="F32" s="94" t="s">
        <v>899</v>
      </c>
      <c r="G32" s="94" t="s">
        <v>712</v>
      </c>
      <c r="H32" s="124" t="str">
        <f>IFERROR(INDEX(Rules!$F:$F,MATCH(G32,Rules!$E:$E,0)),"")</f>
        <v>Geometrische Eigenschaften</v>
      </c>
      <c r="I32" s="124" t="str">
        <f>IFERROR(INDEX(Rules!$G:$G,MATCH(G32,Rules!$E:$E,0)),"")</f>
        <v>Caractéristiques géométriques</v>
      </c>
      <c r="J32" s="124" t="str">
        <f>IFERROR(INDEX(Rules!$H:$H,MATCH(G32,Rules!$E:$E,0)),"")</f>
        <v>Caratteristiche geometriche</v>
      </c>
      <c r="K32" s="113" t="s">
        <v>449</v>
      </c>
      <c r="L32" s="113" t="s">
        <v>450</v>
      </c>
      <c r="M32" s="114"/>
      <c r="N32" s="114"/>
      <c r="O32" s="94" t="s">
        <v>451</v>
      </c>
      <c r="P32" s="113" t="s">
        <v>452</v>
      </c>
      <c r="Q32" s="95"/>
      <c r="R32" s="95"/>
      <c r="S32" s="94" t="s">
        <v>401</v>
      </c>
      <c r="T32" s="94" t="s">
        <v>453</v>
      </c>
      <c r="U32" s="94" t="s">
        <v>454</v>
      </c>
      <c r="V32" s="121"/>
      <c r="W32" s="123"/>
      <c r="X32" s="94" t="s">
        <v>448</v>
      </c>
      <c r="Y32" s="94"/>
      <c r="Z32" s="121"/>
      <c r="AA32" s="90" t="s">
        <v>684</v>
      </c>
      <c r="AB32" s="90" t="s">
        <v>968</v>
      </c>
      <c r="AC32" s="90" t="s">
        <v>50</v>
      </c>
      <c r="AE32" s="125"/>
      <c r="AF32" s="90"/>
      <c r="AG32" s="90"/>
      <c r="AH32" s="90"/>
      <c r="AI32" s="90"/>
      <c r="AJ32" s="90"/>
      <c r="AK32" s="90"/>
      <c r="AL32" s="90"/>
      <c r="AM32" s="90"/>
      <c r="AN32" s="90"/>
      <c r="AO32" s="90"/>
      <c r="AP32" s="90"/>
      <c r="AQ32" s="90"/>
      <c r="AR32" s="90"/>
      <c r="AS32" s="90"/>
      <c r="AT32" s="90"/>
      <c r="AU32" s="90"/>
      <c r="AV32" s="90"/>
      <c r="AW32" s="90"/>
      <c r="AX32" s="90"/>
      <c r="AY32" s="90"/>
      <c r="AZ32" s="90"/>
      <c r="BA32" s="90"/>
    </row>
    <row r="33" spans="1:53" s="122" customFormat="1" ht="76.5" x14ac:dyDescent="0.25">
      <c r="A33" s="121"/>
      <c r="C33" s="121"/>
      <c r="D33" s="123" t="s">
        <v>462</v>
      </c>
      <c r="E33" s="89"/>
      <c r="F33" s="94" t="s">
        <v>900</v>
      </c>
      <c r="G33" s="94" t="s">
        <v>744</v>
      </c>
      <c r="H33" s="124" t="str">
        <f>IFERROR(INDEX(Rules!$F:$F,MATCH(G33,Rules!$E:$E,0)),"")</f>
        <v>Betriebsbedingungen und Grenzwerte</v>
      </c>
      <c r="I33" s="124" t="str">
        <f>IFERROR(INDEX(Rules!$G:$G,MATCH(G33,Rules!$E:$E,0)),"")</f>
        <v>Conditions de fonctionnement et limites</v>
      </c>
      <c r="J33" s="124" t="str">
        <f>IFERROR(INDEX(Rules!$H:$H,MATCH(G33,Rules!$E:$E,0)),"")</f>
        <v>Condizioni operative e limiti</v>
      </c>
      <c r="K33" s="113" t="s">
        <v>455</v>
      </c>
      <c r="L33" s="113" t="s">
        <v>456</v>
      </c>
      <c r="M33" s="114"/>
      <c r="N33" s="114"/>
      <c r="O33" s="94" t="s">
        <v>457</v>
      </c>
      <c r="P33" s="113" t="s">
        <v>458</v>
      </c>
      <c r="Q33" s="95"/>
      <c r="R33" s="95"/>
      <c r="S33" s="94" t="s">
        <v>459</v>
      </c>
      <c r="T33" s="94" t="s">
        <v>460</v>
      </c>
      <c r="U33" s="94" t="s">
        <v>461</v>
      </c>
      <c r="V33" s="121"/>
      <c r="W33" s="123" t="s">
        <v>462</v>
      </c>
      <c r="X33" s="94" t="s">
        <v>448</v>
      </c>
      <c r="Y33" s="94"/>
      <c r="Z33" s="121"/>
      <c r="AA33" s="90" t="s">
        <v>684</v>
      </c>
      <c r="AB33" s="90" t="s">
        <v>968</v>
      </c>
      <c r="AC33" s="90" t="s">
        <v>50</v>
      </c>
      <c r="AE33" s="125"/>
      <c r="AF33" s="90"/>
      <c r="AG33" s="90"/>
      <c r="AH33" s="90"/>
      <c r="AI33" s="90"/>
      <c r="AJ33" s="90"/>
      <c r="AK33" s="90"/>
      <c r="AL33" s="90"/>
      <c r="AM33" s="90"/>
      <c r="AN33" s="90"/>
      <c r="AO33" s="90"/>
      <c r="AP33" s="90"/>
      <c r="AQ33" s="90"/>
      <c r="AR33" s="90"/>
      <c r="AS33" s="90"/>
      <c r="AT33" s="90"/>
      <c r="AU33" s="90"/>
      <c r="AV33" s="90"/>
      <c r="AW33" s="90"/>
      <c r="AX33" s="90"/>
      <c r="AY33" s="90"/>
      <c r="AZ33" s="90"/>
      <c r="BA33" s="90"/>
    </row>
    <row r="34" spans="1:53" s="122" customFormat="1" ht="76.5" x14ac:dyDescent="0.25">
      <c r="A34" s="121"/>
      <c r="C34" s="121"/>
      <c r="D34" s="123" t="s">
        <v>468</v>
      </c>
      <c r="E34" s="89"/>
      <c r="F34" s="94" t="s">
        <v>901</v>
      </c>
      <c r="G34" s="94" t="s">
        <v>744</v>
      </c>
      <c r="H34" s="124" t="str">
        <f>IFERROR(INDEX(Rules!$F:$F,MATCH(G34,Rules!$E:$E,0)),"")</f>
        <v>Betriebsbedingungen und Grenzwerte</v>
      </c>
      <c r="I34" s="124" t="str">
        <f>IFERROR(INDEX(Rules!$G:$G,MATCH(G34,Rules!$E:$E,0)),"")</f>
        <v>Conditions de fonctionnement et limites</v>
      </c>
      <c r="J34" s="124" t="str">
        <f>IFERROR(INDEX(Rules!$H:$H,MATCH(G34,Rules!$E:$E,0)),"")</f>
        <v>Condizioni operative e limiti</v>
      </c>
      <c r="K34" s="113" t="s">
        <v>463</v>
      </c>
      <c r="L34" s="113" t="s">
        <v>464</v>
      </c>
      <c r="M34" s="114"/>
      <c r="N34" s="114"/>
      <c r="O34" s="94" t="s">
        <v>465</v>
      </c>
      <c r="P34" s="113" t="s">
        <v>466</v>
      </c>
      <c r="Q34" s="95"/>
      <c r="R34" s="95"/>
      <c r="S34" s="94" t="s">
        <v>459</v>
      </c>
      <c r="T34" s="94" t="s">
        <v>460</v>
      </c>
      <c r="U34" s="94" t="s">
        <v>467</v>
      </c>
      <c r="V34" s="121"/>
      <c r="W34" s="123" t="s">
        <v>468</v>
      </c>
      <c r="X34" s="94" t="s">
        <v>448</v>
      </c>
      <c r="Y34" s="94"/>
      <c r="Z34" s="121"/>
      <c r="AA34" s="90" t="s">
        <v>684</v>
      </c>
      <c r="AB34" s="90" t="s">
        <v>968</v>
      </c>
      <c r="AC34" s="90" t="s">
        <v>50</v>
      </c>
      <c r="AE34" s="125"/>
      <c r="AF34" s="90"/>
      <c r="AG34" s="90"/>
      <c r="AH34" s="90"/>
      <c r="AI34" s="90"/>
      <c r="AJ34" s="90"/>
      <c r="AK34" s="90"/>
      <c r="AL34" s="90"/>
      <c r="AM34" s="90"/>
      <c r="AN34" s="90"/>
      <c r="AO34" s="90"/>
      <c r="AP34" s="90"/>
      <c r="AQ34" s="90"/>
      <c r="AR34" s="90"/>
      <c r="AS34" s="90"/>
      <c r="AT34" s="90"/>
      <c r="AU34" s="90"/>
      <c r="AV34" s="90"/>
      <c r="AW34" s="90"/>
      <c r="AX34" s="90"/>
      <c r="AY34" s="90"/>
      <c r="AZ34" s="90"/>
      <c r="BA34" s="90"/>
    </row>
    <row r="35" spans="1:53" s="122" customFormat="1" ht="153" x14ac:dyDescent="0.25">
      <c r="A35" s="121"/>
      <c r="C35" s="121"/>
      <c r="D35" s="123" t="s">
        <v>474</v>
      </c>
      <c r="E35" s="89"/>
      <c r="F35" s="94" t="s">
        <v>902</v>
      </c>
      <c r="G35" s="94" t="s">
        <v>734</v>
      </c>
      <c r="H35" s="124" t="str">
        <f>IFERROR(INDEX(Rules!$F:$F,MATCH(G35,Rules!$E:$E,0)),"")</f>
        <v>Material und Aufbau</v>
      </c>
      <c r="I35" s="124" t="str">
        <f>IFERROR(INDEX(Rules!$G:$G,MATCH(G35,Rules!$E:$E,0)),"")</f>
        <v>Matériau et constitution</v>
      </c>
      <c r="J35" s="124" t="str">
        <f>IFERROR(INDEX(Rules!$H:$H,MATCH(G35,Rules!$E:$E,0)),"")</f>
        <v>Materiale e struttura</v>
      </c>
      <c r="K35" s="113" t="s">
        <v>469</v>
      </c>
      <c r="L35" s="113" t="s">
        <v>470</v>
      </c>
      <c r="M35" s="114"/>
      <c r="N35" s="114"/>
      <c r="O35" s="94" t="s">
        <v>471</v>
      </c>
      <c r="P35" s="113" t="s">
        <v>472</v>
      </c>
      <c r="Q35" s="95"/>
      <c r="R35" s="95"/>
      <c r="S35" s="94" t="s">
        <v>346</v>
      </c>
      <c r="T35" s="94" t="s">
        <v>347</v>
      </c>
      <c r="U35" s="94" t="s">
        <v>473</v>
      </c>
      <c r="V35" s="121"/>
      <c r="W35" s="123" t="s">
        <v>474</v>
      </c>
      <c r="X35" s="94" t="s">
        <v>475</v>
      </c>
      <c r="Y35" s="94"/>
      <c r="Z35" s="121"/>
      <c r="AA35" s="90" t="s">
        <v>684</v>
      </c>
      <c r="AB35" s="90" t="s">
        <v>968</v>
      </c>
      <c r="AC35" s="90" t="s">
        <v>50</v>
      </c>
      <c r="AE35" s="125"/>
      <c r="AF35" s="90"/>
      <c r="AG35" s="90"/>
      <c r="AH35" s="90"/>
      <c r="AI35" s="90"/>
      <c r="AJ35" s="90"/>
      <c r="AK35" s="90"/>
      <c r="AL35" s="90"/>
      <c r="AM35" s="90"/>
      <c r="AN35" s="90"/>
      <c r="AO35" s="90"/>
      <c r="AP35" s="90"/>
      <c r="AQ35" s="90"/>
      <c r="AR35" s="90"/>
      <c r="AS35" s="90"/>
      <c r="AT35" s="90"/>
      <c r="AU35" s="90"/>
      <c r="AV35" s="90"/>
      <c r="AW35" s="90"/>
      <c r="AX35" s="90"/>
      <c r="AY35" s="90"/>
      <c r="AZ35" s="90"/>
      <c r="BA35" s="90"/>
    </row>
    <row r="36" spans="1:53" s="122" customFormat="1" ht="153" x14ac:dyDescent="0.25">
      <c r="A36" s="121"/>
      <c r="C36" s="121"/>
      <c r="D36" s="123" t="s">
        <v>481</v>
      </c>
      <c r="E36" s="89"/>
      <c r="F36" s="94" t="s">
        <v>903</v>
      </c>
      <c r="G36" s="94" t="s">
        <v>700</v>
      </c>
      <c r="H36" s="124" t="str">
        <f>IFERROR(INDEX(Rules!$F:$F,MATCH(G36,Rules!$E:$E,0)),"")</f>
        <v>Hersteller- und Produktinformationen</v>
      </c>
      <c r="I36" s="124" t="str">
        <f>IFERROR(INDEX(Rules!$G:$G,MATCH(G36,Rules!$E:$E,0)),"")</f>
        <v>Informations sur le fabricant et le produit</v>
      </c>
      <c r="J36" s="124" t="str">
        <f>IFERROR(INDEX(Rules!$H:$H,MATCH(G36,Rules!$E:$E,0)),"")</f>
        <v>Informazioni sul produttore e sul prodotto</v>
      </c>
      <c r="K36" s="113" t="s">
        <v>476</v>
      </c>
      <c r="L36" s="113" t="s">
        <v>477</v>
      </c>
      <c r="M36" s="114"/>
      <c r="N36" s="114"/>
      <c r="O36" s="94" t="s">
        <v>478</v>
      </c>
      <c r="P36" s="113" t="s">
        <v>479</v>
      </c>
      <c r="Q36" s="95"/>
      <c r="R36" s="95"/>
      <c r="S36" s="94" t="s">
        <v>346</v>
      </c>
      <c r="T36" s="94" t="s">
        <v>347</v>
      </c>
      <c r="U36" s="94" t="s">
        <v>480</v>
      </c>
      <c r="V36" s="121"/>
      <c r="W36" s="123" t="s">
        <v>481</v>
      </c>
      <c r="X36" s="94" t="s">
        <v>475</v>
      </c>
      <c r="Y36" s="94"/>
      <c r="Z36" s="121"/>
      <c r="AA36" s="90" t="s">
        <v>684</v>
      </c>
      <c r="AB36" s="90" t="s">
        <v>968</v>
      </c>
      <c r="AC36" s="90" t="s">
        <v>50</v>
      </c>
      <c r="AE36" s="125"/>
      <c r="AF36" s="90"/>
      <c r="AG36" s="90"/>
      <c r="AH36" s="90"/>
      <c r="AI36" s="90"/>
      <c r="AJ36" s="90"/>
      <c r="AK36" s="90"/>
      <c r="AL36" s="90"/>
      <c r="AM36" s="90"/>
      <c r="AN36" s="90"/>
      <c r="AO36" s="90"/>
      <c r="AP36" s="90"/>
      <c r="AQ36" s="90"/>
      <c r="AR36" s="90"/>
      <c r="AS36" s="90"/>
      <c r="AT36" s="90"/>
      <c r="AU36" s="90"/>
      <c r="AV36" s="90"/>
      <c r="AW36" s="90"/>
      <c r="AX36" s="90"/>
      <c r="AY36" s="90"/>
      <c r="AZ36" s="90"/>
      <c r="BA36" s="90"/>
    </row>
    <row r="37" spans="1:53" s="122" customFormat="1" ht="153" x14ac:dyDescent="0.25">
      <c r="A37" s="121"/>
      <c r="C37" s="121"/>
      <c r="D37" s="123" t="s">
        <v>487</v>
      </c>
      <c r="E37" s="89"/>
      <c r="F37" s="94" t="s">
        <v>904</v>
      </c>
      <c r="G37" s="94" t="s">
        <v>734</v>
      </c>
      <c r="H37" s="124" t="str">
        <f>IFERROR(INDEX(Rules!$F:$F,MATCH(G37,Rules!$E:$E,0)),"")</f>
        <v>Material und Aufbau</v>
      </c>
      <c r="I37" s="124" t="str">
        <f>IFERROR(INDEX(Rules!$G:$G,MATCH(G37,Rules!$E:$E,0)),"")</f>
        <v>Matériau et constitution</v>
      </c>
      <c r="J37" s="124" t="str">
        <f>IFERROR(INDEX(Rules!$H:$H,MATCH(G37,Rules!$E:$E,0)),"")</f>
        <v>Materiale e struttura</v>
      </c>
      <c r="K37" s="113" t="s">
        <v>482</v>
      </c>
      <c r="L37" s="113" t="s">
        <v>483</v>
      </c>
      <c r="M37" s="114"/>
      <c r="N37" s="114"/>
      <c r="O37" s="94" t="s">
        <v>484</v>
      </c>
      <c r="P37" s="113" t="s">
        <v>485</v>
      </c>
      <c r="Q37" s="95"/>
      <c r="R37" s="95"/>
      <c r="S37" s="94" t="s">
        <v>346</v>
      </c>
      <c r="T37" s="94" t="s">
        <v>347</v>
      </c>
      <c r="U37" s="94" t="s">
        <v>486</v>
      </c>
      <c r="V37" s="121"/>
      <c r="W37" s="123" t="s">
        <v>487</v>
      </c>
      <c r="X37" s="94" t="s">
        <v>475</v>
      </c>
      <c r="Y37" s="94"/>
      <c r="Z37" s="121"/>
      <c r="AA37" s="90" t="s">
        <v>684</v>
      </c>
      <c r="AB37" s="90" t="s">
        <v>968</v>
      </c>
      <c r="AC37" s="90" t="s">
        <v>50</v>
      </c>
      <c r="AE37" s="125"/>
      <c r="AF37" s="90"/>
      <c r="AG37" s="90"/>
      <c r="AH37" s="90"/>
      <c r="AI37" s="90"/>
      <c r="AJ37" s="90"/>
      <c r="AK37" s="90"/>
      <c r="AL37" s="90"/>
      <c r="AM37" s="90"/>
      <c r="AN37" s="90"/>
      <c r="AO37" s="90"/>
      <c r="AP37" s="90"/>
      <c r="AQ37" s="90"/>
      <c r="AR37" s="90"/>
      <c r="AS37" s="90"/>
      <c r="AT37" s="90"/>
      <c r="AU37" s="90"/>
      <c r="AV37" s="90"/>
      <c r="AW37" s="90"/>
      <c r="AX37" s="90"/>
      <c r="AY37" s="90"/>
      <c r="AZ37" s="90"/>
      <c r="BA37" s="90"/>
    </row>
    <row r="38" spans="1:53" s="122" customFormat="1" ht="63.75" x14ac:dyDescent="0.25">
      <c r="A38" s="121"/>
      <c r="C38" s="121"/>
      <c r="D38" s="123" t="s">
        <v>493</v>
      </c>
      <c r="E38" s="89"/>
      <c r="F38" s="94" t="s">
        <v>905</v>
      </c>
      <c r="G38" s="94" t="s">
        <v>765</v>
      </c>
      <c r="H38" s="124" t="str">
        <f>IFERROR(INDEX(Rules!$F:$F,MATCH(G38,Rules!$E:$E,0)),"")</f>
        <v>Thermische Kennwerte</v>
      </c>
      <c r="I38" s="124" t="str">
        <f>IFERROR(INDEX(Rules!$G:$G,MATCH(G38,Rules!$E:$E,0)),"")</f>
        <v>Caractéristiques thermiques</v>
      </c>
      <c r="J38" s="124" t="str">
        <f>IFERROR(INDEX(Rules!$H:$H,MATCH(G38,Rules!$E:$E,0)),"")</f>
        <v>Caratteristiche termiche</v>
      </c>
      <c r="K38" s="113" t="s">
        <v>488</v>
      </c>
      <c r="L38" s="113" t="s">
        <v>489</v>
      </c>
      <c r="M38" s="114"/>
      <c r="N38" s="114"/>
      <c r="O38" s="94" t="s">
        <v>490</v>
      </c>
      <c r="P38" s="113" t="s">
        <v>491</v>
      </c>
      <c r="Q38" s="95"/>
      <c r="R38" s="95"/>
      <c r="S38" s="94" t="s">
        <v>410</v>
      </c>
      <c r="T38" s="94" t="s">
        <v>411</v>
      </c>
      <c r="U38" s="94" t="s">
        <v>492</v>
      </c>
      <c r="V38" s="121"/>
      <c r="W38" s="123" t="s">
        <v>493</v>
      </c>
      <c r="X38" s="94" t="s">
        <v>494</v>
      </c>
      <c r="Y38" s="94"/>
      <c r="Z38" s="121"/>
      <c r="AA38" s="90" t="s">
        <v>684</v>
      </c>
      <c r="AB38" s="90" t="s">
        <v>968</v>
      </c>
      <c r="AC38" s="90" t="s">
        <v>50</v>
      </c>
      <c r="AE38" s="125"/>
      <c r="AF38" s="90"/>
      <c r="AG38" s="90"/>
      <c r="AH38" s="90"/>
      <c r="AI38" s="90"/>
      <c r="AJ38" s="90"/>
      <c r="AK38" s="90"/>
      <c r="AL38" s="90"/>
      <c r="AM38" s="90"/>
      <c r="AN38" s="90"/>
      <c r="AO38" s="90"/>
      <c r="AP38" s="90"/>
      <c r="AQ38" s="90"/>
      <c r="AR38" s="90"/>
      <c r="AS38" s="90"/>
      <c r="AT38" s="90"/>
      <c r="AU38" s="90"/>
      <c r="AV38" s="90"/>
      <c r="AW38" s="90"/>
      <c r="AX38" s="90"/>
      <c r="AY38" s="90"/>
      <c r="AZ38" s="90"/>
      <c r="BA38" s="90"/>
    </row>
    <row r="39" spans="1:53" s="122" customFormat="1" ht="102" x14ac:dyDescent="0.25">
      <c r="A39" s="121"/>
      <c r="C39" s="121"/>
      <c r="D39" s="123" t="s">
        <v>501</v>
      </c>
      <c r="E39" s="89"/>
      <c r="F39" s="94" t="s">
        <v>906</v>
      </c>
      <c r="G39" s="94" t="s">
        <v>760</v>
      </c>
      <c r="H39" s="124" t="str">
        <f>IFERROR(INDEX(Rules!$F:$F,MATCH(G39,Rules!$E:$E,0)),"")</f>
        <v>Hydraulische / strömungstechnische Kennwerte</v>
      </c>
      <c r="I39" s="124" t="str">
        <f>IFERROR(INDEX(Rules!$G:$G,MATCH(G39,Rules!$E:$E,0)),"")</f>
        <v>Caractéristiques hydrauliques / d’écoulement</v>
      </c>
      <c r="J39" s="124" t="str">
        <f>IFERROR(INDEX(Rules!$H:$H,MATCH(G39,Rules!$E:$E,0)),"")</f>
        <v>Caratteristiche idrauliche / di flusso</v>
      </c>
      <c r="K39" s="113" t="s">
        <v>495</v>
      </c>
      <c r="L39" s="113" t="s">
        <v>496</v>
      </c>
      <c r="M39" s="114"/>
      <c r="N39" s="114"/>
      <c r="O39" s="94" t="s">
        <v>497</v>
      </c>
      <c r="P39" s="113" t="s">
        <v>498</v>
      </c>
      <c r="Q39" s="95"/>
      <c r="R39" s="95"/>
      <c r="S39" s="94" t="s">
        <v>401</v>
      </c>
      <c r="T39" s="94" t="s">
        <v>499</v>
      </c>
      <c r="U39" s="94" t="s">
        <v>500</v>
      </c>
      <c r="V39" s="121"/>
      <c r="W39" s="123" t="s">
        <v>501</v>
      </c>
      <c r="X39" s="94" t="s">
        <v>494</v>
      </c>
      <c r="Y39" s="94"/>
      <c r="Z39" s="121"/>
      <c r="AA39" s="90" t="s">
        <v>684</v>
      </c>
      <c r="AB39" s="90" t="s">
        <v>968</v>
      </c>
      <c r="AC39" s="90" t="s">
        <v>50</v>
      </c>
      <c r="AE39" s="125"/>
      <c r="AF39" s="90"/>
      <c r="AG39" s="90"/>
      <c r="AH39" s="90"/>
      <c r="AI39" s="90"/>
      <c r="AJ39" s="90"/>
      <c r="AK39" s="90"/>
      <c r="AL39" s="90"/>
      <c r="AM39" s="90"/>
      <c r="AN39" s="90"/>
      <c r="AO39" s="90"/>
      <c r="AP39" s="90"/>
      <c r="AQ39" s="90"/>
      <c r="AR39" s="90"/>
      <c r="AS39" s="90"/>
      <c r="AT39" s="90"/>
      <c r="AU39" s="90"/>
      <c r="AV39" s="90"/>
      <c r="AW39" s="90"/>
      <c r="AX39" s="90"/>
      <c r="AY39" s="90"/>
      <c r="AZ39" s="90"/>
      <c r="BA39" s="90"/>
    </row>
    <row r="40" spans="1:53" s="122" customFormat="1" ht="114.75" x14ac:dyDescent="0.25">
      <c r="A40" s="121"/>
      <c r="C40" s="121"/>
      <c r="D40" s="123" t="s">
        <v>507</v>
      </c>
      <c r="E40" s="89"/>
      <c r="F40" s="94" t="s">
        <v>907</v>
      </c>
      <c r="G40" s="94" t="s">
        <v>755</v>
      </c>
      <c r="H40" s="124" t="str">
        <f>IFERROR(INDEX(Rules!$F:$F,MATCH(G40,Rules!$E:$E,0)),"")</f>
        <v>Leistungs- und Funktionskennwerte</v>
      </c>
      <c r="I40" s="124" t="str">
        <f>IFERROR(INDEX(Rules!$G:$G,MATCH(G40,Rules!$E:$E,0)),"")</f>
        <v>Caractéristiques de performance et de fonctionnement</v>
      </c>
      <c r="J40" s="124" t="str">
        <f>IFERROR(INDEX(Rules!$H:$H,MATCH(G40,Rules!$E:$E,0)),"")</f>
        <v>Caratteristiche prestazionali e funzionali</v>
      </c>
      <c r="K40" s="113" t="s">
        <v>502</v>
      </c>
      <c r="L40" s="113" t="s">
        <v>503</v>
      </c>
      <c r="M40" s="114"/>
      <c r="N40" s="114"/>
      <c r="O40" s="94" t="s">
        <v>504</v>
      </c>
      <c r="P40" s="113" t="s">
        <v>505</v>
      </c>
      <c r="Q40" s="95"/>
      <c r="R40" s="95"/>
      <c r="S40" s="94" t="s">
        <v>410</v>
      </c>
      <c r="T40" s="94" t="s">
        <v>411</v>
      </c>
      <c r="U40" s="94" t="s">
        <v>506</v>
      </c>
      <c r="V40" s="121"/>
      <c r="W40" s="123" t="s">
        <v>507</v>
      </c>
      <c r="X40" s="94" t="s">
        <v>494</v>
      </c>
      <c r="Y40" s="94"/>
      <c r="Z40" s="121"/>
      <c r="AA40" s="90" t="s">
        <v>684</v>
      </c>
      <c r="AB40" s="90" t="s">
        <v>968</v>
      </c>
      <c r="AC40" s="90" t="s">
        <v>50</v>
      </c>
      <c r="AE40" s="125"/>
      <c r="AF40" s="90"/>
      <c r="AG40" s="90"/>
      <c r="AH40" s="90"/>
      <c r="AI40" s="90"/>
      <c r="AJ40" s="90"/>
      <c r="AK40" s="90"/>
      <c r="AL40" s="90"/>
      <c r="AM40" s="90"/>
      <c r="AN40" s="90"/>
      <c r="AO40" s="90"/>
      <c r="AP40" s="90"/>
      <c r="AQ40" s="90"/>
      <c r="AR40" s="90"/>
      <c r="AS40" s="90"/>
      <c r="AT40" s="90"/>
      <c r="AU40" s="90"/>
      <c r="AV40" s="90"/>
      <c r="AW40" s="90"/>
      <c r="AX40" s="90"/>
      <c r="AY40" s="90"/>
      <c r="AZ40" s="90"/>
      <c r="BA40" s="90"/>
    </row>
    <row r="41" spans="1:53" s="122" customFormat="1" ht="102" x14ac:dyDescent="0.25">
      <c r="A41" s="121"/>
      <c r="C41" s="121"/>
      <c r="D41" s="123" t="s">
        <v>513</v>
      </c>
      <c r="E41" s="89"/>
      <c r="F41" s="94" t="s">
        <v>908</v>
      </c>
      <c r="G41" s="94" t="s">
        <v>760</v>
      </c>
      <c r="H41" s="124" t="str">
        <f>IFERROR(INDEX(Rules!$F:$F,MATCH(G41,Rules!$E:$E,0)),"")</f>
        <v>Hydraulische / strömungstechnische Kennwerte</v>
      </c>
      <c r="I41" s="124" t="str">
        <f>IFERROR(INDEX(Rules!$G:$G,MATCH(G41,Rules!$E:$E,0)),"")</f>
        <v>Caractéristiques hydrauliques / d’écoulement</v>
      </c>
      <c r="J41" s="124" t="str">
        <f>IFERROR(INDEX(Rules!$H:$H,MATCH(G41,Rules!$E:$E,0)),"")</f>
        <v>Caratteristiche idrauliche / di flusso</v>
      </c>
      <c r="K41" s="113" t="s">
        <v>508</v>
      </c>
      <c r="L41" s="113" t="s">
        <v>509</v>
      </c>
      <c r="M41" s="114"/>
      <c r="N41" s="114"/>
      <c r="O41" s="94" t="s">
        <v>510</v>
      </c>
      <c r="P41" s="113" t="s">
        <v>511</v>
      </c>
      <c r="Q41" s="95"/>
      <c r="R41" s="95"/>
      <c r="S41" s="94" t="s">
        <v>401</v>
      </c>
      <c r="T41" s="94" t="s">
        <v>499</v>
      </c>
      <c r="U41" s="94" t="s">
        <v>512</v>
      </c>
      <c r="V41" s="121"/>
      <c r="W41" s="123" t="s">
        <v>513</v>
      </c>
      <c r="X41" s="94" t="s">
        <v>494</v>
      </c>
      <c r="Y41" s="94"/>
      <c r="Z41" s="121"/>
      <c r="AA41" s="90" t="s">
        <v>684</v>
      </c>
      <c r="AB41" s="90" t="s">
        <v>968</v>
      </c>
      <c r="AC41" s="90" t="s">
        <v>50</v>
      </c>
      <c r="AE41" s="125"/>
      <c r="AF41" s="90"/>
      <c r="AG41" s="90"/>
      <c r="AH41" s="90"/>
      <c r="AI41" s="90"/>
      <c r="AJ41" s="90"/>
      <c r="AK41" s="90"/>
      <c r="AL41" s="90"/>
      <c r="AM41" s="90"/>
      <c r="AN41" s="90"/>
      <c r="AO41" s="90"/>
      <c r="AP41" s="90"/>
      <c r="AQ41" s="90"/>
      <c r="AR41" s="90"/>
      <c r="AS41" s="90"/>
      <c r="AT41" s="90"/>
      <c r="AU41" s="90"/>
      <c r="AV41" s="90"/>
      <c r="AW41" s="90"/>
      <c r="AX41" s="90"/>
      <c r="AY41" s="90"/>
      <c r="AZ41" s="90"/>
      <c r="BA41" s="90"/>
    </row>
    <row r="42" spans="1:53" s="122" customFormat="1" ht="63.75" x14ac:dyDescent="0.25">
      <c r="A42" s="121"/>
      <c r="C42" s="121"/>
      <c r="D42" s="123" t="s">
        <v>519</v>
      </c>
      <c r="E42" s="89"/>
      <c r="F42" s="94" t="s">
        <v>909</v>
      </c>
      <c r="G42" s="94" t="s">
        <v>765</v>
      </c>
      <c r="H42" s="124" t="str">
        <f>IFERROR(INDEX(Rules!$F:$F,MATCH(G42,Rules!$E:$E,0)),"")</f>
        <v>Thermische Kennwerte</v>
      </c>
      <c r="I42" s="124" t="str">
        <f>IFERROR(INDEX(Rules!$G:$G,MATCH(G42,Rules!$E:$E,0)),"")</f>
        <v>Caractéristiques thermiques</v>
      </c>
      <c r="J42" s="124" t="str">
        <f>IFERROR(INDEX(Rules!$H:$H,MATCH(G42,Rules!$E:$E,0)),"")</f>
        <v>Caratteristiche termiche</v>
      </c>
      <c r="K42" s="113" t="s">
        <v>514</v>
      </c>
      <c r="L42" s="113" t="s">
        <v>515</v>
      </c>
      <c r="M42" s="114"/>
      <c r="N42" s="114"/>
      <c r="O42" s="94" t="s">
        <v>516</v>
      </c>
      <c r="P42" s="113" t="s">
        <v>517</v>
      </c>
      <c r="Q42" s="95"/>
      <c r="R42" s="95"/>
      <c r="S42" s="94" t="s">
        <v>410</v>
      </c>
      <c r="T42" s="94" t="s">
        <v>411</v>
      </c>
      <c r="U42" s="94" t="s">
        <v>518</v>
      </c>
      <c r="V42" s="121"/>
      <c r="W42" s="123" t="s">
        <v>519</v>
      </c>
      <c r="X42" s="94" t="s">
        <v>494</v>
      </c>
      <c r="Y42" s="94"/>
      <c r="Z42" s="121"/>
      <c r="AA42" s="90" t="s">
        <v>684</v>
      </c>
      <c r="AB42" s="90" t="s">
        <v>968</v>
      </c>
      <c r="AC42" s="90" t="s">
        <v>50</v>
      </c>
      <c r="AE42" s="125"/>
      <c r="AF42" s="90"/>
      <c r="AG42" s="90"/>
      <c r="AH42" s="90"/>
      <c r="AI42" s="90"/>
      <c r="AJ42" s="90"/>
      <c r="AK42" s="90"/>
      <c r="AL42" s="90"/>
      <c r="AM42" s="90"/>
      <c r="AN42" s="90"/>
      <c r="AO42" s="90"/>
      <c r="AP42" s="90"/>
      <c r="AQ42" s="90"/>
      <c r="AR42" s="90"/>
      <c r="AS42" s="90"/>
      <c r="AT42" s="90"/>
      <c r="AU42" s="90"/>
      <c r="AV42" s="90"/>
      <c r="AW42" s="90"/>
      <c r="AX42" s="90"/>
      <c r="AY42" s="90"/>
      <c r="AZ42" s="90"/>
      <c r="BA42" s="90"/>
    </row>
    <row r="43" spans="1:53" s="122" customFormat="1" ht="63.75" x14ac:dyDescent="0.25">
      <c r="A43" s="121"/>
      <c r="C43" s="121"/>
      <c r="D43" s="123" t="s">
        <v>526</v>
      </c>
      <c r="E43" s="89"/>
      <c r="F43" s="94" t="s">
        <v>910</v>
      </c>
      <c r="G43" s="94" t="s">
        <v>765</v>
      </c>
      <c r="H43" s="124" t="str">
        <f>IFERROR(INDEX(Rules!$F:$F,MATCH(G43,Rules!$E:$E,0)),"")</f>
        <v>Thermische Kennwerte</v>
      </c>
      <c r="I43" s="124" t="str">
        <f>IFERROR(INDEX(Rules!$G:$G,MATCH(G43,Rules!$E:$E,0)),"")</f>
        <v>Caractéristiques thermiques</v>
      </c>
      <c r="J43" s="124" t="str">
        <f>IFERROR(INDEX(Rules!$H:$H,MATCH(G43,Rules!$E:$E,0)),"")</f>
        <v>Caratteristiche termiche</v>
      </c>
      <c r="K43" s="113" t="s">
        <v>520</v>
      </c>
      <c r="L43" s="113" t="s">
        <v>521</v>
      </c>
      <c r="M43" s="114"/>
      <c r="N43" s="114"/>
      <c r="O43" s="94" t="s">
        <v>522</v>
      </c>
      <c r="P43" s="113" t="s">
        <v>523</v>
      </c>
      <c r="Q43" s="95"/>
      <c r="R43" s="95"/>
      <c r="S43" s="94" t="s">
        <v>401</v>
      </c>
      <c r="T43" s="94" t="s">
        <v>524</v>
      </c>
      <c r="U43" s="94" t="s">
        <v>525</v>
      </c>
      <c r="V43" s="121"/>
      <c r="W43" s="123" t="s">
        <v>526</v>
      </c>
      <c r="X43" s="94" t="s">
        <v>494</v>
      </c>
      <c r="Y43" s="94"/>
      <c r="Z43" s="121"/>
      <c r="AA43" s="90" t="s">
        <v>684</v>
      </c>
      <c r="AB43" s="90" t="s">
        <v>968</v>
      </c>
      <c r="AC43" s="90" t="s">
        <v>50</v>
      </c>
      <c r="AE43" s="125"/>
      <c r="AF43" s="90"/>
      <c r="AG43" s="90"/>
      <c r="AH43" s="90"/>
      <c r="AI43" s="90"/>
      <c r="AJ43" s="90"/>
      <c r="AK43" s="90"/>
      <c r="AL43" s="90"/>
      <c r="AM43" s="90"/>
      <c r="AN43" s="90"/>
      <c r="AO43" s="90"/>
      <c r="AP43" s="90"/>
      <c r="AQ43" s="90"/>
      <c r="AR43" s="90"/>
      <c r="AS43" s="90"/>
      <c r="AT43" s="90"/>
      <c r="AU43" s="90"/>
      <c r="AV43" s="90"/>
      <c r="AW43" s="90"/>
      <c r="AX43" s="90"/>
      <c r="AY43" s="90"/>
      <c r="AZ43" s="90"/>
      <c r="BA43" s="90"/>
    </row>
    <row r="44" spans="1:53" s="122" customFormat="1" ht="102" x14ac:dyDescent="0.25">
      <c r="A44" s="121"/>
      <c r="C44" s="121"/>
      <c r="D44" s="123" t="s">
        <v>533</v>
      </c>
      <c r="E44" s="89"/>
      <c r="F44" s="94" t="s">
        <v>911</v>
      </c>
      <c r="G44" s="94" t="s">
        <v>765</v>
      </c>
      <c r="H44" s="124" t="str">
        <f>IFERROR(INDEX(Rules!$F:$F,MATCH(G44,Rules!$E:$E,0)),"")</f>
        <v>Thermische Kennwerte</v>
      </c>
      <c r="I44" s="124" t="str">
        <f>IFERROR(INDEX(Rules!$G:$G,MATCH(G44,Rules!$E:$E,0)),"")</f>
        <v>Caractéristiques thermiques</v>
      </c>
      <c r="J44" s="124" t="str">
        <f>IFERROR(INDEX(Rules!$H:$H,MATCH(G44,Rules!$E:$E,0)),"")</f>
        <v>Caratteristiche termiche</v>
      </c>
      <c r="K44" s="113" t="s">
        <v>527</v>
      </c>
      <c r="L44" s="113" t="s">
        <v>528</v>
      </c>
      <c r="M44" s="114"/>
      <c r="N44" s="114"/>
      <c r="O44" s="94" t="s">
        <v>529</v>
      </c>
      <c r="P44" s="113" t="s">
        <v>530</v>
      </c>
      <c r="Q44" s="95"/>
      <c r="R44" s="95"/>
      <c r="S44" s="94" t="s">
        <v>401</v>
      </c>
      <c r="T44" s="94" t="s">
        <v>531</v>
      </c>
      <c r="U44" s="94" t="s">
        <v>532</v>
      </c>
      <c r="V44" s="121"/>
      <c r="W44" s="123" t="s">
        <v>533</v>
      </c>
      <c r="X44" s="94" t="s">
        <v>494</v>
      </c>
      <c r="Y44" s="94"/>
      <c r="Z44" s="121"/>
      <c r="AA44" s="90" t="s">
        <v>684</v>
      </c>
      <c r="AB44" s="90" t="s">
        <v>968</v>
      </c>
      <c r="AC44" s="90" t="s">
        <v>50</v>
      </c>
      <c r="AE44" s="125"/>
      <c r="AF44" s="90"/>
      <c r="AG44" s="90"/>
      <c r="AH44" s="90"/>
      <c r="AI44" s="90"/>
      <c r="AJ44" s="90"/>
      <c r="AK44" s="90"/>
      <c r="AL44" s="90"/>
      <c r="AM44" s="90"/>
      <c r="AN44" s="90"/>
      <c r="AO44" s="90"/>
      <c r="AP44" s="90"/>
      <c r="AQ44" s="90"/>
      <c r="AR44" s="90"/>
      <c r="AS44" s="90"/>
      <c r="AT44" s="90"/>
      <c r="AU44" s="90"/>
      <c r="AV44" s="90"/>
      <c r="AW44" s="90"/>
      <c r="AX44" s="90"/>
      <c r="AY44" s="90"/>
      <c r="AZ44" s="90"/>
      <c r="BA44" s="90"/>
    </row>
    <row r="45" spans="1:53" s="122" customFormat="1" ht="89.25" x14ac:dyDescent="0.25">
      <c r="A45" s="121"/>
      <c r="C45" s="121"/>
      <c r="D45" s="123" t="s">
        <v>539</v>
      </c>
      <c r="E45" s="89"/>
      <c r="F45" s="94" t="s">
        <v>912</v>
      </c>
      <c r="G45" s="94" t="s">
        <v>784</v>
      </c>
      <c r="H45" s="124" t="str">
        <f>IFERROR(INDEX(Rules!$F:$F,MATCH(G45,Rules!$E:$E,0)),"")</f>
        <v>Sicherheits- und Schutzmerkmale</v>
      </c>
      <c r="I45" s="124" t="str">
        <f>IFERROR(INDEX(Rules!$G:$G,MATCH(G45,Rules!$E:$E,0)),"")</f>
        <v>Caractéristiques de sécurité et de protection</v>
      </c>
      <c r="J45" s="124" t="str">
        <f>IFERROR(INDEX(Rules!$H:$H,MATCH(G45,Rules!$E:$E,0)),"")</f>
        <v>Caratteristiche di sicurezza e protezione</v>
      </c>
      <c r="K45" s="113" t="s">
        <v>534</v>
      </c>
      <c r="L45" s="113" t="s">
        <v>535</v>
      </c>
      <c r="M45" s="114"/>
      <c r="N45" s="114"/>
      <c r="O45" s="94" t="s">
        <v>536</v>
      </c>
      <c r="P45" s="113" t="s">
        <v>537</v>
      </c>
      <c r="Q45" s="95"/>
      <c r="R45" s="95"/>
      <c r="S45" s="94" t="s">
        <v>410</v>
      </c>
      <c r="T45" s="94" t="s">
        <v>411</v>
      </c>
      <c r="U45" s="94" t="s">
        <v>538</v>
      </c>
      <c r="V45" s="121"/>
      <c r="W45" s="123" t="s">
        <v>539</v>
      </c>
      <c r="X45" s="94" t="s">
        <v>540</v>
      </c>
      <c r="Y45" s="94"/>
      <c r="Z45" s="121"/>
      <c r="AA45" s="90" t="s">
        <v>684</v>
      </c>
      <c r="AB45" s="90" t="s">
        <v>968</v>
      </c>
      <c r="AC45" s="90" t="s">
        <v>50</v>
      </c>
      <c r="AE45" s="125"/>
      <c r="AF45" s="90"/>
      <c r="AG45" s="90"/>
      <c r="AH45" s="90"/>
      <c r="AI45" s="90"/>
      <c r="AJ45" s="90"/>
      <c r="AK45" s="90"/>
      <c r="AL45" s="90"/>
      <c r="AM45" s="90"/>
      <c r="AN45" s="90"/>
      <c r="AO45" s="90"/>
      <c r="AP45" s="90"/>
      <c r="AQ45" s="90"/>
      <c r="AR45" s="90"/>
      <c r="AS45" s="90"/>
      <c r="AT45" s="90"/>
      <c r="AU45" s="90"/>
      <c r="AV45" s="90"/>
      <c r="AW45" s="90"/>
      <c r="AX45" s="90"/>
      <c r="AY45" s="90"/>
      <c r="AZ45" s="90"/>
      <c r="BA45" s="90"/>
    </row>
    <row r="46" spans="1:53" s="122" customFormat="1" ht="63.75" x14ac:dyDescent="0.25">
      <c r="A46" s="121"/>
      <c r="C46" s="121"/>
      <c r="D46" s="123" t="s">
        <v>546</v>
      </c>
      <c r="E46" s="89"/>
      <c r="F46" s="94" t="s">
        <v>913</v>
      </c>
      <c r="G46" s="94" t="s">
        <v>712</v>
      </c>
      <c r="H46" s="124" t="str">
        <f>IFERROR(INDEX(Rules!$F:$F,MATCH(G46,Rules!$E:$E,0)),"")</f>
        <v>Geometrische Eigenschaften</v>
      </c>
      <c r="I46" s="124" t="str">
        <f>IFERROR(INDEX(Rules!$G:$G,MATCH(G46,Rules!$E:$E,0)),"")</f>
        <v>Caractéristiques géométriques</v>
      </c>
      <c r="J46" s="124" t="str">
        <f>IFERROR(INDEX(Rules!$H:$H,MATCH(G46,Rules!$E:$E,0)),"")</f>
        <v>Caratteristiche geometriche</v>
      </c>
      <c r="K46" s="113" t="s">
        <v>541</v>
      </c>
      <c r="L46" s="113" t="s">
        <v>542</v>
      </c>
      <c r="M46" s="114"/>
      <c r="N46" s="114"/>
      <c r="O46" s="94" t="s">
        <v>543</v>
      </c>
      <c r="P46" s="113" t="s">
        <v>544</v>
      </c>
      <c r="Q46" s="95"/>
      <c r="R46" s="95"/>
      <c r="S46" s="94" t="s">
        <v>401</v>
      </c>
      <c r="T46" s="94" t="s">
        <v>545</v>
      </c>
      <c r="U46" s="94" t="s">
        <v>295</v>
      </c>
      <c r="V46" s="121"/>
      <c r="W46" s="123" t="s">
        <v>546</v>
      </c>
      <c r="X46" s="94" t="s">
        <v>547</v>
      </c>
      <c r="Y46" s="94"/>
      <c r="Z46" s="121"/>
      <c r="AA46" s="90" t="s">
        <v>684</v>
      </c>
      <c r="AB46" s="90" t="s">
        <v>968</v>
      </c>
      <c r="AC46" s="90" t="s">
        <v>50</v>
      </c>
      <c r="AE46" s="125"/>
      <c r="AF46" s="90"/>
      <c r="AG46" s="90"/>
      <c r="AH46" s="90"/>
      <c r="AI46" s="90"/>
      <c r="AJ46" s="90"/>
      <c r="AK46" s="90"/>
      <c r="AL46" s="90"/>
      <c r="AM46" s="90"/>
      <c r="AN46" s="90"/>
      <c r="AO46" s="90"/>
      <c r="AP46" s="90"/>
      <c r="AQ46" s="90"/>
      <c r="AR46" s="90"/>
      <c r="AS46" s="90"/>
      <c r="AT46" s="90"/>
      <c r="AU46" s="90"/>
      <c r="AV46" s="90"/>
      <c r="AW46" s="90"/>
      <c r="AX46" s="90"/>
      <c r="AY46" s="90"/>
      <c r="AZ46" s="90"/>
      <c r="BA46" s="90"/>
    </row>
    <row r="47" spans="1:53" s="122" customFormat="1" ht="63.75" x14ac:dyDescent="0.25">
      <c r="A47" s="121"/>
      <c r="C47" s="121"/>
      <c r="D47" s="123" t="s">
        <v>554</v>
      </c>
      <c r="E47" s="89"/>
      <c r="F47" s="94" t="s">
        <v>914</v>
      </c>
      <c r="G47" s="94" t="s">
        <v>712</v>
      </c>
      <c r="H47" s="124" t="str">
        <f>IFERROR(INDEX(Rules!$F:$F,MATCH(G47,Rules!$E:$E,0)),"")</f>
        <v>Geometrische Eigenschaften</v>
      </c>
      <c r="I47" s="124" t="str">
        <f>IFERROR(INDEX(Rules!$G:$G,MATCH(G47,Rules!$E:$E,0)),"")</f>
        <v>Caractéristiques géométriques</v>
      </c>
      <c r="J47" s="124" t="str">
        <f>IFERROR(INDEX(Rules!$H:$H,MATCH(G47,Rules!$E:$E,0)),"")</f>
        <v>Caratteristiche geometriche</v>
      </c>
      <c r="K47" s="113" t="s">
        <v>548</v>
      </c>
      <c r="L47" s="113" t="s">
        <v>549</v>
      </c>
      <c r="M47" s="114"/>
      <c r="N47" s="114"/>
      <c r="O47" s="94" t="s">
        <v>550</v>
      </c>
      <c r="P47" s="113" t="s">
        <v>551</v>
      </c>
      <c r="Q47" s="95"/>
      <c r="R47" s="95"/>
      <c r="S47" s="94" t="s">
        <v>401</v>
      </c>
      <c r="T47" s="94" t="s">
        <v>552</v>
      </c>
      <c r="U47" s="94" t="s">
        <v>553</v>
      </c>
      <c r="V47" s="121"/>
      <c r="W47" s="123" t="s">
        <v>554</v>
      </c>
      <c r="X47" s="94" t="s">
        <v>547</v>
      </c>
      <c r="Y47" s="94"/>
      <c r="Z47" s="121"/>
      <c r="AA47" s="90" t="s">
        <v>684</v>
      </c>
      <c r="AB47" s="90" t="s">
        <v>968</v>
      </c>
      <c r="AC47" s="90" t="s">
        <v>50</v>
      </c>
      <c r="AE47" s="125"/>
      <c r="AF47" s="90"/>
      <c r="AG47" s="90"/>
      <c r="AH47" s="90"/>
      <c r="AI47" s="90"/>
      <c r="AJ47" s="90"/>
      <c r="AK47" s="90"/>
      <c r="AL47" s="90"/>
      <c r="AM47" s="90"/>
      <c r="AN47" s="90"/>
      <c r="AO47" s="90"/>
      <c r="AP47" s="90"/>
      <c r="AQ47" s="90"/>
      <c r="AR47" s="90"/>
      <c r="AS47" s="90"/>
      <c r="AT47" s="90"/>
      <c r="AU47" s="90"/>
      <c r="AV47" s="90"/>
      <c r="AW47" s="90"/>
      <c r="AX47" s="90"/>
      <c r="AY47" s="90"/>
      <c r="AZ47" s="90"/>
      <c r="BA47" s="90"/>
    </row>
    <row r="48" spans="1:53" s="122" customFormat="1" ht="63.75" x14ac:dyDescent="0.25">
      <c r="A48" s="121"/>
      <c r="C48" s="121"/>
      <c r="D48" s="123" t="s">
        <v>560</v>
      </c>
      <c r="E48" s="89"/>
      <c r="F48" s="94" t="s">
        <v>915</v>
      </c>
      <c r="G48" s="94" t="s">
        <v>712</v>
      </c>
      <c r="H48" s="124" t="str">
        <f>IFERROR(INDEX(Rules!$F:$F,MATCH(G48,Rules!$E:$E,0)),"")</f>
        <v>Geometrische Eigenschaften</v>
      </c>
      <c r="I48" s="124" t="str">
        <f>IFERROR(INDEX(Rules!$G:$G,MATCH(G48,Rules!$E:$E,0)),"")</f>
        <v>Caractéristiques géométriques</v>
      </c>
      <c r="J48" s="124" t="str">
        <f>IFERROR(INDEX(Rules!$H:$H,MATCH(G48,Rules!$E:$E,0)),"")</f>
        <v>Caratteristiche geometriche</v>
      </c>
      <c r="K48" s="113" t="s">
        <v>555</v>
      </c>
      <c r="L48" s="113" t="s">
        <v>556</v>
      </c>
      <c r="M48" s="114"/>
      <c r="N48" s="114"/>
      <c r="O48" s="94" t="s">
        <v>557</v>
      </c>
      <c r="P48" s="113" t="s">
        <v>558</v>
      </c>
      <c r="Q48" s="95"/>
      <c r="R48" s="95"/>
      <c r="S48" s="94" t="s">
        <v>401</v>
      </c>
      <c r="T48" s="94" t="s">
        <v>545</v>
      </c>
      <c r="U48" s="94" t="s">
        <v>559</v>
      </c>
      <c r="V48" s="121"/>
      <c r="W48" s="123" t="s">
        <v>560</v>
      </c>
      <c r="X48" s="94" t="s">
        <v>547</v>
      </c>
      <c r="Y48" s="94"/>
      <c r="Z48" s="121"/>
      <c r="AA48" s="90" t="s">
        <v>684</v>
      </c>
      <c r="AB48" s="90" t="s">
        <v>968</v>
      </c>
      <c r="AC48" s="90" t="s">
        <v>50</v>
      </c>
      <c r="AE48" s="125"/>
      <c r="AF48" s="90"/>
      <c r="AG48" s="90"/>
      <c r="AH48" s="90"/>
      <c r="AI48" s="90"/>
      <c r="AJ48" s="90"/>
      <c r="AK48" s="90"/>
      <c r="AL48" s="90"/>
      <c r="AM48" s="90"/>
      <c r="AN48" s="90"/>
      <c r="AO48" s="90"/>
      <c r="AP48" s="90"/>
      <c r="AQ48" s="90"/>
      <c r="AR48" s="90"/>
      <c r="AS48" s="90"/>
      <c r="AT48" s="90"/>
      <c r="AU48" s="90"/>
      <c r="AV48" s="90"/>
      <c r="AW48" s="90"/>
      <c r="AX48" s="90"/>
      <c r="AY48" s="90"/>
      <c r="AZ48" s="90"/>
      <c r="BA48" s="90"/>
    </row>
    <row r="49" spans="1:53" s="122" customFormat="1" ht="63.75" x14ac:dyDescent="0.25">
      <c r="A49" s="121"/>
      <c r="C49" s="121"/>
      <c r="D49" s="123" t="s">
        <v>566</v>
      </c>
      <c r="E49" s="89"/>
      <c r="F49" s="94" t="s">
        <v>916</v>
      </c>
      <c r="G49" s="94" t="s">
        <v>712</v>
      </c>
      <c r="H49" s="124" t="str">
        <f>IFERROR(INDEX(Rules!$F:$F,MATCH(G49,Rules!$E:$E,0)),"")</f>
        <v>Geometrische Eigenschaften</v>
      </c>
      <c r="I49" s="124" t="str">
        <f>IFERROR(INDEX(Rules!$G:$G,MATCH(G49,Rules!$E:$E,0)),"")</f>
        <v>Caractéristiques géométriques</v>
      </c>
      <c r="J49" s="124" t="str">
        <f>IFERROR(INDEX(Rules!$H:$H,MATCH(G49,Rules!$E:$E,0)),"")</f>
        <v>Caratteristiche geometriche</v>
      </c>
      <c r="K49" s="113" t="s">
        <v>561</v>
      </c>
      <c r="L49" s="113" t="s">
        <v>562</v>
      </c>
      <c r="M49" s="114"/>
      <c r="N49" s="114"/>
      <c r="O49" s="94" t="s">
        <v>563</v>
      </c>
      <c r="P49" s="113" t="s">
        <v>564</v>
      </c>
      <c r="Q49" s="95"/>
      <c r="R49" s="95"/>
      <c r="S49" s="94" t="s">
        <v>401</v>
      </c>
      <c r="T49" s="94" t="s">
        <v>552</v>
      </c>
      <c r="U49" s="94" t="s">
        <v>565</v>
      </c>
      <c r="V49" s="121"/>
      <c r="W49" s="123" t="s">
        <v>566</v>
      </c>
      <c r="X49" s="94" t="s">
        <v>547</v>
      </c>
      <c r="Y49" s="94"/>
      <c r="Z49" s="121"/>
      <c r="AA49" s="90" t="s">
        <v>684</v>
      </c>
      <c r="AB49" s="90" t="s">
        <v>968</v>
      </c>
      <c r="AC49" s="90" t="s">
        <v>50</v>
      </c>
      <c r="AE49" s="125"/>
      <c r="AF49" s="90"/>
      <c r="AG49" s="90"/>
      <c r="AH49" s="90"/>
      <c r="AI49" s="90"/>
      <c r="AJ49" s="90"/>
      <c r="AK49" s="90"/>
      <c r="AL49" s="90"/>
      <c r="AM49" s="90"/>
      <c r="AN49" s="90"/>
      <c r="AO49" s="90"/>
      <c r="AP49" s="90"/>
      <c r="AQ49" s="90"/>
      <c r="AR49" s="90"/>
      <c r="AS49" s="90"/>
      <c r="AT49" s="90"/>
      <c r="AU49" s="90"/>
      <c r="AV49" s="90"/>
      <c r="AW49" s="90"/>
      <c r="AX49" s="90"/>
      <c r="AY49" s="90"/>
      <c r="AZ49" s="90"/>
      <c r="BA49" s="90"/>
    </row>
    <row r="50" spans="1:53" s="122" customFormat="1" ht="76.5" x14ac:dyDescent="0.25">
      <c r="A50" s="121"/>
      <c r="C50" s="121"/>
      <c r="D50" s="123"/>
      <c r="E50" s="89"/>
      <c r="F50" s="94" t="s">
        <v>917</v>
      </c>
      <c r="G50" s="94" t="s">
        <v>712</v>
      </c>
      <c r="H50" s="124" t="str">
        <f>IFERROR(INDEX(Rules!$F:$F,MATCH(G50,Rules!$E:$E,0)),"")</f>
        <v>Geometrische Eigenschaften</v>
      </c>
      <c r="I50" s="124" t="str">
        <f>IFERROR(INDEX(Rules!$G:$G,MATCH(G50,Rules!$E:$E,0)),"")</f>
        <v>Caractéristiques géométriques</v>
      </c>
      <c r="J50" s="124" t="str">
        <f>IFERROR(INDEX(Rules!$H:$H,MATCH(G50,Rules!$E:$E,0)),"")</f>
        <v>Caratteristiche geometriche</v>
      </c>
      <c r="K50" s="113" t="s">
        <v>567</v>
      </c>
      <c r="L50" s="113" t="s">
        <v>568</v>
      </c>
      <c r="M50" s="114"/>
      <c r="N50" s="114"/>
      <c r="O50" s="94" t="s">
        <v>569</v>
      </c>
      <c r="P50" s="113" t="s">
        <v>570</v>
      </c>
      <c r="Q50" s="95"/>
      <c r="R50" s="95"/>
      <c r="S50" s="94" t="s">
        <v>401</v>
      </c>
      <c r="T50" s="94" t="s">
        <v>545</v>
      </c>
      <c r="U50" s="94" t="s">
        <v>571</v>
      </c>
      <c r="V50" s="121"/>
      <c r="W50" s="123"/>
      <c r="X50" s="94" t="s">
        <v>547</v>
      </c>
      <c r="Y50" s="94"/>
      <c r="Z50" s="121"/>
      <c r="AA50" s="90" t="s">
        <v>684</v>
      </c>
      <c r="AB50" s="90" t="s">
        <v>968</v>
      </c>
      <c r="AC50" s="90" t="s">
        <v>50</v>
      </c>
      <c r="AE50" s="125"/>
      <c r="AF50" s="90"/>
      <c r="AG50" s="90"/>
      <c r="AH50" s="90"/>
      <c r="AI50" s="90"/>
      <c r="AJ50" s="90"/>
      <c r="AK50" s="90"/>
      <c r="AL50" s="90"/>
      <c r="AM50" s="90"/>
      <c r="AN50" s="90"/>
      <c r="AO50" s="90"/>
      <c r="AP50" s="90"/>
      <c r="AQ50" s="90"/>
      <c r="AR50" s="90"/>
      <c r="AS50" s="90"/>
      <c r="AT50" s="90"/>
      <c r="AU50" s="90"/>
      <c r="AV50" s="90"/>
      <c r="AW50" s="90"/>
      <c r="AX50" s="90"/>
      <c r="AY50" s="90"/>
      <c r="AZ50" s="90"/>
      <c r="BA50" s="90"/>
    </row>
    <row r="51" spans="1:53" s="122" customFormat="1" ht="63.75" x14ac:dyDescent="0.25">
      <c r="A51" s="121"/>
      <c r="C51" s="121"/>
      <c r="D51" s="123" t="s">
        <v>576</v>
      </c>
      <c r="E51" s="89"/>
      <c r="F51" s="94" t="s">
        <v>918</v>
      </c>
      <c r="G51" s="94" t="s">
        <v>712</v>
      </c>
      <c r="H51" s="124" t="str">
        <f>IFERROR(INDEX(Rules!$F:$F,MATCH(G51,Rules!$E:$E,0)),"")</f>
        <v>Geometrische Eigenschaften</v>
      </c>
      <c r="I51" s="124" t="str">
        <f>IFERROR(INDEX(Rules!$G:$G,MATCH(G51,Rules!$E:$E,0)),"")</f>
        <v>Caractéristiques géométriques</v>
      </c>
      <c r="J51" s="124" t="str">
        <f>IFERROR(INDEX(Rules!$H:$H,MATCH(G51,Rules!$E:$E,0)),"")</f>
        <v>Caratteristiche geometriche</v>
      </c>
      <c r="K51" s="113" t="s">
        <v>572</v>
      </c>
      <c r="L51" s="113" t="s">
        <v>573</v>
      </c>
      <c r="M51" s="114"/>
      <c r="N51" s="114"/>
      <c r="O51" s="94" t="s">
        <v>574</v>
      </c>
      <c r="P51" s="113" t="s">
        <v>575</v>
      </c>
      <c r="Q51" s="95"/>
      <c r="R51" s="95"/>
      <c r="S51" s="94" t="s">
        <v>401</v>
      </c>
      <c r="T51" s="94" t="s">
        <v>453</v>
      </c>
      <c r="U51" s="94" t="s">
        <v>572</v>
      </c>
      <c r="V51" s="121"/>
      <c r="W51" s="123" t="s">
        <v>576</v>
      </c>
      <c r="X51" s="94" t="s">
        <v>547</v>
      </c>
      <c r="Y51" s="94"/>
      <c r="Z51" s="121"/>
      <c r="AA51" s="90" t="s">
        <v>684</v>
      </c>
      <c r="AB51" s="90" t="s">
        <v>968</v>
      </c>
      <c r="AC51" s="90" t="s">
        <v>50</v>
      </c>
      <c r="AE51" s="125"/>
      <c r="AF51" s="90"/>
      <c r="AG51" s="90"/>
      <c r="AH51" s="90"/>
      <c r="AI51" s="90"/>
      <c r="AJ51" s="90"/>
      <c r="AK51" s="90"/>
      <c r="AL51" s="90"/>
      <c r="AM51" s="90"/>
      <c r="AN51" s="90"/>
      <c r="AO51" s="90"/>
      <c r="AP51" s="90"/>
      <c r="AQ51" s="90"/>
      <c r="AR51" s="90"/>
      <c r="AS51" s="90"/>
      <c r="AT51" s="90"/>
      <c r="AU51" s="90"/>
      <c r="AV51" s="90"/>
      <c r="AW51" s="90"/>
      <c r="AX51" s="90"/>
      <c r="AY51" s="90"/>
      <c r="AZ51" s="90"/>
      <c r="BA51" s="90"/>
    </row>
    <row r="52" spans="1:53" s="122" customFormat="1" ht="76.5" x14ac:dyDescent="0.25">
      <c r="A52" s="121"/>
      <c r="C52" s="121"/>
      <c r="D52" s="123"/>
      <c r="E52" s="89"/>
      <c r="F52" s="94" t="s">
        <v>919</v>
      </c>
      <c r="G52" s="94" t="s">
        <v>690</v>
      </c>
      <c r="H52" s="124" t="str">
        <f>IFERROR(INDEX(Rules!$F:$F,MATCH(G52,Rules!$E:$E,0)),"")</f>
        <v>Identifikation und Klassifikation</v>
      </c>
      <c r="I52" s="124" t="str">
        <f>IFERROR(INDEX(Rules!$G:$G,MATCH(G52,Rules!$E:$E,0)),"")</f>
        <v>Identification et classification</v>
      </c>
      <c r="J52" s="124" t="str">
        <f>IFERROR(INDEX(Rules!$H:$H,MATCH(G52,Rules!$E:$E,0)),"")</f>
        <v>Identificazione e classificazione</v>
      </c>
      <c r="K52" s="113" t="s">
        <v>577</v>
      </c>
      <c r="L52" s="113" t="s">
        <v>578</v>
      </c>
      <c r="M52" s="114"/>
      <c r="N52" s="114"/>
      <c r="O52" s="94" t="s">
        <v>579</v>
      </c>
      <c r="P52" s="113" t="s">
        <v>580</v>
      </c>
      <c r="Q52" s="95"/>
      <c r="R52" s="95"/>
      <c r="S52" s="94" t="s">
        <v>410</v>
      </c>
      <c r="T52" s="94" t="s">
        <v>411</v>
      </c>
      <c r="U52" s="94"/>
      <c r="V52" s="121"/>
      <c r="W52" s="123"/>
      <c r="X52" s="94"/>
      <c r="Y52" s="94"/>
      <c r="Z52" s="121"/>
      <c r="AA52" s="90" t="s">
        <v>684</v>
      </c>
      <c r="AB52" s="90" t="s">
        <v>968</v>
      </c>
      <c r="AC52" s="90" t="s">
        <v>50</v>
      </c>
      <c r="AE52" s="125"/>
      <c r="AF52" s="90"/>
      <c r="AG52" s="90"/>
      <c r="AH52" s="90"/>
      <c r="AI52" s="90"/>
      <c r="AJ52" s="90"/>
      <c r="AK52" s="90"/>
      <c r="AL52" s="90"/>
      <c r="AM52" s="90"/>
      <c r="AN52" s="90"/>
      <c r="AO52" s="90"/>
      <c r="AP52" s="90"/>
      <c r="AQ52" s="90"/>
      <c r="AR52" s="90"/>
      <c r="AS52" s="90"/>
      <c r="AT52" s="90"/>
      <c r="AU52" s="90"/>
      <c r="AV52" s="90"/>
      <c r="AW52" s="90"/>
      <c r="AX52" s="90"/>
      <c r="AY52" s="90"/>
      <c r="AZ52" s="90"/>
      <c r="BA52" s="90"/>
    </row>
    <row r="53" spans="1:53" s="122" customFormat="1" ht="76.5" x14ac:dyDescent="0.25">
      <c r="A53" s="121"/>
      <c r="C53" s="121"/>
      <c r="D53" s="123"/>
      <c r="E53" s="89"/>
      <c r="F53" s="94" t="s">
        <v>920</v>
      </c>
      <c r="G53" s="94" t="s">
        <v>690</v>
      </c>
      <c r="H53" s="124" t="str">
        <f>IFERROR(INDEX(Rules!$F:$F,MATCH(G53,Rules!$E:$E,0)),"")</f>
        <v>Identifikation und Klassifikation</v>
      </c>
      <c r="I53" s="124" t="str">
        <f>IFERROR(INDEX(Rules!$G:$G,MATCH(G53,Rules!$E:$E,0)),"")</f>
        <v>Identification et classification</v>
      </c>
      <c r="J53" s="124" t="str">
        <f>IFERROR(INDEX(Rules!$H:$H,MATCH(G53,Rules!$E:$E,0)),"")</f>
        <v>Identificazione e classificazione</v>
      </c>
      <c r="K53" s="113" t="s">
        <v>581</v>
      </c>
      <c r="L53" s="113" t="s">
        <v>582</v>
      </c>
      <c r="M53" s="114"/>
      <c r="N53" s="114"/>
      <c r="O53" s="94" t="s">
        <v>583</v>
      </c>
      <c r="P53" s="113" t="s">
        <v>584</v>
      </c>
      <c r="Q53" s="95"/>
      <c r="R53" s="95"/>
      <c r="S53" s="94" t="s">
        <v>346</v>
      </c>
      <c r="T53" s="94" t="s">
        <v>347</v>
      </c>
      <c r="U53" s="94"/>
      <c r="V53" s="121"/>
      <c r="W53" s="123"/>
      <c r="X53" s="94"/>
      <c r="Y53" s="94"/>
      <c r="Z53" s="121"/>
      <c r="AA53" s="90" t="s">
        <v>684</v>
      </c>
      <c r="AB53" s="90" t="s">
        <v>968</v>
      </c>
      <c r="AC53" s="90" t="s">
        <v>50</v>
      </c>
      <c r="AE53" s="125"/>
      <c r="AF53" s="90"/>
      <c r="AG53" s="90"/>
      <c r="AH53" s="90"/>
      <c r="AI53" s="90"/>
      <c r="AJ53" s="90"/>
      <c r="AK53" s="90"/>
      <c r="AL53" s="90"/>
      <c r="AM53" s="90"/>
      <c r="AN53" s="90"/>
      <c r="AO53" s="90"/>
      <c r="AP53" s="90"/>
      <c r="AQ53" s="90"/>
      <c r="AR53" s="90"/>
      <c r="AS53" s="90"/>
      <c r="AT53" s="90"/>
      <c r="AU53" s="90"/>
      <c r="AV53" s="90"/>
      <c r="AW53" s="90"/>
      <c r="AX53" s="90"/>
      <c r="AY53" s="90"/>
      <c r="AZ53" s="90"/>
      <c r="BA53" s="90"/>
    </row>
    <row r="54" spans="1:53" ht="15" x14ac:dyDescent="0.25">
      <c r="K54" s="98"/>
      <c r="L54" s="127"/>
      <c r="M54" s="98"/>
      <c r="O54" s="98"/>
      <c r="Q54" s="127"/>
      <c r="R54" s="127"/>
      <c r="Y54" s="127"/>
    </row>
    <row r="55" spans="1:53" ht="15" x14ac:dyDescent="0.25">
      <c r="K55" s="98"/>
      <c r="L55" s="127"/>
      <c r="M55" s="98"/>
      <c r="O55" s="98"/>
      <c r="Q55" s="127"/>
      <c r="R55" s="127"/>
      <c r="Y55" s="127"/>
    </row>
    <row r="56" spans="1:53" ht="15" x14ac:dyDescent="0.25">
      <c r="K56" s="98"/>
      <c r="L56" s="127"/>
      <c r="M56" s="127"/>
      <c r="N56" s="127"/>
      <c r="O56" s="127"/>
      <c r="P56" s="127"/>
      <c r="Q56" s="127"/>
      <c r="R56" s="127"/>
    </row>
    <row r="57" spans="1:53" ht="15" x14ac:dyDescent="0.25">
      <c r="K57" s="98"/>
      <c r="L57" s="127"/>
      <c r="M57" s="127"/>
      <c r="N57" s="127"/>
      <c r="O57" s="127"/>
      <c r="P57" s="127"/>
      <c r="Q57" s="127"/>
      <c r="R57" s="127"/>
    </row>
    <row r="58" spans="1:53" ht="15" x14ac:dyDescent="0.25">
      <c r="K58" s="98"/>
      <c r="L58" s="127"/>
      <c r="M58" s="127"/>
      <c r="N58" s="127"/>
      <c r="O58" s="127"/>
      <c r="P58" s="127"/>
      <c r="Q58" s="127"/>
      <c r="R58" s="127"/>
    </row>
    <row r="59" spans="1:53" ht="15" x14ac:dyDescent="0.25">
      <c r="K59" s="98"/>
      <c r="L59" s="127"/>
      <c r="M59" s="127"/>
      <c r="N59" s="127"/>
      <c r="O59" s="127"/>
      <c r="P59" s="127"/>
      <c r="Q59" s="127"/>
      <c r="R59" s="127"/>
    </row>
    <row r="60" spans="1:53" ht="15" x14ac:dyDescent="0.25">
      <c r="K60" s="98"/>
      <c r="L60" s="127"/>
      <c r="M60" s="127"/>
      <c r="N60" s="127"/>
      <c r="O60" s="127"/>
      <c r="P60" s="127"/>
      <c r="Q60" s="127"/>
      <c r="R60" s="127"/>
    </row>
    <row r="61" spans="1:53" ht="15" x14ac:dyDescent="0.25">
      <c r="K61" s="98"/>
      <c r="L61" s="127"/>
      <c r="M61" s="127"/>
      <c r="N61" s="127"/>
      <c r="O61" s="127"/>
      <c r="P61" s="127"/>
      <c r="Q61" s="127"/>
      <c r="R61" s="127"/>
    </row>
    <row r="62" spans="1:53" ht="15" x14ac:dyDescent="0.25">
      <c r="K62" s="98"/>
      <c r="L62" s="127"/>
      <c r="M62" s="127"/>
      <c r="N62" s="127"/>
      <c r="O62" s="127"/>
      <c r="P62" s="127"/>
      <c r="Q62" s="127"/>
      <c r="R62" s="127"/>
    </row>
    <row r="63" spans="1:53" ht="15" x14ac:dyDescent="0.25">
      <c r="K63" s="98"/>
      <c r="L63" s="127"/>
      <c r="M63" s="127"/>
      <c r="N63" s="127"/>
      <c r="O63" s="127"/>
      <c r="P63" s="127"/>
      <c r="Q63" s="127"/>
      <c r="R63" s="127"/>
    </row>
    <row r="64" spans="1:53" ht="15" x14ac:dyDescent="0.25">
      <c r="K64" s="98"/>
      <c r="L64" s="127"/>
      <c r="M64" s="127"/>
      <c r="N64" s="127"/>
      <c r="O64" s="127"/>
      <c r="P64" s="127"/>
      <c r="Q64" s="127"/>
      <c r="R64" s="127"/>
    </row>
    <row r="65" spans="11:18" ht="15" x14ac:dyDescent="0.25">
      <c r="K65" s="98"/>
      <c r="L65" s="127"/>
      <c r="M65" s="127"/>
      <c r="N65" s="127"/>
      <c r="O65" s="127"/>
      <c r="P65" s="127"/>
      <c r="Q65" s="127"/>
      <c r="R65" s="127"/>
    </row>
    <row r="66" spans="11:18" ht="15" x14ac:dyDescent="0.25">
      <c r="K66" s="98"/>
      <c r="L66" s="127"/>
      <c r="M66" s="127"/>
      <c r="N66" s="127"/>
      <c r="O66" s="127"/>
      <c r="P66" s="127"/>
      <c r="Q66" s="127"/>
      <c r="R66" s="127"/>
    </row>
    <row r="67" spans="11:18" ht="15" x14ac:dyDescent="0.25">
      <c r="K67" s="98"/>
      <c r="L67" s="127"/>
      <c r="M67" s="127"/>
      <c r="N67" s="127"/>
      <c r="O67" s="127"/>
      <c r="P67" s="127"/>
      <c r="Q67" s="127"/>
      <c r="R67" s="127"/>
    </row>
    <row r="68" spans="11:18" ht="15" x14ac:dyDescent="0.25">
      <c r="K68" s="98"/>
      <c r="L68" s="127"/>
      <c r="M68" s="127"/>
      <c r="N68" s="127"/>
      <c r="O68" s="127"/>
      <c r="P68" s="127"/>
      <c r="Q68" s="127"/>
      <c r="R68" s="127"/>
    </row>
    <row r="69" spans="11:18" ht="15" x14ac:dyDescent="0.25">
      <c r="K69" s="98"/>
      <c r="L69" s="127"/>
      <c r="M69" s="127"/>
      <c r="N69" s="127"/>
      <c r="O69" s="127"/>
      <c r="P69" s="127"/>
      <c r="Q69" s="127"/>
      <c r="R69" s="127"/>
    </row>
    <row r="70" spans="11:18" ht="15" x14ac:dyDescent="0.25">
      <c r="K70" s="98"/>
      <c r="L70" s="127"/>
      <c r="M70" s="127"/>
      <c r="N70" s="127"/>
      <c r="O70" s="127"/>
      <c r="P70" s="127"/>
      <c r="Q70" s="127"/>
      <c r="R70" s="127"/>
    </row>
    <row r="71" spans="11:18" ht="15" x14ac:dyDescent="0.25">
      <c r="K71" s="98"/>
      <c r="L71" s="127"/>
      <c r="M71" s="127"/>
      <c r="N71" s="127"/>
      <c r="O71" s="127"/>
      <c r="P71" s="127"/>
      <c r="Q71" s="127"/>
      <c r="R71" s="127"/>
    </row>
    <row r="72" spans="11:18" ht="15" x14ac:dyDescent="0.25">
      <c r="K72" s="98"/>
      <c r="L72" s="127"/>
      <c r="M72" s="127"/>
      <c r="N72" s="127"/>
      <c r="O72" s="127"/>
      <c r="P72" s="127"/>
      <c r="Q72" s="127"/>
      <c r="R72" s="127"/>
    </row>
    <row r="73" spans="11:18" ht="15" x14ac:dyDescent="0.25">
      <c r="K73" s="98"/>
      <c r="L73" s="127"/>
      <c r="M73" s="127"/>
      <c r="N73" s="127"/>
      <c r="O73" s="127"/>
      <c r="P73" s="127"/>
      <c r="Q73" s="127"/>
      <c r="R73" s="127"/>
    </row>
    <row r="74" spans="11:18" ht="15" x14ac:dyDescent="0.25">
      <c r="K74" s="98"/>
      <c r="L74" s="127"/>
      <c r="M74" s="127"/>
      <c r="N74" s="127"/>
      <c r="O74" s="127"/>
      <c r="P74" s="127"/>
      <c r="Q74" s="127"/>
      <c r="R74" s="127"/>
    </row>
    <row r="75" spans="11:18" ht="15" x14ac:dyDescent="0.25">
      <c r="K75" s="98"/>
      <c r="L75" s="127"/>
      <c r="M75" s="127"/>
      <c r="N75" s="127"/>
      <c r="O75" s="127"/>
      <c r="P75" s="127"/>
      <c r="Q75" s="127"/>
      <c r="R75" s="127"/>
    </row>
    <row r="76" spans="11:18" ht="15" x14ac:dyDescent="0.25">
      <c r="K76" s="98"/>
      <c r="L76" s="127"/>
      <c r="M76" s="127"/>
      <c r="N76" s="127"/>
      <c r="O76" s="127"/>
      <c r="P76" s="127"/>
      <c r="Q76" s="127"/>
      <c r="R76" s="127"/>
    </row>
    <row r="77" spans="11:18" ht="15" x14ac:dyDescent="0.25">
      <c r="K77" s="98"/>
      <c r="L77" s="127"/>
      <c r="M77" s="127"/>
      <c r="N77" s="127"/>
      <c r="O77" s="127"/>
      <c r="P77" s="127"/>
      <c r="Q77" s="127"/>
      <c r="R77" s="127"/>
    </row>
    <row r="78" spans="11:18" ht="15" x14ac:dyDescent="0.25">
      <c r="K78" s="98"/>
      <c r="L78" s="127"/>
      <c r="M78" s="127"/>
      <c r="N78" s="127"/>
      <c r="O78" s="127"/>
      <c r="P78" s="127"/>
      <c r="Q78" s="127"/>
      <c r="R78" s="127"/>
    </row>
    <row r="79" spans="11:18" ht="15" x14ac:dyDescent="0.25">
      <c r="K79" s="98"/>
      <c r="L79" s="127"/>
      <c r="M79" s="127"/>
      <c r="N79" s="127"/>
      <c r="O79" s="127"/>
      <c r="P79" s="127"/>
      <c r="Q79" s="127"/>
      <c r="R79" s="127"/>
    </row>
    <row r="80" spans="11:18" ht="15" x14ac:dyDescent="0.25">
      <c r="K80" s="98"/>
      <c r="L80" s="127"/>
      <c r="M80" s="127"/>
      <c r="N80" s="127"/>
      <c r="O80" s="127"/>
      <c r="P80" s="127"/>
      <c r="Q80" s="127"/>
      <c r="R80" s="127"/>
    </row>
    <row r="81" spans="11:18" ht="15" x14ac:dyDescent="0.25">
      <c r="K81" s="98"/>
      <c r="L81" s="127"/>
      <c r="M81" s="127"/>
      <c r="N81" s="127"/>
      <c r="O81" s="127"/>
      <c r="P81" s="127"/>
      <c r="Q81" s="127"/>
      <c r="R81" s="127"/>
    </row>
    <row r="82" spans="11:18" ht="15" x14ac:dyDescent="0.25">
      <c r="K82" s="98"/>
      <c r="L82" s="127"/>
      <c r="M82" s="127"/>
      <c r="N82" s="127"/>
      <c r="O82" s="127"/>
      <c r="P82" s="127"/>
      <c r="Q82" s="127"/>
      <c r="R82" s="127"/>
    </row>
    <row r="83" spans="11:18" ht="15" x14ac:dyDescent="0.25">
      <c r="K83" s="98"/>
      <c r="L83" s="127"/>
      <c r="M83" s="127"/>
      <c r="N83" s="127"/>
      <c r="O83" s="127"/>
      <c r="P83" s="127"/>
      <c r="Q83" s="127"/>
      <c r="R83" s="127"/>
    </row>
    <row r="84" spans="11:18" ht="15" x14ac:dyDescent="0.25">
      <c r="K84" s="98"/>
      <c r="L84" s="127"/>
      <c r="M84" s="127"/>
      <c r="N84" s="127"/>
      <c r="O84" s="127"/>
      <c r="P84" s="127"/>
      <c r="Q84" s="127"/>
      <c r="R84" s="127"/>
    </row>
    <row r="85" spans="11:18" ht="15" x14ac:dyDescent="0.25">
      <c r="K85" s="98"/>
      <c r="L85" s="127"/>
      <c r="M85" s="127"/>
      <c r="N85" s="127"/>
      <c r="O85" s="127"/>
      <c r="P85" s="127"/>
      <c r="Q85" s="127"/>
      <c r="R85" s="127"/>
    </row>
    <row r="86" spans="11:18" ht="15" x14ac:dyDescent="0.25">
      <c r="K86" s="98"/>
      <c r="L86" s="127"/>
      <c r="M86" s="127"/>
      <c r="N86" s="127"/>
      <c r="O86" s="127"/>
      <c r="P86" s="127"/>
      <c r="Q86" s="127"/>
      <c r="R86" s="127"/>
    </row>
    <row r="87" spans="11:18" ht="15" x14ac:dyDescent="0.25">
      <c r="K87" s="98"/>
      <c r="L87" s="127"/>
      <c r="M87" s="127"/>
      <c r="N87" s="127"/>
      <c r="O87" s="127"/>
      <c r="P87" s="127"/>
      <c r="Q87" s="127"/>
      <c r="R87" s="127"/>
    </row>
    <row r="88" spans="11:18" ht="15" x14ac:dyDescent="0.25">
      <c r="K88" s="98"/>
      <c r="L88" s="127"/>
      <c r="M88" s="127"/>
      <c r="N88" s="127"/>
      <c r="O88" s="127"/>
      <c r="P88" s="127"/>
      <c r="Q88" s="127"/>
      <c r="R88" s="127"/>
    </row>
    <row r="89" spans="11:18" ht="15" x14ac:dyDescent="0.25">
      <c r="K89" s="98"/>
      <c r="L89" s="127"/>
      <c r="M89" s="127"/>
      <c r="N89" s="127"/>
      <c r="O89" s="127"/>
      <c r="P89" s="127"/>
      <c r="Q89" s="127"/>
      <c r="R89" s="127"/>
    </row>
    <row r="90" spans="11:18" ht="15" x14ac:dyDescent="0.25">
      <c r="K90" s="98"/>
      <c r="L90" s="127"/>
      <c r="M90" s="127"/>
      <c r="N90" s="127"/>
      <c r="O90" s="127"/>
      <c r="P90" s="127"/>
      <c r="Q90" s="127"/>
      <c r="R90" s="127"/>
    </row>
    <row r="91" spans="11:18" ht="15" x14ac:dyDescent="0.25">
      <c r="K91" s="98"/>
      <c r="L91" s="127"/>
      <c r="M91" s="127"/>
      <c r="N91" s="127"/>
      <c r="O91" s="127"/>
      <c r="P91" s="127"/>
      <c r="Q91" s="127"/>
      <c r="R91" s="127"/>
    </row>
    <row r="92" spans="11:18" ht="15" x14ac:dyDescent="0.25">
      <c r="K92" s="98"/>
      <c r="L92" s="127"/>
      <c r="M92" s="127"/>
      <c r="N92" s="127"/>
      <c r="O92" s="127"/>
      <c r="P92" s="127"/>
      <c r="Q92" s="127"/>
      <c r="R92" s="127"/>
    </row>
    <row r="93" spans="11:18" ht="15" x14ac:dyDescent="0.25">
      <c r="K93" s="98"/>
      <c r="L93" s="127"/>
      <c r="M93" s="127"/>
      <c r="N93" s="127"/>
      <c r="O93" s="127"/>
      <c r="P93" s="127"/>
      <c r="Q93" s="127"/>
      <c r="R93" s="127"/>
    </row>
    <row r="94" spans="11:18" ht="15" x14ac:dyDescent="0.25">
      <c r="K94" s="98"/>
      <c r="L94" s="127"/>
      <c r="M94" s="127"/>
      <c r="N94" s="127"/>
      <c r="O94" s="127"/>
      <c r="P94" s="127"/>
      <c r="Q94" s="127"/>
      <c r="R94" s="127"/>
    </row>
    <row r="95" spans="11:18" ht="15" x14ac:dyDescent="0.25">
      <c r="K95" s="98"/>
      <c r="L95" s="127"/>
      <c r="M95" s="127"/>
      <c r="N95" s="127"/>
      <c r="O95" s="127"/>
      <c r="P95" s="127"/>
      <c r="Q95" s="127"/>
      <c r="R95" s="127"/>
    </row>
    <row r="96" spans="11:18" ht="15" x14ac:dyDescent="0.25">
      <c r="K96" s="98"/>
      <c r="L96" s="127"/>
      <c r="M96" s="127"/>
      <c r="N96" s="127"/>
      <c r="O96" s="127"/>
      <c r="P96" s="127"/>
      <c r="Q96" s="127"/>
      <c r="R96" s="127"/>
    </row>
    <row r="97" spans="11:18" ht="15" x14ac:dyDescent="0.25">
      <c r="K97" s="98"/>
      <c r="L97" s="127"/>
      <c r="M97" s="127"/>
      <c r="N97" s="127"/>
      <c r="O97" s="127"/>
      <c r="P97" s="127"/>
      <c r="Q97" s="127"/>
      <c r="R97" s="127"/>
    </row>
    <row r="98" spans="11:18" ht="15" x14ac:dyDescent="0.25">
      <c r="K98" s="98"/>
      <c r="L98" s="127"/>
      <c r="M98" s="127"/>
      <c r="N98" s="127"/>
      <c r="O98" s="127"/>
      <c r="P98" s="127"/>
      <c r="Q98" s="127"/>
      <c r="R98" s="127"/>
    </row>
    <row r="99" spans="11:18" ht="15" x14ac:dyDescent="0.25">
      <c r="K99" s="98"/>
      <c r="L99" s="127"/>
      <c r="M99" s="127"/>
      <c r="N99" s="127"/>
      <c r="O99" s="127"/>
      <c r="P99" s="127"/>
      <c r="Q99" s="127"/>
      <c r="R99" s="127"/>
    </row>
    <row r="100" spans="11:18" ht="15" x14ac:dyDescent="0.25">
      <c r="K100" s="98"/>
      <c r="L100" s="127"/>
      <c r="M100" s="127"/>
      <c r="N100" s="127"/>
      <c r="O100" s="127"/>
      <c r="P100" s="127"/>
      <c r="Q100" s="127"/>
      <c r="R100" s="127"/>
    </row>
    <row r="101" spans="11:18" ht="15" x14ac:dyDescent="0.25">
      <c r="K101" s="98"/>
      <c r="L101" s="127"/>
      <c r="M101" s="127"/>
      <c r="N101" s="127"/>
      <c r="O101" s="127"/>
      <c r="P101" s="127"/>
      <c r="Q101" s="127"/>
      <c r="R101" s="127"/>
    </row>
    <row r="102" spans="11:18" ht="15" x14ac:dyDescent="0.25">
      <c r="K102" s="98"/>
      <c r="L102" s="127"/>
      <c r="M102" s="127"/>
      <c r="N102" s="127"/>
      <c r="O102" s="127"/>
      <c r="P102" s="127"/>
      <c r="Q102" s="127"/>
      <c r="R102" s="127"/>
    </row>
    <row r="103" spans="11:18" ht="15" x14ac:dyDescent="0.25">
      <c r="K103" s="98"/>
      <c r="L103" s="127"/>
      <c r="M103" s="127"/>
      <c r="N103" s="127"/>
      <c r="O103" s="127"/>
      <c r="P103" s="127"/>
      <c r="Q103" s="127"/>
      <c r="R103" s="127"/>
    </row>
    <row r="104" spans="11:18" ht="15" x14ac:dyDescent="0.25">
      <c r="K104" s="98"/>
      <c r="L104" s="127"/>
      <c r="M104" s="127"/>
      <c r="N104" s="127"/>
      <c r="O104" s="127"/>
      <c r="P104" s="127"/>
      <c r="Q104" s="127"/>
      <c r="R104" s="127"/>
    </row>
    <row r="105" spans="11:18" ht="15" x14ac:dyDescent="0.25">
      <c r="K105" s="98"/>
      <c r="L105" s="127"/>
      <c r="M105" s="127"/>
      <c r="N105" s="127"/>
      <c r="O105" s="127"/>
      <c r="P105" s="127"/>
      <c r="Q105" s="127"/>
      <c r="R105" s="127"/>
    </row>
    <row r="106" spans="11:18" ht="15" x14ac:dyDescent="0.25">
      <c r="K106" s="98"/>
      <c r="L106" s="127"/>
      <c r="M106" s="127"/>
      <c r="N106" s="127"/>
      <c r="O106" s="127"/>
      <c r="P106" s="127"/>
      <c r="Q106" s="127"/>
      <c r="R106" s="127"/>
    </row>
    <row r="107" spans="11:18" ht="15" x14ac:dyDescent="0.25">
      <c r="K107" s="98"/>
      <c r="L107" s="127"/>
      <c r="M107" s="127"/>
      <c r="N107" s="127"/>
      <c r="O107" s="127"/>
      <c r="P107" s="127"/>
      <c r="Q107" s="127"/>
      <c r="R107" s="127"/>
    </row>
    <row r="108" spans="11:18" ht="15" x14ac:dyDescent="0.25">
      <c r="K108" s="98"/>
      <c r="L108" s="127"/>
      <c r="M108" s="127"/>
      <c r="N108" s="127"/>
      <c r="O108" s="127"/>
      <c r="P108" s="127"/>
      <c r="Q108" s="127"/>
      <c r="R108" s="127"/>
    </row>
    <row r="109" spans="11:18" ht="15" x14ac:dyDescent="0.25">
      <c r="K109" s="98"/>
      <c r="L109" s="127"/>
      <c r="M109" s="127"/>
      <c r="N109" s="127"/>
      <c r="O109" s="127"/>
      <c r="P109" s="127"/>
      <c r="Q109" s="127"/>
      <c r="R109" s="127"/>
    </row>
    <row r="110" spans="11:18" ht="15" x14ac:dyDescent="0.25">
      <c r="K110" s="98"/>
      <c r="L110" s="127"/>
      <c r="M110" s="127"/>
      <c r="N110" s="127"/>
      <c r="O110" s="127"/>
      <c r="P110" s="127"/>
      <c r="Q110" s="127"/>
      <c r="R110" s="127"/>
    </row>
    <row r="111" spans="11:18" ht="15" x14ac:dyDescent="0.25">
      <c r="K111" s="98"/>
      <c r="L111" s="127"/>
      <c r="M111" s="127"/>
      <c r="N111" s="127"/>
      <c r="O111" s="127"/>
      <c r="P111" s="127"/>
      <c r="Q111" s="127"/>
      <c r="R111" s="127"/>
    </row>
    <row r="112" spans="11:18" ht="15" x14ac:dyDescent="0.25">
      <c r="K112" s="98"/>
      <c r="L112" s="127"/>
      <c r="M112" s="127"/>
      <c r="N112" s="127"/>
      <c r="O112" s="127"/>
      <c r="P112" s="127"/>
      <c r="Q112" s="127"/>
      <c r="R112" s="127"/>
    </row>
    <row r="113" spans="11:18" ht="15" x14ac:dyDescent="0.25">
      <c r="K113" s="98"/>
      <c r="L113" s="127"/>
      <c r="M113" s="127"/>
      <c r="N113" s="127"/>
      <c r="O113" s="127"/>
      <c r="P113" s="127"/>
      <c r="Q113" s="127"/>
      <c r="R113" s="127"/>
    </row>
    <row r="114" spans="11:18" ht="15" x14ac:dyDescent="0.25">
      <c r="K114" s="98"/>
      <c r="L114" s="127"/>
      <c r="M114" s="127"/>
      <c r="N114" s="127"/>
      <c r="O114" s="127"/>
      <c r="P114" s="127"/>
      <c r="Q114" s="127"/>
      <c r="R114" s="127"/>
    </row>
    <row r="115" spans="11:18" ht="15" x14ac:dyDescent="0.25">
      <c r="K115" s="98"/>
      <c r="L115" s="127"/>
      <c r="M115" s="127"/>
      <c r="N115" s="127"/>
      <c r="O115" s="127"/>
      <c r="P115" s="127"/>
      <c r="Q115" s="127"/>
      <c r="R115" s="127"/>
    </row>
    <row r="116" spans="11:18" ht="15" x14ac:dyDescent="0.25">
      <c r="K116" s="98"/>
      <c r="L116" s="127"/>
      <c r="M116" s="127"/>
      <c r="N116" s="127"/>
      <c r="O116" s="127"/>
      <c r="P116" s="127"/>
      <c r="Q116" s="127"/>
      <c r="R116" s="127"/>
    </row>
    <row r="117" spans="11:18" ht="15" x14ac:dyDescent="0.25">
      <c r="K117" s="98"/>
      <c r="L117" s="127"/>
      <c r="M117" s="127"/>
      <c r="N117" s="127"/>
      <c r="O117" s="127"/>
      <c r="P117" s="127"/>
      <c r="Q117" s="127"/>
      <c r="R117" s="127"/>
    </row>
    <row r="118" spans="11:18" ht="13.5" customHeight="1" x14ac:dyDescent="0.25">
      <c r="K118" s="98"/>
      <c r="L118" s="127"/>
      <c r="M118" s="127"/>
      <c r="N118" s="127"/>
      <c r="O118" s="127"/>
      <c r="P118" s="127"/>
      <c r="Q118" s="127"/>
      <c r="R118" s="127"/>
    </row>
    <row r="119" spans="11:18" ht="13.5" customHeight="1" x14ac:dyDescent="0.25">
      <c r="K119" s="98"/>
      <c r="L119" s="127"/>
      <c r="M119" s="127"/>
      <c r="N119" s="127"/>
      <c r="O119" s="127"/>
      <c r="P119" s="127"/>
      <c r="Q119" s="127"/>
      <c r="R119" s="127"/>
    </row>
    <row r="120" spans="11:18" ht="13.5" customHeight="1" x14ac:dyDescent="0.25">
      <c r="K120" s="98"/>
      <c r="L120" s="127"/>
      <c r="M120" s="127"/>
      <c r="N120" s="127"/>
      <c r="O120" s="127"/>
      <c r="P120" s="127"/>
      <c r="Q120" s="127"/>
      <c r="R120" s="127"/>
    </row>
    <row r="121" spans="11:18" ht="13.5" customHeight="1" x14ac:dyDescent="0.25">
      <c r="K121" s="98"/>
      <c r="L121" s="127"/>
      <c r="M121" s="127"/>
      <c r="N121" s="127"/>
      <c r="O121" s="127"/>
      <c r="P121" s="127"/>
      <c r="Q121" s="127"/>
      <c r="R121" s="127"/>
    </row>
    <row r="122" spans="11:18" ht="13.5" customHeight="1" x14ac:dyDescent="0.25">
      <c r="K122" s="98"/>
      <c r="L122" s="127"/>
      <c r="M122" s="127"/>
      <c r="N122" s="127"/>
      <c r="O122" s="127"/>
      <c r="P122" s="127"/>
      <c r="Q122" s="127"/>
      <c r="R122" s="127"/>
    </row>
    <row r="123" spans="11:18" ht="13.5" customHeight="1" x14ac:dyDescent="0.25">
      <c r="K123" s="98"/>
      <c r="L123" s="127"/>
      <c r="M123" s="127"/>
      <c r="N123" s="127"/>
      <c r="O123" s="127"/>
      <c r="P123" s="127"/>
      <c r="Q123" s="127"/>
      <c r="R123" s="127"/>
    </row>
    <row r="124" spans="11:18" ht="13.5" customHeight="1" x14ac:dyDescent="0.25">
      <c r="K124" s="98"/>
      <c r="L124" s="127"/>
      <c r="M124" s="127"/>
      <c r="N124" s="127"/>
      <c r="O124" s="127"/>
      <c r="P124" s="127"/>
      <c r="Q124" s="127"/>
      <c r="R124" s="127"/>
    </row>
    <row r="125" spans="11:18" ht="13.5" customHeight="1" x14ac:dyDescent="0.25">
      <c r="K125" s="98"/>
      <c r="L125" s="127"/>
      <c r="M125" s="127"/>
      <c r="N125" s="127"/>
      <c r="O125" s="127"/>
      <c r="P125" s="127"/>
      <c r="Q125" s="127"/>
      <c r="R125" s="127"/>
    </row>
    <row r="126" spans="11:18" ht="13.5" customHeight="1" x14ac:dyDescent="0.25">
      <c r="K126" s="98"/>
      <c r="L126" s="127"/>
      <c r="M126" s="127"/>
      <c r="N126" s="127"/>
      <c r="O126" s="127"/>
      <c r="P126" s="127"/>
      <c r="Q126" s="127"/>
      <c r="R126" s="127"/>
    </row>
    <row r="127" spans="11:18" ht="13.5" customHeight="1" x14ac:dyDescent="0.25">
      <c r="K127" s="98"/>
      <c r="L127" s="127"/>
      <c r="M127" s="127"/>
      <c r="N127" s="127"/>
      <c r="O127" s="127"/>
      <c r="P127" s="127"/>
      <c r="Q127" s="127"/>
      <c r="R127" s="127"/>
    </row>
    <row r="128" spans="11:18" ht="13.5" customHeight="1" x14ac:dyDescent="0.25">
      <c r="K128" s="98"/>
      <c r="L128" s="127"/>
      <c r="M128" s="127"/>
      <c r="N128" s="127"/>
      <c r="O128" s="127"/>
      <c r="P128" s="127"/>
      <c r="Q128" s="127"/>
      <c r="R128" s="127"/>
    </row>
    <row r="129" spans="11:18" ht="13.5" customHeight="1" x14ac:dyDescent="0.25">
      <c r="K129" s="98"/>
      <c r="L129" s="127"/>
      <c r="M129" s="127"/>
      <c r="N129" s="127"/>
      <c r="O129" s="127"/>
      <c r="P129" s="127"/>
      <c r="Q129" s="127"/>
      <c r="R129" s="127"/>
    </row>
    <row r="130" spans="11:18" ht="13.5" customHeight="1" x14ac:dyDescent="0.25">
      <c r="K130" s="98"/>
      <c r="L130" s="127"/>
      <c r="M130" s="127"/>
      <c r="N130" s="127"/>
      <c r="O130" s="127"/>
      <c r="P130" s="127"/>
      <c r="Q130" s="127"/>
      <c r="R130" s="127"/>
    </row>
    <row r="131" spans="11:18" ht="13.5" customHeight="1" x14ac:dyDescent="0.25">
      <c r="K131" s="98"/>
      <c r="L131" s="127"/>
      <c r="M131" s="127"/>
      <c r="N131" s="127"/>
      <c r="O131" s="127"/>
      <c r="P131" s="127"/>
      <c r="Q131" s="127"/>
      <c r="R131" s="127"/>
    </row>
    <row r="132" spans="11:18" ht="13.5" customHeight="1" x14ac:dyDescent="0.25">
      <c r="K132" s="98"/>
      <c r="L132" s="127"/>
      <c r="M132" s="127"/>
      <c r="N132" s="127"/>
      <c r="O132" s="127"/>
      <c r="P132" s="127"/>
      <c r="Q132" s="127"/>
      <c r="R132" s="127"/>
    </row>
    <row r="133" spans="11:18" ht="13.5" customHeight="1" x14ac:dyDescent="0.25">
      <c r="K133" s="98"/>
      <c r="L133" s="127"/>
      <c r="M133" s="127"/>
      <c r="N133" s="127"/>
      <c r="O133" s="127"/>
      <c r="P133" s="127"/>
      <c r="Q133" s="127"/>
      <c r="R133" s="127"/>
    </row>
    <row r="134" spans="11:18" ht="13.5" customHeight="1" x14ac:dyDescent="0.25">
      <c r="K134" s="98"/>
      <c r="L134" s="127"/>
      <c r="M134" s="127"/>
      <c r="N134" s="127"/>
      <c r="O134" s="127"/>
      <c r="P134" s="127"/>
      <c r="Q134" s="127"/>
      <c r="R134" s="127"/>
    </row>
    <row r="135" spans="11:18" ht="13.5" customHeight="1" x14ac:dyDescent="0.25">
      <c r="K135" s="98"/>
      <c r="L135" s="127"/>
      <c r="M135" s="127"/>
      <c r="N135" s="127"/>
      <c r="O135" s="127"/>
      <c r="P135" s="127"/>
      <c r="Q135" s="127"/>
      <c r="R135" s="127"/>
    </row>
    <row r="136" spans="11:18" ht="13.5" customHeight="1" x14ac:dyDescent="0.25">
      <c r="K136" s="98"/>
      <c r="L136" s="127"/>
      <c r="M136" s="127"/>
      <c r="N136" s="127"/>
      <c r="O136" s="127"/>
      <c r="P136" s="127"/>
      <c r="Q136" s="127"/>
      <c r="R136" s="127"/>
    </row>
    <row r="137" spans="11:18" ht="13.5" customHeight="1" x14ac:dyDescent="0.25">
      <c r="K137" s="98"/>
      <c r="L137" s="127"/>
      <c r="M137" s="127"/>
      <c r="N137" s="127"/>
      <c r="O137" s="127"/>
      <c r="P137" s="127"/>
      <c r="Q137" s="127"/>
      <c r="R137" s="127"/>
    </row>
    <row r="138" spans="11:18" ht="13.5" customHeight="1" x14ac:dyDescent="0.25">
      <c r="K138" s="98"/>
      <c r="L138" s="127"/>
      <c r="M138" s="127"/>
      <c r="N138" s="127"/>
      <c r="O138" s="127"/>
      <c r="P138" s="127"/>
      <c r="Q138" s="127"/>
      <c r="R138" s="127"/>
    </row>
    <row r="139" spans="11:18" ht="13.5" customHeight="1" x14ac:dyDescent="0.25">
      <c r="K139" s="98"/>
      <c r="L139" s="127"/>
      <c r="M139" s="127"/>
      <c r="N139" s="127"/>
      <c r="O139" s="127"/>
      <c r="P139" s="127"/>
      <c r="Q139" s="127"/>
      <c r="R139" s="127"/>
    </row>
    <row r="140" spans="11:18" ht="13.5" customHeight="1" x14ac:dyDescent="0.25">
      <c r="K140" s="98"/>
      <c r="L140" s="127"/>
      <c r="M140" s="127"/>
      <c r="N140" s="127"/>
      <c r="O140" s="127"/>
      <c r="P140" s="127"/>
      <c r="Q140" s="127"/>
      <c r="R140" s="127"/>
    </row>
    <row r="141" spans="11:18" ht="13.5" customHeight="1" x14ac:dyDescent="0.25">
      <c r="K141" s="98"/>
      <c r="L141" s="127"/>
      <c r="M141" s="127"/>
      <c r="N141" s="127"/>
      <c r="O141" s="127"/>
      <c r="P141" s="127"/>
      <c r="Q141" s="127"/>
      <c r="R141" s="127"/>
    </row>
    <row r="142" spans="11:18" ht="13.5" customHeight="1" x14ac:dyDescent="0.25">
      <c r="K142" s="98"/>
      <c r="L142" s="127"/>
      <c r="M142" s="127"/>
      <c r="N142" s="127"/>
      <c r="O142" s="127"/>
      <c r="P142" s="127"/>
      <c r="Q142" s="127"/>
      <c r="R142" s="127"/>
    </row>
    <row r="143" spans="11:18" ht="13.5" customHeight="1" x14ac:dyDescent="0.25">
      <c r="K143" s="98"/>
      <c r="L143" s="127"/>
      <c r="M143" s="127"/>
      <c r="N143" s="127"/>
      <c r="O143" s="127"/>
      <c r="P143" s="127"/>
      <c r="Q143" s="127"/>
      <c r="R143" s="127"/>
    </row>
    <row r="144" spans="11:18" ht="13.5" customHeight="1" x14ac:dyDescent="0.25">
      <c r="K144" s="98"/>
      <c r="L144" s="127"/>
      <c r="M144" s="127"/>
      <c r="N144" s="127"/>
      <c r="O144" s="127"/>
      <c r="P144" s="127"/>
      <c r="Q144" s="127"/>
      <c r="R144" s="127"/>
    </row>
    <row r="145" spans="11:18" ht="13.5" customHeight="1" x14ac:dyDescent="0.25">
      <c r="K145" s="98"/>
      <c r="L145" s="127"/>
      <c r="M145" s="127"/>
      <c r="N145" s="127"/>
      <c r="O145" s="127"/>
      <c r="P145" s="127"/>
      <c r="Q145" s="127"/>
      <c r="R145" s="127"/>
    </row>
    <row r="146" spans="11:18" ht="13.5" customHeight="1" x14ac:dyDescent="0.25">
      <c r="K146" s="98"/>
      <c r="L146" s="127"/>
      <c r="M146" s="127"/>
      <c r="N146" s="127"/>
      <c r="O146" s="127"/>
      <c r="P146" s="127"/>
      <c r="Q146" s="127"/>
      <c r="R146" s="127"/>
    </row>
    <row r="147" spans="11:18" ht="13.5" customHeight="1" x14ac:dyDescent="0.25">
      <c r="K147" s="98"/>
      <c r="L147" s="127"/>
      <c r="M147" s="127"/>
      <c r="N147" s="127"/>
      <c r="O147" s="127"/>
      <c r="P147" s="127"/>
      <c r="Q147" s="127"/>
      <c r="R147" s="127"/>
    </row>
    <row r="148" spans="11:18" ht="13.5" customHeight="1" x14ac:dyDescent="0.25">
      <c r="K148" s="98"/>
      <c r="L148" s="127"/>
      <c r="M148" s="127"/>
      <c r="N148" s="127"/>
      <c r="O148" s="127"/>
      <c r="P148" s="127"/>
      <c r="Q148" s="127"/>
      <c r="R148" s="127"/>
    </row>
    <row r="149" spans="11:18" ht="13.5" customHeight="1" x14ac:dyDescent="0.25">
      <c r="K149" s="98"/>
      <c r="L149" s="127"/>
      <c r="M149" s="127"/>
      <c r="N149" s="127"/>
      <c r="O149" s="127"/>
      <c r="P149" s="127"/>
      <c r="Q149" s="127"/>
      <c r="R149" s="127"/>
    </row>
    <row r="150" spans="11:18" ht="13.5" customHeight="1" x14ac:dyDescent="0.25">
      <c r="K150" s="98"/>
      <c r="L150" s="127"/>
      <c r="M150" s="127"/>
      <c r="N150" s="127"/>
      <c r="O150" s="127"/>
      <c r="P150" s="127"/>
      <c r="Q150" s="127"/>
      <c r="R150" s="127"/>
    </row>
    <row r="151" spans="11:18" ht="13.5" customHeight="1" x14ac:dyDescent="0.25">
      <c r="K151" s="98"/>
      <c r="L151" s="127"/>
      <c r="M151" s="127"/>
      <c r="N151" s="127"/>
      <c r="O151" s="127"/>
      <c r="P151" s="127"/>
      <c r="Q151" s="127"/>
      <c r="R151" s="127"/>
    </row>
    <row r="152" spans="11:18" ht="13.5" customHeight="1" x14ac:dyDescent="0.25">
      <c r="K152" s="98"/>
      <c r="L152" s="127"/>
      <c r="M152" s="127"/>
      <c r="N152" s="127"/>
      <c r="O152" s="127"/>
      <c r="P152" s="127"/>
      <c r="Q152" s="127"/>
      <c r="R152" s="127"/>
    </row>
    <row r="153" spans="11:18" ht="13.5" customHeight="1" x14ac:dyDescent="0.25">
      <c r="K153" s="98"/>
      <c r="L153" s="127"/>
      <c r="M153" s="127"/>
      <c r="N153" s="127"/>
      <c r="O153" s="127"/>
      <c r="P153" s="127"/>
      <c r="Q153" s="127"/>
      <c r="R153" s="127"/>
    </row>
    <row r="154" spans="11:18" ht="13.5" customHeight="1" x14ac:dyDescent="0.25">
      <c r="K154" s="98"/>
      <c r="L154" s="127"/>
      <c r="M154" s="127"/>
      <c r="N154" s="127"/>
      <c r="O154" s="127"/>
      <c r="P154" s="127"/>
      <c r="Q154" s="127"/>
      <c r="R154" s="127"/>
    </row>
    <row r="155" spans="11:18" ht="13.5" customHeight="1" x14ac:dyDescent="0.25">
      <c r="K155" s="98"/>
      <c r="L155" s="127"/>
      <c r="M155" s="127"/>
      <c r="N155" s="127"/>
      <c r="O155" s="127"/>
      <c r="P155" s="127"/>
      <c r="Q155" s="127"/>
      <c r="R155" s="127"/>
    </row>
    <row r="156" spans="11:18" ht="13.5" customHeight="1" x14ac:dyDescent="0.25">
      <c r="K156" s="98"/>
      <c r="L156" s="127"/>
      <c r="M156" s="127"/>
      <c r="N156" s="127"/>
      <c r="O156" s="127"/>
      <c r="P156" s="127"/>
      <c r="Q156" s="127"/>
      <c r="R156" s="127"/>
    </row>
    <row r="157" spans="11:18" ht="13.5" customHeight="1" x14ac:dyDescent="0.25">
      <c r="K157" s="98"/>
      <c r="L157" s="127"/>
      <c r="M157" s="127"/>
      <c r="N157" s="127"/>
      <c r="O157" s="127"/>
      <c r="P157" s="127"/>
      <c r="Q157" s="127"/>
      <c r="R157" s="127"/>
    </row>
    <row r="158" spans="11:18" ht="13.5" customHeight="1" x14ac:dyDescent="0.25">
      <c r="K158" s="98"/>
      <c r="L158" s="127"/>
      <c r="M158" s="127"/>
      <c r="N158" s="127"/>
      <c r="O158" s="127"/>
      <c r="P158" s="127"/>
      <c r="Q158" s="127"/>
      <c r="R158" s="127"/>
    </row>
    <row r="159" spans="11:18" ht="13.5" customHeight="1" x14ac:dyDescent="0.25">
      <c r="K159" s="98"/>
      <c r="L159" s="127"/>
      <c r="M159" s="127"/>
      <c r="N159" s="127"/>
      <c r="O159" s="127"/>
      <c r="P159" s="127"/>
      <c r="Q159" s="127"/>
      <c r="R159" s="127"/>
    </row>
    <row r="160" spans="11:18" ht="13.5" customHeight="1" x14ac:dyDescent="0.25">
      <c r="K160" s="98"/>
      <c r="L160" s="127"/>
      <c r="M160" s="127"/>
      <c r="N160" s="127"/>
      <c r="O160" s="127"/>
      <c r="P160" s="127"/>
      <c r="Q160" s="127"/>
      <c r="R160" s="127"/>
    </row>
    <row r="161" spans="11:18" ht="13.5" customHeight="1" x14ac:dyDescent="0.25">
      <c r="K161" s="98"/>
      <c r="L161" s="127"/>
      <c r="M161" s="127"/>
      <c r="N161" s="127"/>
      <c r="O161" s="127"/>
      <c r="P161" s="127"/>
      <c r="Q161" s="127"/>
      <c r="R161" s="127"/>
    </row>
    <row r="162" spans="11:18" ht="13.5" customHeight="1" x14ac:dyDescent="0.25">
      <c r="K162" s="98"/>
      <c r="L162" s="127"/>
      <c r="M162" s="127"/>
      <c r="N162" s="127"/>
      <c r="O162" s="127"/>
      <c r="P162" s="127"/>
      <c r="Q162" s="127"/>
      <c r="R162" s="127"/>
    </row>
    <row r="163" spans="11:18" ht="13.5" customHeight="1" x14ac:dyDescent="0.25">
      <c r="K163" s="98"/>
      <c r="L163" s="127"/>
      <c r="M163" s="127"/>
      <c r="N163" s="127"/>
      <c r="O163" s="127"/>
      <c r="P163" s="127"/>
      <c r="Q163" s="127"/>
      <c r="R163" s="127"/>
    </row>
    <row r="164" spans="11:18" ht="13.5" customHeight="1" x14ac:dyDescent="0.25">
      <c r="K164" s="98"/>
      <c r="L164" s="127"/>
      <c r="M164" s="127"/>
      <c r="N164" s="127"/>
      <c r="O164" s="127"/>
      <c r="P164" s="127"/>
      <c r="Q164" s="127"/>
      <c r="R164" s="127"/>
    </row>
    <row r="165" spans="11:18" ht="13.5" customHeight="1" x14ac:dyDescent="0.25">
      <c r="K165" s="98"/>
      <c r="L165" s="127"/>
      <c r="M165" s="127"/>
      <c r="N165" s="127"/>
      <c r="O165" s="127"/>
      <c r="P165" s="127"/>
      <c r="Q165" s="127"/>
      <c r="R165" s="127"/>
    </row>
    <row r="166" spans="11:18" ht="13.5" customHeight="1" x14ac:dyDescent="0.25">
      <c r="K166" s="98"/>
      <c r="L166" s="127"/>
      <c r="M166" s="127"/>
      <c r="N166" s="127"/>
      <c r="O166" s="127"/>
      <c r="P166" s="127"/>
      <c r="Q166" s="127"/>
      <c r="R166" s="127"/>
    </row>
    <row r="167" spans="11:18" ht="13.5" customHeight="1" x14ac:dyDescent="0.25">
      <c r="K167" s="98"/>
      <c r="L167" s="127"/>
      <c r="M167" s="127"/>
      <c r="N167" s="127"/>
      <c r="O167" s="127"/>
      <c r="P167" s="127"/>
      <c r="Q167" s="127"/>
      <c r="R167" s="127"/>
    </row>
    <row r="168" spans="11:18" ht="13.5" customHeight="1" x14ac:dyDescent="0.25">
      <c r="K168" s="98"/>
      <c r="L168" s="127"/>
      <c r="M168" s="127"/>
      <c r="N168" s="127"/>
      <c r="O168" s="127"/>
      <c r="P168" s="127"/>
      <c r="Q168" s="127"/>
      <c r="R168" s="127"/>
    </row>
    <row r="169" spans="11:18" ht="13.5" customHeight="1" x14ac:dyDescent="0.25">
      <c r="K169" s="98"/>
      <c r="L169" s="127"/>
      <c r="M169" s="127"/>
      <c r="N169" s="127"/>
      <c r="O169" s="127"/>
      <c r="P169" s="127"/>
      <c r="Q169" s="127"/>
      <c r="R169" s="127"/>
    </row>
    <row r="170" spans="11:18" ht="13.5" customHeight="1" x14ac:dyDescent="0.25">
      <c r="K170" s="98"/>
      <c r="L170" s="127"/>
      <c r="M170" s="127"/>
      <c r="N170" s="127"/>
      <c r="O170" s="127"/>
      <c r="P170" s="127"/>
      <c r="Q170" s="127"/>
      <c r="R170" s="127"/>
    </row>
    <row r="171" spans="11:18" ht="13.5" customHeight="1" x14ac:dyDescent="0.25">
      <c r="K171" s="98"/>
      <c r="L171" s="127"/>
      <c r="M171" s="127"/>
      <c r="N171" s="127"/>
      <c r="O171" s="127"/>
      <c r="P171" s="127"/>
      <c r="Q171" s="127"/>
      <c r="R171" s="127"/>
    </row>
    <row r="172" spans="11:18" ht="13.5" customHeight="1" x14ac:dyDescent="0.25">
      <c r="K172" s="98"/>
      <c r="L172" s="127"/>
      <c r="M172" s="127"/>
      <c r="N172" s="127"/>
      <c r="O172" s="127"/>
      <c r="P172" s="127"/>
      <c r="Q172" s="127"/>
      <c r="R172" s="127"/>
    </row>
    <row r="173" spans="11:18" ht="13.5" customHeight="1" x14ac:dyDescent="0.25">
      <c r="K173" s="98"/>
      <c r="L173" s="127"/>
      <c r="M173" s="127"/>
      <c r="N173" s="127"/>
      <c r="O173" s="127"/>
      <c r="P173" s="127"/>
      <c r="Q173" s="127"/>
      <c r="R173" s="127"/>
    </row>
    <row r="174" spans="11:18" ht="13.5" customHeight="1" x14ac:dyDescent="0.25">
      <c r="K174" s="98"/>
      <c r="L174" s="127"/>
      <c r="M174" s="127"/>
      <c r="N174" s="127"/>
      <c r="O174" s="127"/>
      <c r="P174" s="127"/>
      <c r="Q174" s="127"/>
      <c r="R174" s="127"/>
    </row>
    <row r="175" spans="11:18" ht="13.5" customHeight="1" x14ac:dyDescent="0.25">
      <c r="K175" s="98"/>
      <c r="L175" s="127"/>
      <c r="M175" s="127"/>
      <c r="N175" s="127"/>
      <c r="O175" s="127"/>
      <c r="P175" s="127"/>
      <c r="Q175" s="127"/>
      <c r="R175" s="127"/>
    </row>
    <row r="176" spans="11:18" ht="13.5" customHeight="1" x14ac:dyDescent="0.25">
      <c r="K176" s="98"/>
      <c r="L176" s="127"/>
      <c r="M176" s="127"/>
      <c r="N176" s="127"/>
      <c r="O176" s="127"/>
      <c r="P176" s="127"/>
      <c r="Q176" s="127"/>
      <c r="R176" s="127"/>
    </row>
    <row r="177" spans="11:18" ht="13.5" customHeight="1" x14ac:dyDescent="0.25">
      <c r="K177" s="98"/>
      <c r="L177" s="127"/>
      <c r="M177" s="127"/>
      <c r="N177" s="127"/>
      <c r="O177" s="127"/>
      <c r="P177" s="127"/>
      <c r="Q177" s="127"/>
      <c r="R177" s="127"/>
    </row>
    <row r="178" spans="11:18" ht="13.5" customHeight="1" x14ac:dyDescent="0.25">
      <c r="K178" s="98"/>
      <c r="L178" s="127"/>
      <c r="M178" s="127"/>
      <c r="N178" s="127"/>
      <c r="O178" s="127"/>
      <c r="P178" s="127"/>
      <c r="Q178" s="127"/>
      <c r="R178" s="127"/>
    </row>
    <row r="179" spans="11:18" ht="13.5" customHeight="1" x14ac:dyDescent="0.25">
      <c r="K179" s="98"/>
      <c r="L179" s="127"/>
      <c r="M179" s="127"/>
      <c r="N179" s="127"/>
      <c r="O179" s="127"/>
      <c r="P179" s="127"/>
      <c r="Q179" s="127"/>
      <c r="R179" s="127"/>
    </row>
    <row r="180" spans="11:18" ht="13.5" customHeight="1" x14ac:dyDescent="0.25">
      <c r="K180" s="98"/>
      <c r="L180" s="127"/>
      <c r="M180" s="127"/>
      <c r="N180" s="127"/>
      <c r="O180" s="127"/>
      <c r="P180" s="127"/>
      <c r="Q180" s="127"/>
      <c r="R180" s="127"/>
    </row>
    <row r="181" spans="11:18" ht="13.5" customHeight="1" x14ac:dyDescent="0.25">
      <c r="K181" s="98"/>
      <c r="L181" s="127"/>
      <c r="M181" s="127"/>
      <c r="N181" s="127"/>
      <c r="O181" s="127"/>
      <c r="P181" s="127"/>
      <c r="Q181" s="127"/>
      <c r="R181" s="127"/>
    </row>
    <row r="182" spans="11:18" ht="13.5" customHeight="1" x14ac:dyDescent="0.25"/>
    <row r="183" spans="11:18" ht="13.5" customHeight="1" x14ac:dyDescent="0.25"/>
    <row r="184" spans="11:18" ht="13.5" customHeight="1" x14ac:dyDescent="0.25"/>
    <row r="185" spans="11:18" ht="13.5" customHeight="1" x14ac:dyDescent="0.25"/>
    <row r="186" spans="11:18" ht="13.5" customHeight="1" x14ac:dyDescent="0.25"/>
    <row r="187" spans="11:18" ht="13.5" customHeight="1" x14ac:dyDescent="0.25"/>
    <row r="188" spans="11:18" ht="13.5" customHeight="1" x14ac:dyDescent="0.25"/>
    <row r="189" spans="11:18" ht="13.5" customHeight="1" x14ac:dyDescent="0.25"/>
    <row r="190" spans="11:18" ht="13.5" customHeight="1" x14ac:dyDescent="0.25"/>
    <row r="191" spans="11:18" ht="13.5" customHeight="1" x14ac:dyDescent="0.25"/>
    <row r="192" spans="11:18"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sheetData>
  <sheetProtection selectLockedCells="1"/>
  <autoFilter ref="A6:Z6" xr:uid="{00000000-0009-0000-0000-000004000000}"/>
  <phoneticPr fontId="37" type="noConversion"/>
  <dataValidations count="10">
    <dataValidation type="list" allowBlank="1" sqref="L243:L1993 L2:L6 L54:L55" xr:uid="{00000000-0002-0000-0400-000000000000}">
      <formula1>Beschreibung</formula1>
    </dataValidation>
    <dataValidation type="date" allowBlank="1" showInputMessage="1" showErrorMessage="1" promptTitle="Versionsdatum" prompt="Datum im Format YYYY-MM-DD eintragen." sqref="Y243:Y1993 Y54:Y55" xr:uid="{00000000-0002-0000-0400-000001000000}">
      <formula1>DATE(2000,1,1)</formula1>
      <formula2>DATE(2100,12,31)</formula2>
    </dataValidation>
    <dataValidation type="list" allowBlank="1" sqref="H212:H1995 H7:H53" xr:uid="{00000000-0002-0000-0400-000006000000}">
      <formula1>Merkmals_Zuordnung</formula1>
    </dataValidation>
    <dataValidation type="list" allowBlank="1" sqref="I212:I1995 I7:I53" xr:uid="{00000000-0002-0000-0400-000007000000}">
      <formula1>Attribution_de_propriete</formula1>
    </dataValidation>
    <dataValidation type="list" allowBlank="1" sqref="J212:J1995 J7:J53" xr:uid="{00000000-0002-0000-0400-000008000000}">
      <formula1>Assegnazione_della_proprieta</formula1>
    </dataValidation>
    <dataValidation type="list" allowBlank="1" sqref="S7:S1995" xr:uid="{00000000-0002-0000-0400-000002000000}">
      <formula1>DataType</formula1>
    </dataValidation>
    <dataValidation type="list" allowBlank="1" sqref="T7:T1995" xr:uid="{00000000-0002-0000-0400-000003000000}">
      <formula1>IFC_Data_Type</formula1>
    </dataValidation>
    <dataValidation type="list" allowBlank="1" sqref="AA7:AA1995" xr:uid="{00000000-0002-0000-0400-000004000000}">
      <formula1>Status</formula1>
    </dataValidation>
    <dataValidation type="list" allowBlank="1" sqref="G7:G1995" xr:uid="{00000000-0002-0000-0400-000005000000}">
      <formula1>Property_Classification</formula1>
    </dataValidation>
    <dataValidation type="date" operator="greaterThanOrEqual" sqref="AB7:AB53" xr:uid="{184FC172-C4C7-403C-8795-32F4F5B20C10}">
      <formula1>DATE(2000,1,1)</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Q53"/>
  <sheetViews>
    <sheetView showGridLines="0" zoomScale="85" zoomScaleNormal="85" workbookViewId="0">
      <pane ySplit="6" topLeftCell="A7" activePane="bottomLeft" state="frozen"/>
      <selection pane="bottomLeft" activeCell="H14" sqref="H14"/>
    </sheetView>
  </sheetViews>
  <sheetFormatPr baseColWidth="10" defaultColWidth="11.7109375" defaultRowHeight="15" outlineLevelRow="1" outlineLevelCol="1" x14ac:dyDescent="0.25"/>
  <cols>
    <col min="1" max="1" width="4.7109375" style="99" customWidth="1"/>
    <col min="2" max="2" width="25.7109375" style="99" customWidth="1" outlineLevel="1"/>
    <col min="3" max="3" width="4.7109375" style="99" customWidth="1"/>
    <col min="4" max="8" width="25.7109375" style="99" customWidth="1" outlineLevel="1"/>
    <col min="9" max="9" width="6.7109375" style="115" customWidth="1" outlineLevel="1"/>
    <col min="10" max="10" width="6.7109375" style="99" customWidth="1" outlineLevel="1"/>
    <col min="11" max="13" width="25.7109375" style="99" customWidth="1" outlineLevel="1"/>
    <col min="14" max="14" width="6.7109375" style="99" customWidth="1" outlineLevel="1"/>
    <col min="15" max="15" width="25.7109375" style="99" customWidth="1" outlineLevel="1"/>
    <col min="16" max="16" width="4.7109375" style="99" customWidth="1"/>
    <col min="17" max="19" width="25.7109375" style="99" customWidth="1" outlineLevel="1"/>
    <col min="20" max="20" width="1.7109375" style="99" customWidth="1" outlineLevel="1"/>
    <col min="21" max="21" width="6.7109375" style="99" customWidth="1"/>
    <col min="22" max="25" width="11.7109375" style="99" customWidth="1"/>
    <col min="26" max="16384" width="11.7109375" style="99"/>
  </cols>
  <sheetData>
    <row r="1" spans="1:43" s="111" customFormat="1" ht="200.1" customHeight="1" x14ac:dyDescent="0.25">
      <c r="A1" s="66" t="s">
        <v>237</v>
      </c>
      <c r="B1" s="67" t="s">
        <v>70</v>
      </c>
      <c r="C1" s="110" t="s">
        <v>203</v>
      </c>
      <c r="D1" s="67" t="s">
        <v>143</v>
      </c>
      <c r="E1" s="67" t="s">
        <v>204</v>
      </c>
      <c r="F1" s="101" t="s">
        <v>205</v>
      </c>
      <c r="G1" s="101" t="s">
        <v>147</v>
      </c>
      <c r="H1" s="101" t="s">
        <v>146</v>
      </c>
      <c r="I1" s="101" t="s">
        <v>148</v>
      </c>
      <c r="J1" s="101" t="s">
        <v>149</v>
      </c>
      <c r="K1" s="101" t="s">
        <v>206</v>
      </c>
      <c r="L1" s="101" t="s">
        <v>585</v>
      </c>
      <c r="M1" s="101" t="s">
        <v>586</v>
      </c>
      <c r="N1" s="101" t="s">
        <v>587</v>
      </c>
      <c r="O1" s="101" t="s">
        <v>192</v>
      </c>
      <c r="P1" s="102" t="s">
        <v>62</v>
      </c>
      <c r="Q1" s="67" t="s">
        <v>44</v>
      </c>
      <c r="R1" s="67" t="s">
        <v>160</v>
      </c>
      <c r="S1" s="67" t="s">
        <v>161</v>
      </c>
      <c r="U1" s="66" t="s">
        <v>242</v>
      </c>
      <c r="V1" s="67"/>
      <c r="W1" s="67"/>
      <c r="X1" s="67"/>
      <c r="Y1" s="67"/>
      <c r="Z1" s="67"/>
      <c r="AA1" s="67"/>
      <c r="AB1" s="67"/>
      <c r="AC1" s="67"/>
      <c r="AD1" s="67"/>
      <c r="AE1" s="67"/>
      <c r="AF1" s="67"/>
      <c r="AG1" s="67"/>
      <c r="AH1" s="67"/>
      <c r="AI1" s="67"/>
      <c r="AJ1" s="67"/>
      <c r="AK1" s="67"/>
      <c r="AL1" s="67"/>
      <c r="AM1" s="67"/>
      <c r="AN1" s="67"/>
      <c r="AO1" s="67"/>
      <c r="AP1" s="67"/>
      <c r="AQ1" s="67"/>
    </row>
    <row r="2" spans="1:43" s="105" customFormat="1" ht="14.25" customHeight="1" outlineLevel="1" x14ac:dyDescent="0.25">
      <c r="A2" s="104"/>
      <c r="B2" s="72" t="s">
        <v>76</v>
      </c>
      <c r="C2" s="104"/>
      <c r="D2" s="74" t="s">
        <v>244</v>
      </c>
      <c r="E2" s="74" t="s">
        <v>244</v>
      </c>
      <c r="F2" s="74" t="s">
        <v>245</v>
      </c>
      <c r="G2" s="74" t="s">
        <v>245</v>
      </c>
      <c r="H2" s="74" t="s">
        <v>245</v>
      </c>
      <c r="I2" s="74" t="s">
        <v>243</v>
      </c>
      <c r="J2" s="74" t="s">
        <v>243</v>
      </c>
      <c r="K2" s="74" t="s">
        <v>245</v>
      </c>
      <c r="L2" s="74" t="s">
        <v>245</v>
      </c>
      <c r="M2" s="74" t="s">
        <v>243</v>
      </c>
      <c r="N2" s="74" t="s">
        <v>243</v>
      </c>
      <c r="O2" s="74" t="s">
        <v>245</v>
      </c>
      <c r="P2" s="104"/>
      <c r="Q2" s="74" t="s">
        <v>245</v>
      </c>
      <c r="R2" s="74" t="s">
        <v>245</v>
      </c>
      <c r="S2" s="74" t="s">
        <v>245</v>
      </c>
      <c r="U2" s="76"/>
      <c r="V2" s="76"/>
      <c r="W2" s="76"/>
      <c r="X2" s="76"/>
      <c r="Y2" s="76"/>
      <c r="Z2" s="76"/>
      <c r="AA2" s="76"/>
      <c r="AB2" s="76"/>
      <c r="AC2" s="76"/>
      <c r="AD2" s="76"/>
      <c r="AE2" s="76"/>
      <c r="AF2" s="76"/>
      <c r="AG2" s="76"/>
      <c r="AH2" s="76"/>
      <c r="AI2" s="76"/>
      <c r="AJ2" s="76"/>
      <c r="AK2" s="76"/>
      <c r="AL2" s="76"/>
      <c r="AM2" s="76"/>
      <c r="AN2" s="76"/>
      <c r="AO2" s="76"/>
      <c r="AP2" s="76"/>
      <c r="AQ2" s="76"/>
    </row>
    <row r="3" spans="1:43" s="77" customFormat="1" ht="14.25" customHeight="1" outlineLevel="1" x14ac:dyDescent="0.25">
      <c r="A3" s="104"/>
      <c r="B3" s="72" t="s">
        <v>77</v>
      </c>
      <c r="C3" s="104"/>
      <c r="D3" s="74" t="s">
        <v>248</v>
      </c>
      <c r="E3" s="74" t="s">
        <v>252</v>
      </c>
      <c r="F3" s="74" t="s">
        <v>248</v>
      </c>
      <c r="G3" s="74" t="s">
        <v>252</v>
      </c>
      <c r="H3" s="74" t="s">
        <v>249</v>
      </c>
      <c r="I3" s="74" t="s">
        <v>250</v>
      </c>
      <c r="J3" s="74" t="s">
        <v>251</v>
      </c>
      <c r="K3" s="74" t="s">
        <v>252</v>
      </c>
      <c r="L3" s="74" t="s">
        <v>249</v>
      </c>
      <c r="M3" s="74" t="s">
        <v>250</v>
      </c>
      <c r="N3" s="74" t="s">
        <v>251</v>
      </c>
      <c r="O3" s="74" t="s">
        <v>247</v>
      </c>
      <c r="P3" s="104"/>
      <c r="Q3" s="74" t="s">
        <v>252</v>
      </c>
      <c r="R3" s="74" t="s">
        <v>248</v>
      </c>
      <c r="S3" s="74" t="s">
        <v>252</v>
      </c>
      <c r="U3" s="78"/>
      <c r="V3" s="78"/>
      <c r="W3" s="78"/>
      <c r="X3" s="78"/>
      <c r="Y3" s="78"/>
      <c r="Z3" s="78"/>
      <c r="AA3" s="78"/>
      <c r="AB3" s="78"/>
      <c r="AC3" s="78"/>
      <c r="AD3" s="78"/>
      <c r="AE3" s="78"/>
      <c r="AF3" s="78"/>
      <c r="AG3" s="78"/>
      <c r="AH3" s="78"/>
      <c r="AI3" s="78"/>
      <c r="AJ3" s="78"/>
      <c r="AK3" s="78"/>
      <c r="AL3" s="78"/>
      <c r="AM3" s="78"/>
      <c r="AN3" s="78"/>
      <c r="AO3" s="78"/>
      <c r="AP3" s="78"/>
      <c r="AQ3" s="78"/>
    </row>
    <row r="4" spans="1:43" s="77" customFormat="1" ht="14.25" customHeight="1" outlineLevel="1" x14ac:dyDescent="0.25">
      <c r="A4" s="104"/>
      <c r="B4" s="72" t="s">
        <v>78</v>
      </c>
      <c r="C4" s="104"/>
      <c r="D4" s="74" t="s">
        <v>254</v>
      </c>
      <c r="E4" s="74" t="s">
        <v>254</v>
      </c>
      <c r="F4" s="74"/>
      <c r="G4" s="74"/>
      <c r="H4" s="74"/>
      <c r="I4" s="74"/>
      <c r="J4" s="74"/>
      <c r="K4" s="74"/>
      <c r="L4" s="74"/>
      <c r="M4" s="74"/>
      <c r="N4" s="74"/>
      <c r="O4" s="74"/>
      <c r="P4" s="104"/>
      <c r="Q4" s="74" t="s">
        <v>253</v>
      </c>
      <c r="R4" s="74" t="s">
        <v>253</v>
      </c>
      <c r="S4" s="74" t="s">
        <v>253</v>
      </c>
      <c r="U4" s="78"/>
      <c r="V4" s="78"/>
      <c r="W4" s="78"/>
      <c r="X4" s="78"/>
      <c r="Y4" s="78"/>
      <c r="Z4" s="78"/>
      <c r="AA4" s="78"/>
      <c r="AB4" s="78"/>
      <c r="AC4" s="78"/>
      <c r="AD4" s="78"/>
      <c r="AE4" s="78"/>
      <c r="AF4" s="78"/>
      <c r="AG4" s="78"/>
      <c r="AH4" s="78"/>
      <c r="AI4" s="78"/>
      <c r="AJ4" s="78"/>
      <c r="AK4" s="78"/>
      <c r="AL4" s="78"/>
      <c r="AM4" s="78"/>
      <c r="AN4" s="78"/>
      <c r="AO4" s="78"/>
      <c r="AP4" s="78"/>
      <c r="AQ4" s="78"/>
    </row>
    <row r="5" spans="1:43" s="77" customFormat="1" ht="14.1" customHeight="1" outlineLevel="1" x14ac:dyDescent="0.25">
      <c r="A5" s="104"/>
      <c r="B5" s="72" t="s">
        <v>255</v>
      </c>
      <c r="C5" s="104"/>
      <c r="D5" s="74"/>
      <c r="E5" s="74"/>
      <c r="F5" s="74"/>
      <c r="G5" s="74"/>
      <c r="H5" s="74"/>
      <c r="I5" s="74"/>
      <c r="J5" s="74"/>
      <c r="K5" s="74"/>
      <c r="L5" s="74"/>
      <c r="M5" s="74"/>
      <c r="N5" s="74"/>
      <c r="O5" s="74"/>
      <c r="P5" s="104"/>
      <c r="Q5" s="74" t="s">
        <v>260</v>
      </c>
      <c r="R5" s="74"/>
      <c r="S5" s="79"/>
      <c r="U5" s="78"/>
      <c r="V5" s="78"/>
      <c r="W5" s="78"/>
      <c r="X5" s="78"/>
      <c r="Y5" s="78"/>
      <c r="Z5" s="78"/>
      <c r="AA5" s="78"/>
      <c r="AB5" s="78"/>
      <c r="AC5" s="78"/>
      <c r="AD5" s="78"/>
      <c r="AE5" s="78"/>
      <c r="AF5" s="78"/>
      <c r="AG5" s="78"/>
      <c r="AH5" s="78"/>
      <c r="AI5" s="78"/>
      <c r="AJ5" s="78"/>
      <c r="AK5" s="78"/>
      <c r="AL5" s="78"/>
      <c r="AM5" s="78"/>
      <c r="AN5" s="78"/>
      <c r="AO5" s="78"/>
      <c r="AP5" s="78"/>
      <c r="AQ5" s="78"/>
    </row>
    <row r="6" spans="1:43" s="85" customFormat="1" ht="67.5" customHeight="1" outlineLevel="1" x14ac:dyDescent="0.25">
      <c r="A6" s="106"/>
      <c r="B6" s="81" t="s">
        <v>261</v>
      </c>
      <c r="C6" s="106"/>
      <c r="D6" s="83" t="s">
        <v>263</v>
      </c>
      <c r="E6" s="83" t="s">
        <v>264</v>
      </c>
      <c r="F6" s="74" t="s">
        <v>262</v>
      </c>
      <c r="G6" s="83" t="s">
        <v>262</v>
      </c>
      <c r="H6" s="83" t="s">
        <v>262</v>
      </c>
      <c r="I6" s="83" t="s">
        <v>262</v>
      </c>
      <c r="J6" s="83" t="s">
        <v>262</v>
      </c>
      <c r="K6" s="83" t="s">
        <v>588</v>
      </c>
      <c r="L6" s="83" t="s">
        <v>588</v>
      </c>
      <c r="M6" s="83" t="s">
        <v>588</v>
      </c>
      <c r="N6" s="83" t="s">
        <v>588</v>
      </c>
      <c r="O6" s="83" t="s">
        <v>262</v>
      </c>
      <c r="P6" s="106"/>
      <c r="Q6" s="83" t="s">
        <v>270</v>
      </c>
      <c r="R6" s="83" t="s">
        <v>271</v>
      </c>
      <c r="S6" s="83" t="s">
        <v>262</v>
      </c>
      <c r="U6" s="86"/>
      <c r="V6" s="86"/>
      <c r="W6" s="86"/>
      <c r="X6" s="86"/>
      <c r="Y6" s="86"/>
      <c r="Z6" s="86"/>
      <c r="AA6" s="86"/>
      <c r="AB6" s="86"/>
      <c r="AC6" s="86"/>
      <c r="AD6" s="86"/>
      <c r="AE6" s="86"/>
      <c r="AF6" s="86"/>
      <c r="AG6" s="86"/>
      <c r="AH6" s="86"/>
      <c r="AI6" s="86"/>
      <c r="AJ6" s="86"/>
      <c r="AK6" s="86"/>
      <c r="AL6" s="86"/>
      <c r="AM6" s="86"/>
      <c r="AN6" s="86"/>
      <c r="AO6" s="86"/>
      <c r="AP6" s="86"/>
      <c r="AQ6" s="86"/>
    </row>
    <row r="7" spans="1:43" s="248" customFormat="1" ht="25.5" customHeight="1" x14ac:dyDescent="0.25">
      <c r="A7" s="106"/>
      <c r="B7" s="106"/>
      <c r="C7" s="106"/>
      <c r="D7" s="247"/>
      <c r="E7" s="89"/>
      <c r="F7" s="94" t="s">
        <v>921</v>
      </c>
      <c r="G7" s="90" t="s">
        <v>158</v>
      </c>
      <c r="H7" s="90" t="s">
        <v>589</v>
      </c>
      <c r="I7" s="91"/>
      <c r="J7" s="91"/>
      <c r="K7" s="94" t="s">
        <v>590</v>
      </c>
      <c r="L7" s="94" t="s">
        <v>590</v>
      </c>
      <c r="M7" s="95" t="s">
        <v>590</v>
      </c>
      <c r="N7" s="95"/>
      <c r="O7" s="94"/>
      <c r="P7" s="106"/>
      <c r="Q7" s="90" t="s">
        <v>684</v>
      </c>
      <c r="R7" s="90" t="s">
        <v>968</v>
      </c>
      <c r="S7" s="90" t="s">
        <v>50</v>
      </c>
      <c r="V7" s="90"/>
      <c r="W7" s="90"/>
      <c r="X7" s="90"/>
      <c r="Y7" s="90"/>
      <c r="Z7" s="90"/>
      <c r="AA7" s="90"/>
      <c r="AB7" s="90"/>
      <c r="AC7" s="90"/>
      <c r="AD7" s="90"/>
      <c r="AE7" s="90"/>
      <c r="AF7" s="90"/>
      <c r="AG7" s="90"/>
      <c r="AH7" s="90"/>
      <c r="AI7" s="90"/>
      <c r="AJ7" s="90"/>
      <c r="AK7" s="90"/>
      <c r="AL7" s="90"/>
      <c r="AM7" s="90"/>
      <c r="AN7" s="90"/>
      <c r="AO7" s="90"/>
      <c r="AP7" s="90"/>
      <c r="AQ7" s="90"/>
    </row>
    <row r="8" spans="1:43" s="248" customFormat="1" ht="51" customHeight="1" x14ac:dyDescent="0.25">
      <c r="A8" s="106"/>
      <c r="B8" s="106"/>
      <c r="C8" s="106"/>
      <c r="D8" s="247"/>
      <c r="E8" s="89"/>
      <c r="F8" s="94" t="s">
        <v>922</v>
      </c>
      <c r="G8" s="90" t="s">
        <v>159</v>
      </c>
      <c r="H8" s="90" t="s">
        <v>591</v>
      </c>
      <c r="I8" s="91"/>
      <c r="J8" s="91"/>
      <c r="K8" s="94" t="s">
        <v>592</v>
      </c>
      <c r="L8" s="94" t="s">
        <v>592</v>
      </c>
      <c r="M8" s="95" t="s">
        <v>592</v>
      </c>
      <c r="N8" s="95"/>
      <c r="O8" s="94"/>
      <c r="P8" s="106"/>
      <c r="Q8" s="90" t="s">
        <v>684</v>
      </c>
      <c r="R8" s="90" t="s">
        <v>968</v>
      </c>
      <c r="S8" s="90" t="s">
        <v>50</v>
      </c>
      <c r="V8" s="90"/>
      <c r="W8" s="90"/>
      <c r="X8" s="90"/>
      <c r="Y8" s="90"/>
      <c r="Z8" s="90"/>
      <c r="AA8" s="90"/>
      <c r="AB8" s="90"/>
      <c r="AC8" s="90"/>
      <c r="AD8" s="90"/>
      <c r="AE8" s="90"/>
      <c r="AF8" s="90"/>
      <c r="AG8" s="90"/>
      <c r="AH8" s="90"/>
      <c r="AI8" s="90"/>
      <c r="AJ8" s="90"/>
      <c r="AK8" s="90"/>
      <c r="AL8" s="90"/>
      <c r="AM8" s="90"/>
      <c r="AN8" s="90"/>
      <c r="AO8" s="90"/>
      <c r="AP8" s="90"/>
      <c r="AQ8" s="90"/>
    </row>
    <row r="9" spans="1:43" s="248" customFormat="1" ht="12.75" customHeight="1" x14ac:dyDescent="0.25">
      <c r="A9" s="106"/>
      <c r="B9" s="106"/>
      <c r="C9" s="106"/>
      <c r="D9" s="247"/>
      <c r="E9" s="89"/>
      <c r="F9" s="94" t="s">
        <v>923</v>
      </c>
      <c r="G9" s="90" t="s">
        <v>343</v>
      </c>
      <c r="H9" s="90" t="s">
        <v>343</v>
      </c>
      <c r="I9" s="91"/>
      <c r="J9" s="91"/>
      <c r="K9" s="94"/>
      <c r="L9" s="94"/>
      <c r="M9" s="95"/>
      <c r="N9" s="95"/>
      <c r="O9" s="94"/>
      <c r="P9" s="106"/>
      <c r="Q9" s="90" t="s">
        <v>684</v>
      </c>
      <c r="R9" s="90" t="s">
        <v>968</v>
      </c>
      <c r="S9" s="90" t="s">
        <v>50</v>
      </c>
      <c r="V9" s="90"/>
      <c r="W9" s="90"/>
      <c r="X9" s="90"/>
      <c r="Y9" s="90"/>
      <c r="Z9" s="90"/>
      <c r="AA9" s="90"/>
      <c r="AB9" s="90"/>
      <c r="AC9" s="90"/>
      <c r="AD9" s="90"/>
      <c r="AE9" s="90"/>
      <c r="AF9" s="90"/>
      <c r="AG9" s="90"/>
      <c r="AH9" s="90"/>
      <c r="AI9" s="90"/>
      <c r="AJ9" s="90"/>
      <c r="AK9" s="90"/>
      <c r="AL9" s="90"/>
      <c r="AM9" s="90"/>
      <c r="AN9" s="90"/>
      <c r="AO9" s="90"/>
      <c r="AP9" s="90"/>
      <c r="AQ9" s="90"/>
    </row>
    <row r="10" spans="1:43" s="248" customFormat="1" ht="12.75" customHeight="1" x14ac:dyDescent="0.25">
      <c r="A10" s="106"/>
      <c r="B10" s="106"/>
      <c r="C10" s="106"/>
      <c r="D10" s="247"/>
      <c r="E10" s="89"/>
      <c r="F10" s="94" t="s">
        <v>924</v>
      </c>
      <c r="G10" s="90" t="s">
        <v>593</v>
      </c>
      <c r="H10" s="90" t="s">
        <v>349</v>
      </c>
      <c r="I10" s="91"/>
      <c r="J10" s="91"/>
      <c r="K10" s="94"/>
      <c r="L10" s="94"/>
      <c r="M10" s="95"/>
      <c r="N10" s="95"/>
      <c r="O10" s="94"/>
      <c r="P10" s="106"/>
      <c r="Q10" s="90" t="s">
        <v>684</v>
      </c>
      <c r="R10" s="90" t="s">
        <v>968</v>
      </c>
      <c r="S10" s="90" t="s">
        <v>50</v>
      </c>
      <c r="V10" s="90"/>
      <c r="W10" s="90"/>
      <c r="X10" s="90"/>
      <c r="Y10" s="90"/>
      <c r="Z10" s="90"/>
      <c r="AA10" s="90"/>
      <c r="AB10" s="90"/>
      <c r="AC10" s="90"/>
      <c r="AD10" s="90"/>
      <c r="AE10" s="90"/>
      <c r="AF10" s="90"/>
      <c r="AG10" s="90"/>
      <c r="AH10" s="90"/>
      <c r="AI10" s="90"/>
      <c r="AJ10" s="90"/>
      <c r="AK10" s="90"/>
      <c r="AL10" s="90"/>
      <c r="AM10" s="90"/>
      <c r="AN10" s="90"/>
      <c r="AO10" s="90"/>
      <c r="AP10" s="90"/>
      <c r="AQ10" s="90"/>
    </row>
    <row r="11" spans="1:43" s="248" customFormat="1" ht="63.75" customHeight="1" x14ac:dyDescent="0.25">
      <c r="A11" s="106"/>
      <c r="B11" s="106"/>
      <c r="C11" s="106"/>
      <c r="D11" s="247"/>
      <c r="E11" s="89"/>
      <c r="F11" s="94" t="s">
        <v>925</v>
      </c>
      <c r="G11" s="90" t="s">
        <v>354</v>
      </c>
      <c r="H11" s="90" t="s">
        <v>594</v>
      </c>
      <c r="I11" s="91"/>
      <c r="J11" s="91"/>
      <c r="K11" s="94" t="s">
        <v>977</v>
      </c>
      <c r="L11" s="94" t="s">
        <v>978</v>
      </c>
      <c r="M11" s="95" t="s">
        <v>979</v>
      </c>
      <c r="N11" s="95"/>
      <c r="O11" s="94"/>
      <c r="P11" s="106"/>
      <c r="Q11" s="90" t="s">
        <v>684</v>
      </c>
      <c r="R11" s="90" t="s">
        <v>968</v>
      </c>
      <c r="S11" s="90" t="s">
        <v>50</v>
      </c>
      <c r="V11" s="90"/>
      <c r="W11" s="90"/>
      <c r="X11" s="90"/>
      <c r="Y11" s="90"/>
      <c r="Z11" s="90"/>
      <c r="AA11" s="90"/>
      <c r="AB11" s="90"/>
      <c r="AC11" s="90"/>
      <c r="AD11" s="90"/>
      <c r="AE11" s="90"/>
      <c r="AF11" s="90"/>
      <c r="AG11" s="90"/>
      <c r="AH11" s="90"/>
      <c r="AI11" s="90"/>
      <c r="AJ11" s="90"/>
      <c r="AK11" s="90"/>
      <c r="AL11" s="90"/>
      <c r="AM11" s="90"/>
      <c r="AN11" s="90"/>
      <c r="AO11" s="90"/>
      <c r="AP11" s="90"/>
      <c r="AQ11" s="90"/>
    </row>
    <row r="12" spans="1:43" s="248" customFormat="1" ht="51" customHeight="1" x14ac:dyDescent="0.25">
      <c r="A12" s="106"/>
      <c r="B12" s="106"/>
      <c r="C12" s="106"/>
      <c r="D12" s="247"/>
      <c r="E12" s="89"/>
      <c r="F12" s="94" t="s">
        <v>926</v>
      </c>
      <c r="G12" s="90" t="s">
        <v>357</v>
      </c>
      <c r="H12" s="90" t="s">
        <v>595</v>
      </c>
      <c r="I12" s="91"/>
      <c r="J12" s="91"/>
      <c r="K12" s="94" t="s">
        <v>980</v>
      </c>
      <c r="L12" s="94" t="s">
        <v>596</v>
      </c>
      <c r="M12" s="95" t="s">
        <v>597</v>
      </c>
      <c r="N12" s="95"/>
      <c r="O12" s="94"/>
      <c r="P12" s="106"/>
      <c r="Q12" s="90" t="s">
        <v>684</v>
      </c>
      <c r="R12" s="90" t="s">
        <v>968</v>
      </c>
      <c r="S12" s="90" t="s">
        <v>50</v>
      </c>
      <c r="V12" s="90"/>
      <c r="W12" s="90"/>
      <c r="X12" s="90"/>
      <c r="Y12" s="90"/>
      <c r="Z12" s="90"/>
      <c r="AA12" s="90"/>
      <c r="AB12" s="90"/>
      <c r="AC12" s="90"/>
      <c r="AD12" s="90"/>
      <c r="AE12" s="90"/>
      <c r="AF12" s="90"/>
      <c r="AG12" s="90"/>
      <c r="AH12" s="90"/>
      <c r="AI12" s="90"/>
      <c r="AJ12" s="90"/>
      <c r="AK12" s="90"/>
      <c r="AL12" s="90"/>
      <c r="AM12" s="90"/>
      <c r="AN12" s="90"/>
      <c r="AO12" s="90"/>
      <c r="AP12" s="90"/>
      <c r="AQ12" s="90"/>
    </row>
    <row r="13" spans="1:43" s="248" customFormat="1" ht="127.5" customHeight="1" x14ac:dyDescent="0.25">
      <c r="A13" s="106"/>
      <c r="B13" s="106"/>
      <c r="C13" s="106"/>
      <c r="D13" s="247"/>
      <c r="E13" s="89"/>
      <c r="F13" s="94" t="s">
        <v>927</v>
      </c>
      <c r="G13" s="90" t="s">
        <v>361</v>
      </c>
      <c r="H13" s="90" t="s">
        <v>358</v>
      </c>
      <c r="I13" s="91"/>
      <c r="J13" s="91"/>
      <c r="K13" s="94" t="s">
        <v>598</v>
      </c>
      <c r="L13" s="94" t="s">
        <v>981</v>
      </c>
      <c r="M13" s="95"/>
      <c r="N13" s="95"/>
      <c r="O13" s="94"/>
      <c r="P13" s="106"/>
      <c r="Q13" s="90" t="s">
        <v>684</v>
      </c>
      <c r="R13" s="90" t="s">
        <v>968</v>
      </c>
      <c r="S13" s="90" t="s">
        <v>50</v>
      </c>
      <c r="V13" s="90"/>
      <c r="W13" s="90"/>
      <c r="X13" s="90"/>
      <c r="Y13" s="90"/>
      <c r="Z13" s="90"/>
      <c r="AA13" s="90"/>
      <c r="AB13" s="90"/>
      <c r="AC13" s="90"/>
      <c r="AD13" s="90"/>
      <c r="AE13" s="90"/>
      <c r="AF13" s="90"/>
      <c r="AG13" s="90"/>
      <c r="AH13" s="90"/>
      <c r="AI13" s="90"/>
      <c r="AJ13" s="90"/>
      <c r="AK13" s="90"/>
      <c r="AL13" s="90"/>
      <c r="AM13" s="90"/>
      <c r="AN13" s="90"/>
      <c r="AO13" s="90"/>
      <c r="AP13" s="90"/>
      <c r="AQ13" s="90"/>
    </row>
    <row r="14" spans="1:43" s="248" customFormat="1" ht="153" customHeight="1" x14ac:dyDescent="0.25">
      <c r="A14" s="106"/>
      <c r="B14" s="106"/>
      <c r="C14" s="106"/>
      <c r="D14" s="247"/>
      <c r="E14" s="89"/>
      <c r="F14" s="94" t="s">
        <v>928</v>
      </c>
      <c r="G14" s="90" t="s">
        <v>365</v>
      </c>
      <c r="H14" s="90" t="s">
        <v>362</v>
      </c>
      <c r="I14" s="91"/>
      <c r="J14" s="91"/>
      <c r="K14" s="94" t="s">
        <v>599</v>
      </c>
      <c r="L14" s="94" t="s">
        <v>982</v>
      </c>
      <c r="M14" s="95"/>
      <c r="N14" s="95"/>
      <c r="O14" s="94"/>
      <c r="P14" s="106"/>
      <c r="Q14" s="90" t="s">
        <v>684</v>
      </c>
      <c r="R14" s="90" t="s">
        <v>968</v>
      </c>
      <c r="S14" s="90" t="s">
        <v>50</v>
      </c>
      <c r="V14" s="90"/>
      <c r="W14" s="90"/>
      <c r="X14" s="90"/>
      <c r="Y14" s="90"/>
      <c r="Z14" s="90"/>
      <c r="AA14" s="90"/>
      <c r="AB14" s="90"/>
      <c r="AC14" s="90"/>
      <c r="AD14" s="90"/>
      <c r="AE14" s="90"/>
      <c r="AF14" s="90"/>
      <c r="AG14" s="90"/>
      <c r="AH14" s="90"/>
      <c r="AI14" s="90"/>
      <c r="AJ14" s="90"/>
      <c r="AK14" s="90"/>
      <c r="AL14" s="90"/>
      <c r="AM14" s="90"/>
      <c r="AN14" s="90"/>
      <c r="AO14" s="90"/>
      <c r="AP14" s="90"/>
      <c r="AQ14" s="90"/>
    </row>
    <row r="15" spans="1:43" s="248" customFormat="1" ht="12.75" customHeight="1" x14ac:dyDescent="0.25">
      <c r="A15" s="106"/>
      <c r="B15" s="106"/>
      <c r="C15" s="106"/>
      <c r="D15" s="247"/>
      <c r="E15" s="89"/>
      <c r="F15" s="94" t="s">
        <v>929</v>
      </c>
      <c r="G15" s="90" t="s">
        <v>370</v>
      </c>
      <c r="H15" s="90" t="s">
        <v>367</v>
      </c>
      <c r="I15" s="91"/>
      <c r="J15" s="91"/>
      <c r="K15" s="94"/>
      <c r="L15" s="94"/>
      <c r="M15" s="95"/>
      <c r="N15" s="95"/>
      <c r="O15" s="94"/>
      <c r="P15" s="106"/>
      <c r="Q15" s="90" t="s">
        <v>684</v>
      </c>
      <c r="R15" s="90" t="s">
        <v>968</v>
      </c>
      <c r="S15" s="90" t="s">
        <v>50</v>
      </c>
      <c r="V15" s="90"/>
      <c r="W15" s="90"/>
      <c r="X15" s="90"/>
      <c r="Y15" s="90"/>
      <c r="Z15" s="90"/>
      <c r="AA15" s="90"/>
      <c r="AB15" s="90"/>
      <c r="AC15" s="90"/>
      <c r="AD15" s="90"/>
      <c r="AE15" s="90"/>
      <c r="AF15" s="90"/>
      <c r="AG15" s="90"/>
      <c r="AH15" s="90"/>
      <c r="AI15" s="90"/>
      <c r="AJ15" s="90"/>
      <c r="AK15" s="90"/>
      <c r="AL15" s="90"/>
      <c r="AM15" s="90"/>
      <c r="AN15" s="90"/>
      <c r="AO15" s="90"/>
      <c r="AP15" s="90"/>
      <c r="AQ15" s="90"/>
    </row>
    <row r="16" spans="1:43" s="248" customFormat="1" ht="12.75" customHeight="1" x14ac:dyDescent="0.25">
      <c r="A16" s="106"/>
      <c r="B16" s="106"/>
      <c r="C16" s="106"/>
      <c r="D16" s="247"/>
      <c r="E16" s="89"/>
      <c r="F16" s="94" t="s">
        <v>930</v>
      </c>
      <c r="G16" s="90" t="s">
        <v>375</v>
      </c>
      <c r="H16" s="90" t="s">
        <v>372</v>
      </c>
      <c r="I16" s="91"/>
      <c r="J16" s="91"/>
      <c r="K16" s="94"/>
      <c r="L16" s="94"/>
      <c r="M16" s="95"/>
      <c r="N16" s="95"/>
      <c r="O16" s="94"/>
      <c r="P16" s="106"/>
      <c r="Q16" s="90" t="s">
        <v>684</v>
      </c>
      <c r="R16" s="90" t="s">
        <v>968</v>
      </c>
      <c r="S16" s="90" t="s">
        <v>50</v>
      </c>
      <c r="V16" s="90"/>
      <c r="W16" s="90"/>
      <c r="X16" s="90"/>
      <c r="Y16" s="90"/>
      <c r="Z16" s="90"/>
      <c r="AA16" s="90"/>
      <c r="AB16" s="90"/>
      <c r="AC16" s="90"/>
      <c r="AD16" s="90"/>
      <c r="AE16" s="90"/>
      <c r="AF16" s="90"/>
      <c r="AG16" s="90"/>
      <c r="AH16" s="90"/>
      <c r="AI16" s="90"/>
      <c r="AJ16" s="90"/>
      <c r="AK16" s="90"/>
      <c r="AL16" s="90"/>
      <c r="AM16" s="90"/>
      <c r="AN16" s="90"/>
      <c r="AO16" s="90"/>
      <c r="AP16" s="90"/>
      <c r="AQ16" s="90"/>
    </row>
    <row r="17" spans="1:43" s="248" customFormat="1" ht="12.75" customHeight="1" x14ac:dyDescent="0.25">
      <c r="A17" s="106"/>
      <c r="B17" s="106"/>
      <c r="C17" s="106"/>
      <c r="D17" s="247"/>
      <c r="E17" s="89"/>
      <c r="F17" s="94" t="s">
        <v>931</v>
      </c>
      <c r="G17" s="90" t="s">
        <v>380</v>
      </c>
      <c r="H17" s="90" t="s">
        <v>377</v>
      </c>
      <c r="I17" s="91"/>
      <c r="J17" s="91"/>
      <c r="K17" s="94"/>
      <c r="L17" s="94"/>
      <c r="M17" s="95"/>
      <c r="N17" s="95"/>
      <c r="O17" s="94"/>
      <c r="P17" s="106"/>
      <c r="Q17" s="90" t="s">
        <v>684</v>
      </c>
      <c r="R17" s="90" t="s">
        <v>968</v>
      </c>
      <c r="S17" s="90" t="s">
        <v>50</v>
      </c>
      <c r="V17" s="90"/>
      <c r="W17" s="90"/>
      <c r="X17" s="90"/>
      <c r="Y17" s="90"/>
      <c r="Z17" s="90"/>
      <c r="AA17" s="90"/>
      <c r="AB17" s="90"/>
      <c r="AC17" s="90"/>
      <c r="AD17" s="90"/>
      <c r="AE17" s="90"/>
      <c r="AF17" s="90"/>
      <c r="AG17" s="90"/>
      <c r="AH17" s="90"/>
      <c r="AI17" s="90"/>
      <c r="AJ17" s="90"/>
      <c r="AK17" s="90"/>
      <c r="AL17" s="90"/>
      <c r="AM17" s="90"/>
      <c r="AN17" s="90"/>
      <c r="AO17" s="90"/>
      <c r="AP17" s="90"/>
      <c r="AQ17" s="90"/>
    </row>
    <row r="18" spans="1:43" s="248" customFormat="1" ht="12.75" customHeight="1" x14ac:dyDescent="0.25">
      <c r="A18" s="106"/>
      <c r="B18" s="106"/>
      <c r="C18" s="106"/>
      <c r="D18" s="247"/>
      <c r="E18" s="89"/>
      <c r="F18" s="94" t="s">
        <v>932</v>
      </c>
      <c r="G18" s="90" t="s">
        <v>385</v>
      </c>
      <c r="H18" s="90" t="s">
        <v>382</v>
      </c>
      <c r="I18" s="91"/>
      <c r="J18" s="91"/>
      <c r="K18" s="94"/>
      <c r="L18" s="94"/>
      <c r="M18" s="95"/>
      <c r="N18" s="95"/>
      <c r="O18" s="94"/>
      <c r="P18" s="106"/>
      <c r="Q18" s="90" t="s">
        <v>684</v>
      </c>
      <c r="R18" s="90" t="s">
        <v>968</v>
      </c>
      <c r="S18" s="90" t="s">
        <v>50</v>
      </c>
      <c r="V18" s="90"/>
      <c r="W18" s="90"/>
      <c r="X18" s="90"/>
      <c r="Y18" s="90"/>
      <c r="Z18" s="90"/>
      <c r="AA18" s="90"/>
      <c r="AB18" s="90"/>
      <c r="AC18" s="90"/>
      <c r="AD18" s="90"/>
      <c r="AE18" s="90"/>
      <c r="AF18" s="90"/>
      <c r="AG18" s="90"/>
      <c r="AH18" s="90"/>
      <c r="AI18" s="90"/>
      <c r="AJ18" s="90"/>
      <c r="AK18" s="90"/>
      <c r="AL18" s="90"/>
      <c r="AM18" s="90"/>
      <c r="AN18" s="90"/>
      <c r="AO18" s="90"/>
      <c r="AP18" s="90"/>
      <c r="AQ18" s="90"/>
    </row>
    <row r="19" spans="1:43" s="248" customFormat="1" ht="12.75" customHeight="1" x14ac:dyDescent="0.25">
      <c r="A19" s="106"/>
      <c r="B19" s="106"/>
      <c r="C19" s="106"/>
      <c r="D19" s="247"/>
      <c r="E19" s="89"/>
      <c r="F19" s="94" t="s">
        <v>933</v>
      </c>
      <c r="G19" s="90" t="s">
        <v>388</v>
      </c>
      <c r="H19" s="90" t="s">
        <v>389</v>
      </c>
      <c r="I19" s="91"/>
      <c r="J19" s="91"/>
      <c r="K19" s="94"/>
      <c r="L19" s="94"/>
      <c r="M19" s="95"/>
      <c r="N19" s="95"/>
      <c r="O19" s="94"/>
      <c r="P19" s="106"/>
      <c r="Q19" s="90" t="s">
        <v>684</v>
      </c>
      <c r="R19" s="90" t="s">
        <v>968</v>
      </c>
      <c r="S19" s="90" t="s">
        <v>50</v>
      </c>
      <c r="V19" s="90"/>
      <c r="W19" s="90"/>
      <c r="X19" s="90"/>
      <c r="Y19" s="90"/>
      <c r="Z19" s="90"/>
      <c r="AA19" s="90"/>
      <c r="AB19" s="90"/>
      <c r="AC19" s="90"/>
      <c r="AD19" s="90"/>
      <c r="AE19" s="90"/>
      <c r="AF19" s="90"/>
      <c r="AG19" s="90"/>
      <c r="AH19" s="90"/>
      <c r="AI19" s="90"/>
      <c r="AJ19" s="90"/>
      <c r="AK19" s="90"/>
      <c r="AL19" s="90"/>
      <c r="AM19" s="90"/>
      <c r="AN19" s="90"/>
      <c r="AO19" s="90"/>
      <c r="AP19" s="90"/>
      <c r="AQ19" s="90"/>
    </row>
    <row r="20" spans="1:43" s="248" customFormat="1" ht="12.75" customHeight="1" x14ac:dyDescent="0.25">
      <c r="A20" s="106"/>
      <c r="B20" s="106"/>
      <c r="C20" s="106"/>
      <c r="D20" s="247"/>
      <c r="E20" s="89"/>
      <c r="F20" s="94" t="s">
        <v>934</v>
      </c>
      <c r="G20" s="90" t="s">
        <v>394</v>
      </c>
      <c r="H20" s="90" t="s">
        <v>391</v>
      </c>
      <c r="I20" s="91"/>
      <c r="J20" s="91"/>
      <c r="K20" s="94"/>
      <c r="L20" s="94"/>
      <c r="M20" s="95"/>
      <c r="N20" s="95"/>
      <c r="O20" s="94"/>
      <c r="P20" s="106"/>
      <c r="Q20" s="90" t="s">
        <v>684</v>
      </c>
      <c r="R20" s="90" t="s">
        <v>968</v>
      </c>
      <c r="S20" s="90" t="s">
        <v>50</v>
      </c>
      <c r="V20" s="90"/>
      <c r="W20" s="90"/>
      <c r="X20" s="90"/>
      <c r="Y20" s="90"/>
      <c r="Z20" s="90"/>
      <c r="AA20" s="90"/>
      <c r="AB20" s="90"/>
      <c r="AC20" s="90"/>
      <c r="AD20" s="90"/>
      <c r="AE20" s="90"/>
      <c r="AF20" s="90"/>
      <c r="AG20" s="90"/>
      <c r="AH20" s="90"/>
      <c r="AI20" s="90"/>
      <c r="AJ20" s="90"/>
      <c r="AK20" s="90"/>
      <c r="AL20" s="90"/>
      <c r="AM20" s="90"/>
      <c r="AN20" s="90"/>
      <c r="AO20" s="90"/>
      <c r="AP20" s="90"/>
      <c r="AQ20" s="90"/>
    </row>
    <row r="21" spans="1:43" s="248" customFormat="1" ht="12.75" customHeight="1" x14ac:dyDescent="0.25">
      <c r="A21" s="106"/>
      <c r="B21" s="106"/>
      <c r="C21" s="106"/>
      <c r="D21" s="247"/>
      <c r="E21" s="89"/>
      <c r="F21" s="94" t="s">
        <v>935</v>
      </c>
      <c r="G21" s="90" t="s">
        <v>397</v>
      </c>
      <c r="H21" s="90" t="s">
        <v>396</v>
      </c>
      <c r="I21" s="91"/>
      <c r="J21" s="91"/>
      <c r="K21" s="94"/>
      <c r="L21" s="94"/>
      <c r="M21" s="95"/>
      <c r="N21" s="95"/>
      <c r="O21" s="94"/>
      <c r="P21" s="106"/>
      <c r="Q21" s="90" t="s">
        <v>684</v>
      </c>
      <c r="R21" s="90" t="s">
        <v>968</v>
      </c>
      <c r="S21" s="90" t="s">
        <v>50</v>
      </c>
      <c r="U21" s="249"/>
      <c r="V21" s="90"/>
      <c r="W21" s="90"/>
      <c r="X21" s="90"/>
      <c r="Y21" s="90"/>
      <c r="Z21" s="90"/>
      <c r="AA21" s="90"/>
      <c r="AB21" s="90"/>
      <c r="AC21" s="90"/>
      <c r="AD21" s="90"/>
      <c r="AE21" s="90"/>
      <c r="AF21" s="90"/>
      <c r="AG21" s="90"/>
      <c r="AH21" s="90"/>
      <c r="AI21" s="90"/>
      <c r="AJ21" s="90"/>
      <c r="AK21" s="90"/>
      <c r="AL21" s="90"/>
      <c r="AM21" s="90"/>
      <c r="AN21" s="90"/>
      <c r="AO21" s="90"/>
      <c r="AP21" s="90"/>
      <c r="AQ21" s="90"/>
    </row>
    <row r="22" spans="1:43" s="248" customFormat="1" ht="12.75" customHeight="1" x14ac:dyDescent="0.25">
      <c r="A22" s="106"/>
      <c r="B22" s="106"/>
      <c r="C22" s="106"/>
      <c r="D22" s="247"/>
      <c r="E22" s="89"/>
      <c r="F22" s="94" t="s">
        <v>936</v>
      </c>
      <c r="G22" s="90" t="s">
        <v>400</v>
      </c>
      <c r="H22" s="90" t="s">
        <v>399</v>
      </c>
      <c r="I22" s="91"/>
      <c r="J22" s="91"/>
      <c r="K22" s="94"/>
      <c r="L22" s="94"/>
      <c r="M22" s="95"/>
      <c r="N22" s="95"/>
      <c r="O22" s="94"/>
      <c r="P22" s="106"/>
      <c r="Q22" s="90" t="s">
        <v>684</v>
      </c>
      <c r="R22" s="90" t="s">
        <v>968</v>
      </c>
      <c r="S22" s="90" t="s">
        <v>50</v>
      </c>
      <c r="U22" s="249"/>
      <c r="V22" s="90"/>
      <c r="W22" s="90"/>
      <c r="X22" s="90"/>
      <c r="Y22" s="90"/>
      <c r="Z22" s="90"/>
      <c r="AA22" s="90"/>
      <c r="AB22" s="90"/>
      <c r="AC22" s="90"/>
      <c r="AD22" s="90"/>
      <c r="AE22" s="90"/>
      <c r="AF22" s="90"/>
      <c r="AG22" s="90"/>
      <c r="AH22" s="90"/>
      <c r="AI22" s="90"/>
      <c r="AJ22" s="90"/>
      <c r="AK22" s="90"/>
      <c r="AL22" s="90"/>
      <c r="AM22" s="90"/>
      <c r="AN22" s="90"/>
      <c r="AO22" s="90"/>
      <c r="AP22" s="90"/>
      <c r="AQ22" s="90"/>
    </row>
    <row r="23" spans="1:43" s="249" customFormat="1" ht="14.25" customHeight="1" x14ac:dyDescent="0.25">
      <c r="A23" s="106"/>
      <c r="B23" s="106"/>
      <c r="C23" s="106"/>
      <c r="D23" s="247"/>
      <c r="E23" s="89"/>
      <c r="F23" s="94" t="s">
        <v>937</v>
      </c>
      <c r="G23" s="90" t="s">
        <v>405</v>
      </c>
      <c r="H23" s="90" t="s">
        <v>404</v>
      </c>
      <c r="I23" s="91"/>
      <c r="J23" s="91"/>
      <c r="K23" s="94"/>
      <c r="L23" s="94"/>
      <c r="M23" s="95"/>
      <c r="N23" s="95"/>
      <c r="O23" s="94"/>
      <c r="P23" s="106"/>
      <c r="Q23" s="90" t="s">
        <v>684</v>
      </c>
      <c r="R23" s="90" t="s">
        <v>968</v>
      </c>
      <c r="S23" s="90" t="s">
        <v>50</v>
      </c>
      <c r="V23" s="90"/>
      <c r="W23" s="90"/>
      <c r="X23" s="90"/>
      <c r="Y23" s="90"/>
      <c r="Z23" s="90"/>
      <c r="AA23" s="90"/>
      <c r="AB23" s="90"/>
      <c r="AC23" s="90"/>
      <c r="AD23" s="90"/>
      <c r="AE23" s="90"/>
      <c r="AF23" s="90"/>
      <c r="AG23" s="90"/>
      <c r="AH23" s="90"/>
      <c r="AI23" s="90"/>
      <c r="AJ23" s="90"/>
      <c r="AK23" s="90"/>
      <c r="AL23" s="90"/>
      <c r="AM23" s="90"/>
      <c r="AN23" s="90"/>
      <c r="AO23" s="90"/>
      <c r="AP23" s="90"/>
      <c r="AQ23" s="90"/>
    </row>
    <row r="24" spans="1:43" s="249" customFormat="1" ht="14.25" customHeight="1" x14ac:dyDescent="0.25">
      <c r="A24" s="106"/>
      <c r="B24" s="106"/>
      <c r="C24" s="106"/>
      <c r="D24" s="247"/>
      <c r="E24" s="89"/>
      <c r="F24" s="94" t="s">
        <v>938</v>
      </c>
      <c r="G24" s="90" t="s">
        <v>409</v>
      </c>
      <c r="H24" s="90" t="s">
        <v>408</v>
      </c>
      <c r="I24" s="91"/>
      <c r="J24" s="91"/>
      <c r="K24" s="94" t="s">
        <v>600</v>
      </c>
      <c r="L24" s="94" t="s">
        <v>600</v>
      </c>
      <c r="M24" s="95" t="s">
        <v>600</v>
      </c>
      <c r="N24" s="95"/>
      <c r="O24" s="94"/>
      <c r="P24" s="106"/>
      <c r="Q24" s="90" t="s">
        <v>684</v>
      </c>
      <c r="R24" s="90" t="s">
        <v>968</v>
      </c>
      <c r="S24" s="90" t="s">
        <v>50</v>
      </c>
      <c r="V24" s="90"/>
      <c r="W24" s="90"/>
      <c r="X24" s="90"/>
      <c r="Y24" s="90"/>
      <c r="Z24" s="90"/>
      <c r="AA24" s="90"/>
      <c r="AB24" s="90"/>
      <c r="AC24" s="90"/>
      <c r="AD24" s="90"/>
      <c r="AE24" s="90"/>
      <c r="AF24" s="90"/>
      <c r="AG24" s="90"/>
      <c r="AH24" s="90"/>
      <c r="AI24" s="90"/>
      <c r="AJ24" s="90"/>
      <c r="AK24" s="90"/>
      <c r="AL24" s="90"/>
      <c r="AM24" s="90"/>
      <c r="AN24" s="90"/>
      <c r="AO24" s="90"/>
      <c r="AP24" s="90"/>
      <c r="AQ24" s="90"/>
    </row>
    <row r="25" spans="1:43" s="249" customFormat="1" ht="14.25" customHeight="1" x14ac:dyDescent="0.25">
      <c r="A25" s="106"/>
      <c r="B25" s="106"/>
      <c r="C25" s="106"/>
      <c r="D25" s="247"/>
      <c r="E25" s="89"/>
      <c r="F25" s="94" t="s">
        <v>939</v>
      </c>
      <c r="G25" s="90" t="s">
        <v>414</v>
      </c>
      <c r="H25" s="90" t="s">
        <v>413</v>
      </c>
      <c r="I25" s="91"/>
      <c r="J25" s="91"/>
      <c r="K25" s="94"/>
      <c r="L25" s="94"/>
      <c r="M25" s="95"/>
      <c r="N25" s="95"/>
      <c r="O25" s="94"/>
      <c r="P25" s="106"/>
      <c r="Q25" s="90" t="s">
        <v>684</v>
      </c>
      <c r="R25" s="90" t="s">
        <v>968</v>
      </c>
      <c r="S25" s="90" t="s">
        <v>50</v>
      </c>
      <c r="V25" s="90"/>
      <c r="W25" s="90"/>
      <c r="X25" s="90"/>
      <c r="Y25" s="90"/>
      <c r="Z25" s="90"/>
      <c r="AA25" s="90"/>
      <c r="AB25" s="90"/>
      <c r="AC25" s="90"/>
      <c r="AD25" s="90"/>
      <c r="AE25" s="90"/>
      <c r="AF25" s="90"/>
      <c r="AG25" s="90"/>
      <c r="AH25" s="90"/>
      <c r="AI25" s="90"/>
      <c r="AJ25" s="90"/>
      <c r="AK25" s="90"/>
      <c r="AL25" s="90"/>
      <c r="AM25" s="90"/>
      <c r="AN25" s="90"/>
      <c r="AO25" s="90"/>
      <c r="AP25" s="90"/>
      <c r="AQ25" s="90"/>
    </row>
    <row r="26" spans="1:43" s="249" customFormat="1" ht="14.25" customHeight="1" x14ac:dyDescent="0.25">
      <c r="A26" s="106"/>
      <c r="B26" s="106"/>
      <c r="C26" s="106"/>
      <c r="D26" s="247"/>
      <c r="E26" s="89"/>
      <c r="F26" s="94" t="s">
        <v>940</v>
      </c>
      <c r="G26" s="90" t="s">
        <v>417</v>
      </c>
      <c r="H26" s="90" t="s">
        <v>416</v>
      </c>
      <c r="I26" s="91"/>
      <c r="J26" s="91"/>
      <c r="K26" s="94" t="s">
        <v>600</v>
      </c>
      <c r="L26" s="94" t="s">
        <v>600</v>
      </c>
      <c r="M26" s="95" t="s">
        <v>600</v>
      </c>
      <c r="N26" s="95"/>
      <c r="O26" s="94"/>
      <c r="P26" s="106"/>
      <c r="Q26" s="90" t="s">
        <v>684</v>
      </c>
      <c r="R26" s="90" t="s">
        <v>968</v>
      </c>
      <c r="S26" s="90" t="s">
        <v>50</v>
      </c>
      <c r="V26" s="90"/>
      <c r="W26" s="90"/>
      <c r="X26" s="90"/>
      <c r="Y26" s="90"/>
      <c r="Z26" s="90"/>
      <c r="AA26" s="90"/>
      <c r="AB26" s="90"/>
      <c r="AC26" s="90"/>
      <c r="AD26" s="90"/>
      <c r="AE26" s="90"/>
      <c r="AF26" s="90"/>
      <c r="AG26" s="90"/>
      <c r="AH26" s="90"/>
      <c r="AI26" s="90"/>
      <c r="AJ26" s="90"/>
      <c r="AK26" s="90"/>
      <c r="AL26" s="90"/>
      <c r="AM26" s="90"/>
      <c r="AN26" s="90"/>
      <c r="AO26" s="90"/>
      <c r="AP26" s="90"/>
      <c r="AQ26" s="90"/>
    </row>
    <row r="27" spans="1:43" s="249" customFormat="1" ht="14.25" customHeight="1" x14ac:dyDescent="0.25">
      <c r="A27" s="106"/>
      <c r="B27" s="106"/>
      <c r="C27" s="106"/>
      <c r="D27" s="247"/>
      <c r="E27" s="89"/>
      <c r="F27" s="94" t="s">
        <v>941</v>
      </c>
      <c r="G27" s="90" t="s">
        <v>419</v>
      </c>
      <c r="H27" s="90" t="s">
        <v>420</v>
      </c>
      <c r="I27" s="91"/>
      <c r="J27" s="91"/>
      <c r="K27" s="94"/>
      <c r="L27" s="94"/>
      <c r="M27" s="95"/>
      <c r="N27" s="95"/>
      <c r="O27" s="94"/>
      <c r="P27" s="106"/>
      <c r="Q27" s="90" t="s">
        <v>684</v>
      </c>
      <c r="R27" s="90" t="s">
        <v>968</v>
      </c>
      <c r="S27" s="90" t="s">
        <v>50</v>
      </c>
      <c r="V27" s="90"/>
      <c r="W27" s="90"/>
      <c r="X27" s="90"/>
      <c r="Y27" s="90"/>
      <c r="Z27" s="90"/>
      <c r="AA27" s="90"/>
      <c r="AB27" s="90"/>
      <c r="AC27" s="90"/>
      <c r="AD27" s="90"/>
      <c r="AE27" s="90"/>
      <c r="AF27" s="90"/>
      <c r="AG27" s="90"/>
      <c r="AH27" s="90"/>
      <c r="AI27" s="90"/>
      <c r="AJ27" s="90"/>
      <c r="AK27" s="90"/>
      <c r="AL27" s="90"/>
      <c r="AM27" s="90"/>
      <c r="AN27" s="90"/>
      <c r="AO27" s="90"/>
      <c r="AP27" s="90"/>
      <c r="AQ27" s="90"/>
    </row>
    <row r="28" spans="1:43" s="249" customFormat="1" ht="14.25" customHeight="1" x14ac:dyDescent="0.25">
      <c r="A28" s="106"/>
      <c r="B28" s="106"/>
      <c r="C28" s="106"/>
      <c r="D28" s="247"/>
      <c r="E28" s="89"/>
      <c r="F28" s="94" t="s">
        <v>942</v>
      </c>
      <c r="G28" s="90" t="s">
        <v>424</v>
      </c>
      <c r="H28" s="90" t="s">
        <v>423</v>
      </c>
      <c r="I28" s="91"/>
      <c r="J28" s="91"/>
      <c r="K28" s="94" t="s">
        <v>600</v>
      </c>
      <c r="L28" s="94" t="s">
        <v>600</v>
      </c>
      <c r="M28" s="95" t="s">
        <v>600</v>
      </c>
      <c r="N28" s="95"/>
      <c r="O28" s="94"/>
      <c r="P28" s="106"/>
      <c r="Q28" s="90" t="s">
        <v>684</v>
      </c>
      <c r="R28" s="90" t="s">
        <v>968</v>
      </c>
      <c r="S28" s="90" t="s">
        <v>50</v>
      </c>
      <c r="V28" s="90"/>
      <c r="W28" s="90"/>
      <c r="X28" s="90"/>
      <c r="Y28" s="90"/>
      <c r="Z28" s="90"/>
      <c r="AA28" s="90"/>
      <c r="AB28" s="90"/>
      <c r="AC28" s="90"/>
      <c r="AD28" s="90"/>
      <c r="AE28" s="90"/>
      <c r="AF28" s="90"/>
      <c r="AG28" s="90"/>
      <c r="AH28" s="90"/>
      <c r="AI28" s="90"/>
      <c r="AJ28" s="90"/>
      <c r="AK28" s="90"/>
      <c r="AL28" s="90"/>
      <c r="AM28" s="90"/>
      <c r="AN28" s="90"/>
      <c r="AO28" s="90"/>
      <c r="AP28" s="90"/>
      <c r="AQ28" s="90"/>
    </row>
    <row r="29" spans="1:43" s="249" customFormat="1" ht="14.25" customHeight="1" x14ac:dyDescent="0.25">
      <c r="A29" s="106"/>
      <c r="B29" s="106"/>
      <c r="C29" s="106"/>
      <c r="D29" s="247"/>
      <c r="E29" s="89"/>
      <c r="F29" s="94" t="s">
        <v>943</v>
      </c>
      <c r="G29" s="90" t="s">
        <v>427</v>
      </c>
      <c r="H29" s="90" t="s">
        <v>426</v>
      </c>
      <c r="I29" s="91"/>
      <c r="J29" s="91"/>
      <c r="K29" s="94" t="s">
        <v>600</v>
      </c>
      <c r="L29" s="94" t="s">
        <v>600</v>
      </c>
      <c r="M29" s="95" t="s">
        <v>600</v>
      </c>
      <c r="N29" s="95"/>
      <c r="O29" s="94"/>
      <c r="P29" s="106"/>
      <c r="Q29" s="90" t="s">
        <v>684</v>
      </c>
      <c r="R29" s="90" t="s">
        <v>968</v>
      </c>
      <c r="S29" s="90" t="s">
        <v>50</v>
      </c>
      <c r="V29" s="90"/>
      <c r="W29" s="90"/>
      <c r="X29" s="90"/>
      <c r="Y29" s="90"/>
      <c r="Z29" s="90"/>
      <c r="AA29" s="90"/>
      <c r="AB29" s="90"/>
      <c r="AC29" s="90"/>
      <c r="AD29" s="90"/>
      <c r="AE29" s="90"/>
      <c r="AF29" s="90"/>
      <c r="AG29" s="90"/>
      <c r="AH29" s="90"/>
      <c r="AI29" s="90"/>
      <c r="AJ29" s="90"/>
      <c r="AK29" s="90"/>
      <c r="AL29" s="90"/>
      <c r="AM29" s="90"/>
      <c r="AN29" s="90"/>
      <c r="AO29" s="90"/>
      <c r="AP29" s="90"/>
      <c r="AQ29" s="90"/>
    </row>
    <row r="30" spans="1:43" s="249" customFormat="1" ht="14.25" customHeight="1" x14ac:dyDescent="0.25">
      <c r="B30" s="106"/>
      <c r="D30" s="247"/>
      <c r="E30" s="89"/>
      <c r="F30" s="94" t="s">
        <v>944</v>
      </c>
      <c r="G30" s="90" t="s">
        <v>430</v>
      </c>
      <c r="H30" s="90" t="s">
        <v>429</v>
      </c>
      <c r="I30" s="91"/>
      <c r="J30" s="91"/>
      <c r="K30" s="94" t="s">
        <v>600</v>
      </c>
      <c r="L30" s="94" t="s">
        <v>600</v>
      </c>
      <c r="M30" s="95" t="s">
        <v>600</v>
      </c>
      <c r="N30" s="95"/>
      <c r="O30" s="94"/>
      <c r="Q30" s="90" t="s">
        <v>684</v>
      </c>
      <c r="R30" s="90" t="s">
        <v>968</v>
      </c>
      <c r="S30" s="90" t="s">
        <v>50</v>
      </c>
      <c r="V30" s="90"/>
      <c r="W30" s="90"/>
      <c r="X30" s="90"/>
      <c r="Y30" s="90"/>
      <c r="Z30" s="90"/>
      <c r="AA30" s="90"/>
      <c r="AB30" s="90"/>
      <c r="AC30" s="90"/>
      <c r="AD30" s="90"/>
      <c r="AE30" s="90"/>
      <c r="AF30" s="90"/>
      <c r="AG30" s="90"/>
      <c r="AH30" s="90"/>
      <c r="AI30" s="90"/>
      <c r="AJ30" s="90"/>
      <c r="AK30" s="90"/>
      <c r="AL30" s="90"/>
      <c r="AM30" s="90"/>
      <c r="AN30" s="90"/>
      <c r="AO30" s="90"/>
      <c r="AP30" s="90"/>
      <c r="AQ30" s="90"/>
    </row>
    <row r="31" spans="1:43" s="249" customFormat="1" ht="14.25" customHeight="1" x14ac:dyDescent="0.25">
      <c r="B31" s="106"/>
      <c r="D31" s="247"/>
      <c r="E31" s="89"/>
      <c r="F31" s="94" t="s">
        <v>945</v>
      </c>
      <c r="G31" s="90" t="s">
        <v>434</v>
      </c>
      <c r="H31" s="90" t="s">
        <v>432</v>
      </c>
      <c r="I31" s="91"/>
      <c r="J31" s="91"/>
      <c r="K31" s="94" t="s">
        <v>600</v>
      </c>
      <c r="L31" s="94" t="s">
        <v>600</v>
      </c>
      <c r="M31" s="95" t="s">
        <v>600</v>
      </c>
      <c r="N31" s="95"/>
      <c r="O31" s="94"/>
      <c r="Q31" s="90" t="s">
        <v>684</v>
      </c>
      <c r="R31" s="90" t="s">
        <v>968</v>
      </c>
      <c r="S31" s="90" t="s">
        <v>50</v>
      </c>
      <c r="V31" s="90"/>
      <c r="W31" s="90"/>
      <c r="X31" s="90"/>
      <c r="Y31" s="90"/>
      <c r="Z31" s="90"/>
      <c r="AA31" s="90"/>
      <c r="AB31" s="90"/>
      <c r="AC31" s="90"/>
      <c r="AD31" s="90"/>
      <c r="AE31" s="90"/>
      <c r="AF31" s="90"/>
      <c r="AG31" s="90"/>
      <c r="AH31" s="90"/>
      <c r="AI31" s="90"/>
      <c r="AJ31" s="90"/>
      <c r="AK31" s="90"/>
      <c r="AL31" s="90"/>
      <c r="AM31" s="90"/>
      <c r="AN31" s="90"/>
      <c r="AO31" s="90"/>
      <c r="AP31" s="90"/>
      <c r="AQ31" s="90"/>
    </row>
    <row r="32" spans="1:43" s="249" customFormat="1" ht="14.25" customHeight="1" x14ac:dyDescent="0.25">
      <c r="B32" s="106"/>
      <c r="D32" s="247"/>
      <c r="E32" s="89"/>
      <c r="F32" s="94" t="s">
        <v>946</v>
      </c>
      <c r="G32" s="90" t="s">
        <v>439</v>
      </c>
      <c r="H32" s="90" t="s">
        <v>436</v>
      </c>
      <c r="I32" s="91"/>
      <c r="J32" s="91"/>
      <c r="K32" s="94" t="s">
        <v>600</v>
      </c>
      <c r="L32" s="94" t="s">
        <v>600</v>
      </c>
      <c r="M32" s="95" t="s">
        <v>600</v>
      </c>
      <c r="N32" s="95"/>
      <c r="O32" s="94"/>
      <c r="Q32" s="90" t="s">
        <v>684</v>
      </c>
      <c r="R32" s="90" t="s">
        <v>968</v>
      </c>
      <c r="S32" s="90" t="s">
        <v>50</v>
      </c>
      <c r="V32" s="90"/>
      <c r="W32" s="90"/>
      <c r="X32" s="90"/>
      <c r="Y32" s="90"/>
      <c r="Z32" s="90"/>
      <c r="AA32" s="90"/>
      <c r="AB32" s="90"/>
      <c r="AC32" s="90"/>
      <c r="AD32" s="90"/>
      <c r="AE32" s="90"/>
      <c r="AF32" s="90"/>
      <c r="AG32" s="90"/>
      <c r="AH32" s="90"/>
      <c r="AI32" s="90"/>
      <c r="AJ32" s="90"/>
      <c r="AK32" s="90"/>
      <c r="AL32" s="90"/>
      <c r="AM32" s="90"/>
      <c r="AN32" s="90"/>
      <c r="AO32" s="90"/>
      <c r="AP32" s="90"/>
      <c r="AQ32" s="90"/>
    </row>
    <row r="33" spans="2:43" s="249" customFormat="1" ht="14.25" customHeight="1" x14ac:dyDescent="0.25">
      <c r="B33" s="106"/>
      <c r="D33" s="247"/>
      <c r="E33" s="89"/>
      <c r="F33" s="94" t="s">
        <v>947</v>
      </c>
      <c r="G33" s="90" t="s">
        <v>446</v>
      </c>
      <c r="H33" s="90" t="s">
        <v>443</v>
      </c>
      <c r="I33" s="91"/>
      <c r="J33" s="91"/>
      <c r="K33" s="94"/>
      <c r="L33" s="94"/>
      <c r="M33" s="95"/>
      <c r="N33" s="95"/>
      <c r="O33" s="94"/>
      <c r="Q33" s="90" t="s">
        <v>684</v>
      </c>
      <c r="R33" s="90" t="s">
        <v>968</v>
      </c>
      <c r="S33" s="90" t="s">
        <v>50</v>
      </c>
      <c r="V33" s="90"/>
      <c r="W33" s="90"/>
      <c r="X33" s="90"/>
      <c r="Y33" s="90"/>
      <c r="Z33" s="90"/>
      <c r="AA33" s="90"/>
      <c r="AB33" s="90"/>
      <c r="AC33" s="90"/>
      <c r="AD33" s="90"/>
      <c r="AE33" s="90"/>
      <c r="AF33" s="90"/>
      <c r="AG33" s="90"/>
      <c r="AH33" s="90"/>
      <c r="AI33" s="90"/>
      <c r="AJ33" s="90"/>
      <c r="AK33" s="90"/>
      <c r="AL33" s="90"/>
      <c r="AM33" s="90"/>
      <c r="AN33" s="90"/>
      <c r="AO33" s="90"/>
      <c r="AP33" s="90"/>
      <c r="AQ33" s="90"/>
    </row>
    <row r="34" spans="2:43" s="249" customFormat="1" ht="14.25" customHeight="1" x14ac:dyDescent="0.25">
      <c r="B34" s="106"/>
      <c r="D34" s="247"/>
      <c r="E34" s="89"/>
      <c r="F34" s="94" t="s">
        <v>948</v>
      </c>
      <c r="G34" s="90" t="s">
        <v>454</v>
      </c>
      <c r="H34" s="90" t="s">
        <v>450</v>
      </c>
      <c r="I34" s="91"/>
      <c r="J34" s="91"/>
      <c r="K34" s="94"/>
      <c r="L34" s="94"/>
      <c r="M34" s="95"/>
      <c r="N34" s="95"/>
      <c r="O34" s="94"/>
      <c r="Q34" s="90" t="s">
        <v>684</v>
      </c>
      <c r="R34" s="90" t="s">
        <v>968</v>
      </c>
      <c r="S34" s="90" t="s">
        <v>50</v>
      </c>
      <c r="V34" s="90"/>
      <c r="W34" s="90"/>
      <c r="X34" s="90"/>
      <c r="Y34" s="90"/>
      <c r="Z34" s="90"/>
      <c r="AA34" s="90"/>
      <c r="AB34" s="90"/>
      <c r="AC34" s="90"/>
      <c r="AD34" s="90"/>
      <c r="AE34" s="90"/>
      <c r="AF34" s="90"/>
      <c r="AG34" s="90"/>
      <c r="AH34" s="90"/>
      <c r="AI34" s="90"/>
      <c r="AJ34" s="90"/>
      <c r="AK34" s="90"/>
      <c r="AL34" s="90"/>
      <c r="AM34" s="90"/>
      <c r="AN34" s="90"/>
      <c r="AO34" s="90"/>
      <c r="AP34" s="90"/>
      <c r="AQ34" s="90"/>
    </row>
    <row r="35" spans="2:43" s="249" customFormat="1" ht="14.25" customHeight="1" x14ac:dyDescent="0.25">
      <c r="B35" s="106"/>
      <c r="D35" s="247"/>
      <c r="E35" s="89"/>
      <c r="F35" s="94" t="s">
        <v>949</v>
      </c>
      <c r="G35" s="90" t="s">
        <v>461</v>
      </c>
      <c r="H35" s="90" t="s">
        <v>456</v>
      </c>
      <c r="I35" s="91"/>
      <c r="J35" s="91"/>
      <c r="K35" s="94"/>
      <c r="L35" s="94"/>
      <c r="M35" s="95"/>
      <c r="N35" s="95"/>
      <c r="O35" s="94"/>
      <c r="Q35" s="90" t="s">
        <v>684</v>
      </c>
      <c r="R35" s="90" t="s">
        <v>968</v>
      </c>
      <c r="S35" s="90" t="s">
        <v>50</v>
      </c>
      <c r="V35" s="90"/>
      <c r="W35" s="90"/>
      <c r="X35" s="90"/>
      <c r="Y35" s="90"/>
      <c r="Z35" s="90"/>
      <c r="AA35" s="90"/>
      <c r="AB35" s="90"/>
      <c r="AC35" s="90"/>
      <c r="AD35" s="90"/>
      <c r="AE35" s="90"/>
      <c r="AF35" s="90"/>
      <c r="AG35" s="90"/>
      <c r="AH35" s="90"/>
      <c r="AI35" s="90"/>
      <c r="AJ35" s="90"/>
      <c r="AK35" s="90"/>
      <c r="AL35" s="90"/>
      <c r="AM35" s="90"/>
      <c r="AN35" s="90"/>
      <c r="AO35" s="90"/>
      <c r="AP35" s="90"/>
      <c r="AQ35" s="90"/>
    </row>
    <row r="36" spans="2:43" s="249" customFormat="1" ht="14.25" customHeight="1" x14ac:dyDescent="0.25">
      <c r="B36" s="106"/>
      <c r="D36" s="247"/>
      <c r="E36" s="89"/>
      <c r="F36" s="94" t="s">
        <v>950</v>
      </c>
      <c r="G36" s="90" t="s">
        <v>467</v>
      </c>
      <c r="H36" s="90" t="s">
        <v>464</v>
      </c>
      <c r="I36" s="91"/>
      <c r="J36" s="91"/>
      <c r="K36" s="94"/>
      <c r="L36" s="94"/>
      <c r="M36" s="95"/>
      <c r="N36" s="95"/>
      <c r="O36" s="94"/>
      <c r="Q36" s="90" t="s">
        <v>684</v>
      </c>
      <c r="R36" s="90" t="s">
        <v>968</v>
      </c>
      <c r="S36" s="90" t="s">
        <v>50</v>
      </c>
      <c r="V36" s="90"/>
      <c r="W36" s="90"/>
      <c r="X36" s="90"/>
      <c r="Y36" s="90"/>
      <c r="Z36" s="90"/>
      <c r="AA36" s="90"/>
      <c r="AB36" s="90"/>
      <c r="AC36" s="90"/>
      <c r="AD36" s="90"/>
      <c r="AE36" s="90"/>
      <c r="AF36" s="90"/>
      <c r="AG36" s="90"/>
      <c r="AH36" s="90"/>
      <c r="AI36" s="90"/>
      <c r="AJ36" s="90"/>
      <c r="AK36" s="90"/>
      <c r="AL36" s="90"/>
      <c r="AM36" s="90"/>
      <c r="AN36" s="90"/>
      <c r="AO36" s="90"/>
      <c r="AP36" s="90"/>
      <c r="AQ36" s="90"/>
    </row>
    <row r="37" spans="2:43" s="249" customFormat="1" ht="14.25" customHeight="1" x14ac:dyDescent="0.25">
      <c r="B37" s="106"/>
      <c r="D37" s="247"/>
      <c r="E37" s="89"/>
      <c r="F37" s="94" t="s">
        <v>951</v>
      </c>
      <c r="G37" s="90" t="s">
        <v>473</v>
      </c>
      <c r="H37" s="90" t="s">
        <v>470</v>
      </c>
      <c r="I37" s="91"/>
      <c r="J37" s="91"/>
      <c r="K37" s="94"/>
      <c r="L37" s="94"/>
      <c r="M37" s="95"/>
      <c r="N37" s="95"/>
      <c r="O37" s="94"/>
      <c r="Q37" s="90" t="s">
        <v>684</v>
      </c>
      <c r="R37" s="90" t="s">
        <v>968</v>
      </c>
      <c r="S37" s="90" t="s">
        <v>50</v>
      </c>
      <c r="V37" s="90"/>
      <c r="W37" s="90"/>
      <c r="X37" s="90"/>
      <c r="Y37" s="90"/>
      <c r="Z37" s="90"/>
      <c r="AA37" s="90"/>
      <c r="AB37" s="90"/>
      <c r="AC37" s="90"/>
      <c r="AD37" s="90"/>
      <c r="AE37" s="90"/>
      <c r="AF37" s="90"/>
      <c r="AG37" s="90"/>
      <c r="AH37" s="90"/>
      <c r="AI37" s="90"/>
      <c r="AJ37" s="90"/>
      <c r="AK37" s="90"/>
      <c r="AL37" s="90"/>
      <c r="AM37" s="90"/>
      <c r="AN37" s="90"/>
      <c r="AO37" s="90"/>
      <c r="AP37" s="90"/>
      <c r="AQ37" s="90"/>
    </row>
    <row r="38" spans="2:43" s="249" customFormat="1" ht="14.25" customHeight="1" x14ac:dyDescent="0.25">
      <c r="B38" s="106"/>
      <c r="D38" s="247"/>
      <c r="E38" s="89"/>
      <c r="F38" s="94" t="s">
        <v>952</v>
      </c>
      <c r="G38" s="90" t="s">
        <v>480</v>
      </c>
      <c r="H38" s="90" t="s">
        <v>477</v>
      </c>
      <c r="I38" s="91"/>
      <c r="J38" s="91"/>
      <c r="K38" s="94"/>
      <c r="L38" s="94"/>
      <c r="M38" s="95"/>
      <c r="N38" s="95"/>
      <c r="O38" s="94"/>
      <c r="Q38" s="90" t="s">
        <v>684</v>
      </c>
      <c r="R38" s="90" t="s">
        <v>968</v>
      </c>
      <c r="S38" s="90" t="s">
        <v>50</v>
      </c>
      <c r="V38" s="90"/>
      <c r="W38" s="90"/>
      <c r="X38" s="90"/>
      <c r="Y38" s="90"/>
      <c r="Z38" s="90"/>
      <c r="AA38" s="90"/>
      <c r="AB38" s="90"/>
      <c r="AC38" s="90"/>
      <c r="AD38" s="90"/>
      <c r="AE38" s="90"/>
      <c r="AF38" s="90"/>
      <c r="AG38" s="90"/>
      <c r="AH38" s="90"/>
      <c r="AI38" s="90"/>
      <c r="AJ38" s="90"/>
      <c r="AK38" s="90"/>
      <c r="AL38" s="90"/>
      <c r="AM38" s="90"/>
      <c r="AN38" s="90"/>
      <c r="AO38" s="90"/>
      <c r="AP38" s="90"/>
      <c r="AQ38" s="90"/>
    </row>
    <row r="39" spans="2:43" s="249" customFormat="1" ht="14.25" customHeight="1" x14ac:dyDescent="0.25">
      <c r="B39" s="106"/>
      <c r="D39" s="247"/>
      <c r="E39" s="89"/>
      <c r="F39" s="94" t="s">
        <v>953</v>
      </c>
      <c r="G39" s="90" t="s">
        <v>486</v>
      </c>
      <c r="H39" s="90" t="s">
        <v>483</v>
      </c>
      <c r="I39" s="91"/>
      <c r="J39" s="91"/>
      <c r="K39" s="94"/>
      <c r="L39" s="94"/>
      <c r="M39" s="95"/>
      <c r="N39" s="95"/>
      <c r="O39" s="94"/>
      <c r="Q39" s="90" t="s">
        <v>684</v>
      </c>
      <c r="R39" s="90" t="s">
        <v>968</v>
      </c>
      <c r="S39" s="90" t="s">
        <v>50</v>
      </c>
      <c r="V39" s="90"/>
      <c r="W39" s="90"/>
      <c r="X39" s="90"/>
      <c r="Y39" s="90"/>
      <c r="Z39" s="90"/>
      <c r="AA39" s="90"/>
      <c r="AB39" s="90"/>
      <c r="AC39" s="90"/>
      <c r="AD39" s="90"/>
      <c r="AE39" s="90"/>
      <c r="AF39" s="90"/>
      <c r="AG39" s="90"/>
      <c r="AH39" s="90"/>
      <c r="AI39" s="90"/>
      <c r="AJ39" s="90"/>
      <c r="AK39" s="90"/>
      <c r="AL39" s="90"/>
      <c r="AM39" s="90"/>
      <c r="AN39" s="90"/>
      <c r="AO39" s="90"/>
      <c r="AP39" s="90"/>
      <c r="AQ39" s="90"/>
    </row>
    <row r="40" spans="2:43" s="249" customFormat="1" ht="14.25" customHeight="1" x14ac:dyDescent="0.25">
      <c r="B40" s="106"/>
      <c r="D40" s="247"/>
      <c r="E40" s="89"/>
      <c r="F40" s="94" t="s">
        <v>954</v>
      </c>
      <c r="G40" s="90" t="s">
        <v>492</v>
      </c>
      <c r="H40" s="90" t="s">
        <v>489</v>
      </c>
      <c r="I40" s="91"/>
      <c r="J40" s="91"/>
      <c r="K40" s="94" t="s">
        <v>600</v>
      </c>
      <c r="L40" s="94" t="s">
        <v>600</v>
      </c>
      <c r="M40" s="95" t="s">
        <v>600</v>
      </c>
      <c r="N40" s="95"/>
      <c r="O40" s="94"/>
      <c r="Q40" s="90" t="s">
        <v>684</v>
      </c>
      <c r="R40" s="90" t="s">
        <v>968</v>
      </c>
      <c r="S40" s="90" t="s">
        <v>50</v>
      </c>
      <c r="V40" s="90"/>
      <c r="W40" s="90"/>
      <c r="X40" s="90"/>
      <c r="Y40" s="90"/>
      <c r="Z40" s="90"/>
      <c r="AA40" s="90"/>
      <c r="AB40" s="90"/>
      <c r="AC40" s="90"/>
      <c r="AD40" s="90"/>
      <c r="AE40" s="90"/>
      <c r="AF40" s="90"/>
      <c r="AG40" s="90"/>
      <c r="AH40" s="90"/>
      <c r="AI40" s="90"/>
      <c r="AJ40" s="90"/>
      <c r="AK40" s="90"/>
      <c r="AL40" s="90"/>
      <c r="AM40" s="90"/>
      <c r="AN40" s="90"/>
      <c r="AO40" s="90"/>
      <c r="AP40" s="90"/>
      <c r="AQ40" s="90"/>
    </row>
    <row r="41" spans="2:43" s="249" customFormat="1" ht="14.25" customHeight="1" x14ac:dyDescent="0.25">
      <c r="B41" s="106"/>
      <c r="D41" s="247"/>
      <c r="E41" s="89"/>
      <c r="F41" s="94" t="s">
        <v>955</v>
      </c>
      <c r="G41" s="90" t="s">
        <v>500</v>
      </c>
      <c r="H41" s="90" t="s">
        <v>601</v>
      </c>
      <c r="I41" s="91"/>
      <c r="J41" s="91"/>
      <c r="K41" s="94"/>
      <c r="L41" s="94"/>
      <c r="M41" s="95"/>
      <c r="N41" s="95"/>
      <c r="O41" s="94"/>
      <c r="Q41" s="90" t="s">
        <v>684</v>
      </c>
      <c r="R41" s="90" t="s">
        <v>968</v>
      </c>
      <c r="S41" s="90" t="s">
        <v>50</v>
      </c>
      <c r="V41" s="90"/>
      <c r="W41" s="90"/>
      <c r="X41" s="90"/>
      <c r="Y41" s="90"/>
      <c r="Z41" s="90"/>
      <c r="AA41" s="90"/>
      <c r="AB41" s="90"/>
      <c r="AC41" s="90"/>
      <c r="AD41" s="90"/>
      <c r="AE41" s="90"/>
      <c r="AF41" s="90"/>
      <c r="AG41" s="90"/>
      <c r="AH41" s="90"/>
      <c r="AI41" s="90"/>
      <c r="AJ41" s="90"/>
      <c r="AK41" s="90"/>
      <c r="AL41" s="90"/>
      <c r="AM41" s="90"/>
      <c r="AN41" s="90"/>
      <c r="AO41" s="90"/>
      <c r="AP41" s="90"/>
      <c r="AQ41" s="90"/>
    </row>
    <row r="42" spans="2:43" s="249" customFormat="1" ht="14.25" customHeight="1" x14ac:dyDescent="0.25">
      <c r="B42" s="106"/>
      <c r="D42" s="247"/>
      <c r="E42" s="89"/>
      <c r="F42" s="94" t="s">
        <v>956</v>
      </c>
      <c r="G42" s="90" t="s">
        <v>506</v>
      </c>
      <c r="H42" s="90" t="s">
        <v>503</v>
      </c>
      <c r="I42" s="91"/>
      <c r="J42" s="91"/>
      <c r="K42" s="94" t="s">
        <v>600</v>
      </c>
      <c r="L42" s="94" t="s">
        <v>600</v>
      </c>
      <c r="M42" s="95" t="s">
        <v>600</v>
      </c>
      <c r="N42" s="95"/>
      <c r="O42" s="94"/>
      <c r="Q42" s="90" t="s">
        <v>684</v>
      </c>
      <c r="R42" s="90" t="s">
        <v>968</v>
      </c>
      <c r="S42" s="90" t="s">
        <v>50</v>
      </c>
      <c r="V42" s="90"/>
      <c r="W42" s="90"/>
      <c r="X42" s="90"/>
      <c r="Y42" s="90"/>
      <c r="Z42" s="90"/>
      <c r="AA42" s="90"/>
      <c r="AB42" s="90"/>
      <c r="AC42" s="90"/>
      <c r="AD42" s="90"/>
      <c r="AE42" s="90"/>
      <c r="AF42" s="90"/>
      <c r="AG42" s="90"/>
      <c r="AH42" s="90"/>
      <c r="AI42" s="90"/>
      <c r="AJ42" s="90"/>
      <c r="AK42" s="90"/>
      <c r="AL42" s="90"/>
      <c r="AM42" s="90"/>
      <c r="AN42" s="90"/>
      <c r="AO42" s="90"/>
      <c r="AP42" s="90"/>
      <c r="AQ42" s="90"/>
    </row>
    <row r="43" spans="2:43" s="249" customFormat="1" ht="14.25" customHeight="1" x14ac:dyDescent="0.25">
      <c r="B43" s="106"/>
      <c r="D43" s="247"/>
      <c r="E43" s="89"/>
      <c r="F43" s="94" t="s">
        <v>957</v>
      </c>
      <c r="G43" s="90" t="s">
        <v>512</v>
      </c>
      <c r="H43" s="90" t="s">
        <v>602</v>
      </c>
      <c r="I43" s="91"/>
      <c r="J43" s="91"/>
      <c r="K43" s="94"/>
      <c r="L43" s="94"/>
      <c r="M43" s="95"/>
      <c r="N43" s="95"/>
      <c r="O43" s="94"/>
      <c r="Q43" s="90" t="s">
        <v>684</v>
      </c>
      <c r="R43" s="90" t="s">
        <v>968</v>
      </c>
      <c r="S43" s="90" t="s">
        <v>50</v>
      </c>
      <c r="V43" s="90"/>
      <c r="W43" s="90"/>
      <c r="X43" s="90"/>
      <c r="Y43" s="90"/>
      <c r="Z43" s="90"/>
      <c r="AA43" s="90"/>
      <c r="AB43" s="90"/>
      <c r="AC43" s="90"/>
      <c r="AD43" s="90"/>
      <c r="AE43" s="90"/>
      <c r="AF43" s="90"/>
      <c r="AG43" s="90"/>
      <c r="AH43" s="90"/>
      <c r="AI43" s="90"/>
      <c r="AJ43" s="90"/>
      <c r="AK43" s="90"/>
      <c r="AL43" s="90"/>
      <c r="AM43" s="90"/>
      <c r="AN43" s="90"/>
      <c r="AO43" s="90"/>
      <c r="AP43" s="90"/>
      <c r="AQ43" s="90"/>
    </row>
    <row r="44" spans="2:43" s="249" customFormat="1" ht="14.25" customHeight="1" x14ac:dyDescent="0.25">
      <c r="B44" s="106"/>
      <c r="D44" s="247"/>
      <c r="E44" s="89"/>
      <c r="F44" s="94" t="s">
        <v>958</v>
      </c>
      <c r="G44" s="90" t="s">
        <v>518</v>
      </c>
      <c r="H44" s="90" t="s">
        <v>515</v>
      </c>
      <c r="I44" s="91"/>
      <c r="J44" s="91"/>
      <c r="K44" s="94" t="s">
        <v>600</v>
      </c>
      <c r="L44" s="94" t="s">
        <v>600</v>
      </c>
      <c r="M44" s="95" t="s">
        <v>600</v>
      </c>
      <c r="N44" s="95"/>
      <c r="O44" s="94"/>
      <c r="Q44" s="90" t="s">
        <v>684</v>
      </c>
      <c r="R44" s="90" t="s">
        <v>968</v>
      </c>
      <c r="S44" s="90" t="s">
        <v>50</v>
      </c>
      <c r="V44" s="90"/>
      <c r="W44" s="90"/>
      <c r="X44" s="90"/>
      <c r="Y44" s="90"/>
      <c r="Z44" s="90"/>
      <c r="AA44" s="90"/>
      <c r="AB44" s="90"/>
      <c r="AC44" s="90"/>
      <c r="AD44" s="90"/>
      <c r="AE44" s="90"/>
      <c r="AF44" s="90"/>
      <c r="AG44" s="90"/>
      <c r="AH44" s="90"/>
      <c r="AI44" s="90"/>
      <c r="AJ44" s="90"/>
      <c r="AK44" s="90"/>
      <c r="AL44" s="90"/>
      <c r="AM44" s="90"/>
      <c r="AN44" s="90"/>
      <c r="AO44" s="90"/>
      <c r="AP44" s="90"/>
      <c r="AQ44" s="90"/>
    </row>
    <row r="45" spans="2:43" s="249" customFormat="1" ht="14.25" customHeight="1" x14ac:dyDescent="0.25">
      <c r="B45" s="106"/>
      <c r="D45" s="247"/>
      <c r="E45" s="89"/>
      <c r="F45" s="94" t="s">
        <v>959</v>
      </c>
      <c r="G45" s="90" t="s">
        <v>525</v>
      </c>
      <c r="H45" s="90" t="s">
        <v>521</v>
      </c>
      <c r="I45" s="91"/>
      <c r="J45" s="91"/>
      <c r="K45" s="94"/>
      <c r="L45" s="94"/>
      <c r="M45" s="95"/>
      <c r="N45" s="95"/>
      <c r="O45" s="94"/>
      <c r="Q45" s="90" t="s">
        <v>684</v>
      </c>
      <c r="R45" s="90" t="s">
        <v>968</v>
      </c>
      <c r="S45" s="90" t="s">
        <v>50</v>
      </c>
      <c r="V45" s="90"/>
      <c r="W45" s="90"/>
      <c r="X45" s="90"/>
      <c r="Y45" s="90"/>
      <c r="Z45" s="90"/>
      <c r="AA45" s="90"/>
      <c r="AB45" s="90"/>
      <c r="AC45" s="90"/>
      <c r="AD45" s="90"/>
      <c r="AE45" s="90"/>
      <c r="AF45" s="90"/>
      <c r="AG45" s="90"/>
      <c r="AH45" s="90"/>
      <c r="AI45" s="90"/>
      <c r="AJ45" s="90"/>
      <c r="AK45" s="90"/>
      <c r="AL45" s="90"/>
      <c r="AM45" s="90"/>
      <c r="AN45" s="90"/>
      <c r="AO45" s="90"/>
      <c r="AP45" s="90"/>
      <c r="AQ45" s="90"/>
    </row>
    <row r="46" spans="2:43" s="249" customFormat="1" ht="14.25" customHeight="1" x14ac:dyDescent="0.25">
      <c r="B46" s="106"/>
      <c r="D46" s="247"/>
      <c r="E46" s="89"/>
      <c r="F46" s="94" t="s">
        <v>960</v>
      </c>
      <c r="G46" s="90" t="s">
        <v>532</v>
      </c>
      <c r="H46" s="90" t="s">
        <v>528</v>
      </c>
      <c r="I46" s="91"/>
      <c r="J46" s="91"/>
      <c r="K46" s="94"/>
      <c r="L46" s="94"/>
      <c r="M46" s="95"/>
      <c r="N46" s="95"/>
      <c r="O46" s="94"/>
      <c r="Q46" s="90" t="s">
        <v>684</v>
      </c>
      <c r="R46" s="90" t="s">
        <v>968</v>
      </c>
      <c r="S46" s="90" t="s">
        <v>50</v>
      </c>
      <c r="V46" s="90"/>
      <c r="W46" s="90"/>
      <c r="X46" s="90"/>
      <c r="Y46" s="90"/>
      <c r="Z46" s="90"/>
      <c r="AA46" s="90"/>
      <c r="AB46" s="90"/>
      <c r="AC46" s="90"/>
      <c r="AD46" s="90"/>
      <c r="AE46" s="90"/>
      <c r="AF46" s="90"/>
      <c r="AG46" s="90"/>
      <c r="AH46" s="90"/>
      <c r="AI46" s="90"/>
      <c r="AJ46" s="90"/>
      <c r="AK46" s="90"/>
      <c r="AL46" s="90"/>
      <c r="AM46" s="90"/>
      <c r="AN46" s="90"/>
      <c r="AO46" s="90"/>
      <c r="AP46" s="90"/>
      <c r="AQ46" s="90"/>
    </row>
    <row r="47" spans="2:43" s="249" customFormat="1" ht="14.25" customHeight="1" x14ac:dyDescent="0.25">
      <c r="B47" s="106"/>
      <c r="D47" s="247"/>
      <c r="E47" s="89"/>
      <c r="F47" s="94" t="s">
        <v>961</v>
      </c>
      <c r="G47" s="90" t="s">
        <v>538</v>
      </c>
      <c r="H47" s="90" t="s">
        <v>535</v>
      </c>
      <c r="I47" s="91"/>
      <c r="J47" s="91"/>
      <c r="K47" s="94" t="s">
        <v>600</v>
      </c>
      <c r="L47" s="94" t="s">
        <v>600</v>
      </c>
      <c r="M47" s="95" t="s">
        <v>600</v>
      </c>
      <c r="N47" s="95"/>
      <c r="O47" s="94"/>
      <c r="Q47" s="90" t="s">
        <v>684</v>
      </c>
      <c r="R47" s="90" t="s">
        <v>968</v>
      </c>
      <c r="S47" s="90" t="s">
        <v>50</v>
      </c>
      <c r="V47" s="90"/>
      <c r="W47" s="90"/>
      <c r="X47" s="90"/>
      <c r="Y47" s="90"/>
      <c r="Z47" s="90"/>
      <c r="AA47" s="90"/>
      <c r="AB47" s="90"/>
      <c r="AC47" s="90"/>
      <c r="AD47" s="90"/>
      <c r="AE47" s="90"/>
      <c r="AF47" s="90"/>
      <c r="AG47" s="90"/>
      <c r="AH47" s="90"/>
      <c r="AI47" s="90"/>
      <c r="AJ47" s="90"/>
      <c r="AK47" s="90"/>
      <c r="AL47" s="90"/>
      <c r="AM47" s="90"/>
      <c r="AN47" s="90"/>
      <c r="AO47" s="90"/>
      <c r="AP47" s="90"/>
      <c r="AQ47" s="90"/>
    </row>
    <row r="48" spans="2:43" s="249" customFormat="1" ht="14.25" customHeight="1" x14ac:dyDescent="0.25">
      <c r="B48" s="106"/>
      <c r="D48" s="247"/>
      <c r="E48" s="89"/>
      <c r="F48" s="94" t="s">
        <v>962</v>
      </c>
      <c r="G48" s="90" t="s">
        <v>295</v>
      </c>
      <c r="H48" s="90" t="s">
        <v>542</v>
      </c>
      <c r="I48" s="91"/>
      <c r="J48" s="91"/>
      <c r="K48" s="94"/>
      <c r="L48" s="94"/>
      <c r="M48" s="95"/>
      <c r="N48" s="95"/>
      <c r="O48" s="94"/>
      <c r="Q48" s="90" t="s">
        <v>684</v>
      </c>
      <c r="R48" s="90" t="s">
        <v>968</v>
      </c>
      <c r="S48" s="90" t="s">
        <v>50</v>
      </c>
      <c r="V48" s="90"/>
      <c r="W48" s="90"/>
      <c r="X48" s="90"/>
      <c r="Y48" s="90"/>
      <c r="Z48" s="90"/>
      <c r="AA48" s="90"/>
      <c r="AB48" s="90"/>
      <c r="AC48" s="90"/>
      <c r="AD48" s="90"/>
      <c r="AE48" s="90"/>
      <c r="AF48" s="90"/>
      <c r="AG48" s="90"/>
      <c r="AH48" s="90"/>
      <c r="AI48" s="90"/>
      <c r="AJ48" s="90"/>
      <c r="AK48" s="90"/>
      <c r="AL48" s="90"/>
      <c r="AM48" s="90"/>
      <c r="AN48" s="90"/>
      <c r="AO48" s="90"/>
      <c r="AP48" s="90"/>
      <c r="AQ48" s="90"/>
    </row>
    <row r="49" spans="2:43" s="249" customFormat="1" ht="14.25" customHeight="1" x14ac:dyDescent="0.25">
      <c r="B49" s="106"/>
      <c r="D49" s="247"/>
      <c r="E49" s="89"/>
      <c r="F49" s="94" t="s">
        <v>963</v>
      </c>
      <c r="G49" s="90" t="s">
        <v>553</v>
      </c>
      <c r="H49" s="90" t="s">
        <v>549</v>
      </c>
      <c r="I49" s="91"/>
      <c r="J49" s="91"/>
      <c r="K49" s="94"/>
      <c r="L49" s="94"/>
      <c r="M49" s="95"/>
      <c r="N49" s="95"/>
      <c r="O49" s="94"/>
      <c r="Q49" s="90" t="s">
        <v>684</v>
      </c>
      <c r="R49" s="90" t="s">
        <v>968</v>
      </c>
      <c r="S49" s="90" t="s">
        <v>50</v>
      </c>
      <c r="V49" s="90"/>
      <c r="W49" s="90"/>
      <c r="X49" s="90"/>
      <c r="Y49" s="90"/>
      <c r="Z49" s="90"/>
      <c r="AA49" s="90"/>
      <c r="AB49" s="90"/>
      <c r="AC49" s="90"/>
      <c r="AD49" s="90"/>
      <c r="AE49" s="90"/>
      <c r="AF49" s="90"/>
      <c r="AG49" s="90"/>
      <c r="AH49" s="90"/>
      <c r="AI49" s="90"/>
      <c r="AJ49" s="90"/>
      <c r="AK49" s="90"/>
      <c r="AL49" s="90"/>
      <c r="AM49" s="90"/>
      <c r="AN49" s="90"/>
      <c r="AO49" s="90"/>
      <c r="AP49" s="90"/>
      <c r="AQ49" s="90"/>
    </row>
    <row r="50" spans="2:43" s="249" customFormat="1" ht="14.25" customHeight="1" x14ac:dyDescent="0.25">
      <c r="B50" s="106"/>
      <c r="D50" s="247"/>
      <c r="E50" s="89"/>
      <c r="F50" s="94" t="s">
        <v>964</v>
      </c>
      <c r="G50" s="90" t="s">
        <v>559</v>
      </c>
      <c r="H50" s="90" t="s">
        <v>556</v>
      </c>
      <c r="I50" s="91"/>
      <c r="J50" s="91"/>
      <c r="K50" s="94"/>
      <c r="L50" s="94"/>
      <c r="M50" s="95"/>
      <c r="N50" s="95"/>
      <c r="O50" s="94"/>
      <c r="Q50" s="90" t="s">
        <v>684</v>
      </c>
      <c r="R50" s="90" t="s">
        <v>968</v>
      </c>
      <c r="S50" s="90" t="s">
        <v>50</v>
      </c>
      <c r="V50" s="90"/>
      <c r="W50" s="90"/>
      <c r="X50" s="90"/>
      <c r="Y50" s="90"/>
      <c r="Z50" s="90"/>
      <c r="AA50" s="90"/>
      <c r="AB50" s="90"/>
      <c r="AC50" s="90"/>
      <c r="AD50" s="90"/>
      <c r="AE50" s="90"/>
      <c r="AF50" s="90"/>
      <c r="AG50" s="90"/>
      <c r="AH50" s="90"/>
      <c r="AI50" s="90"/>
      <c r="AJ50" s="90"/>
      <c r="AK50" s="90"/>
      <c r="AL50" s="90"/>
      <c r="AM50" s="90"/>
      <c r="AN50" s="90"/>
      <c r="AO50" s="90"/>
      <c r="AP50" s="90"/>
      <c r="AQ50" s="90"/>
    </row>
    <row r="51" spans="2:43" s="249" customFormat="1" ht="14.25" customHeight="1" x14ac:dyDescent="0.25">
      <c r="B51" s="106"/>
      <c r="D51" s="247"/>
      <c r="E51" s="89"/>
      <c r="F51" s="94" t="s">
        <v>965</v>
      </c>
      <c r="G51" s="90" t="s">
        <v>565</v>
      </c>
      <c r="H51" s="90" t="s">
        <v>562</v>
      </c>
      <c r="I51" s="91"/>
      <c r="J51" s="91"/>
      <c r="K51" s="94"/>
      <c r="L51" s="94"/>
      <c r="M51" s="95"/>
      <c r="N51" s="95"/>
      <c r="O51" s="94"/>
      <c r="Q51" s="90" t="s">
        <v>684</v>
      </c>
      <c r="R51" s="90" t="s">
        <v>968</v>
      </c>
      <c r="S51" s="90" t="s">
        <v>50</v>
      </c>
      <c r="V51" s="90"/>
      <c r="W51" s="90"/>
      <c r="X51" s="90"/>
      <c r="Y51" s="90"/>
      <c r="Z51" s="90"/>
      <c r="AA51" s="90"/>
      <c r="AB51" s="90"/>
      <c r="AC51" s="90"/>
      <c r="AD51" s="90"/>
      <c r="AE51" s="90"/>
      <c r="AF51" s="90"/>
      <c r="AG51" s="90"/>
      <c r="AH51" s="90"/>
      <c r="AI51" s="90"/>
      <c r="AJ51" s="90"/>
      <c r="AK51" s="90"/>
      <c r="AL51" s="90"/>
      <c r="AM51" s="90"/>
      <c r="AN51" s="90"/>
      <c r="AO51" s="90"/>
      <c r="AP51" s="90"/>
      <c r="AQ51" s="90"/>
    </row>
    <row r="52" spans="2:43" s="249" customFormat="1" ht="14.25" customHeight="1" x14ac:dyDescent="0.25">
      <c r="B52" s="106"/>
      <c r="D52" s="247"/>
      <c r="E52" s="89"/>
      <c r="F52" s="94" t="s">
        <v>966</v>
      </c>
      <c r="G52" s="90" t="s">
        <v>571</v>
      </c>
      <c r="H52" s="90" t="s">
        <v>568</v>
      </c>
      <c r="I52" s="91"/>
      <c r="J52" s="91"/>
      <c r="K52" s="94"/>
      <c r="L52" s="94"/>
      <c r="M52" s="95"/>
      <c r="N52" s="95"/>
      <c r="O52" s="94"/>
      <c r="Q52" s="90" t="s">
        <v>684</v>
      </c>
      <c r="R52" s="90" t="s">
        <v>968</v>
      </c>
      <c r="S52" s="90" t="s">
        <v>50</v>
      </c>
      <c r="V52" s="90"/>
      <c r="W52" s="90"/>
      <c r="X52" s="90"/>
      <c r="Y52" s="90"/>
      <c r="Z52" s="90"/>
      <c r="AA52" s="90"/>
      <c r="AB52" s="90"/>
      <c r="AC52" s="90"/>
      <c r="AD52" s="90"/>
      <c r="AE52" s="90"/>
      <c r="AF52" s="90"/>
      <c r="AG52" s="90"/>
      <c r="AH52" s="90"/>
      <c r="AI52" s="90"/>
      <c r="AJ52" s="90"/>
      <c r="AK52" s="90"/>
      <c r="AL52" s="90"/>
      <c r="AM52" s="90"/>
      <c r="AN52" s="90"/>
      <c r="AO52" s="90"/>
      <c r="AP52" s="90"/>
      <c r="AQ52" s="90"/>
    </row>
    <row r="53" spans="2:43" s="249" customFormat="1" ht="14.25" customHeight="1" x14ac:dyDescent="0.25">
      <c r="B53" s="106"/>
      <c r="D53" s="247"/>
      <c r="E53" s="89"/>
      <c r="F53" s="94" t="s">
        <v>967</v>
      </c>
      <c r="G53" s="90" t="s">
        <v>572</v>
      </c>
      <c r="H53" s="90" t="s">
        <v>573</v>
      </c>
      <c r="I53" s="91"/>
      <c r="J53" s="91"/>
      <c r="K53" s="94"/>
      <c r="L53" s="94"/>
      <c r="M53" s="95"/>
      <c r="N53" s="95"/>
      <c r="O53" s="94"/>
      <c r="Q53" s="90" t="s">
        <v>684</v>
      </c>
      <c r="R53" s="90" t="s">
        <v>968</v>
      </c>
      <c r="S53" s="90" t="s">
        <v>50</v>
      </c>
      <c r="V53" s="90"/>
      <c r="W53" s="90"/>
      <c r="X53" s="90"/>
      <c r="Y53" s="90"/>
      <c r="Z53" s="90"/>
      <c r="AA53" s="90"/>
      <c r="AB53" s="90"/>
      <c r="AC53" s="90"/>
      <c r="AD53" s="90"/>
      <c r="AE53" s="90"/>
      <c r="AF53" s="90"/>
      <c r="AG53" s="90"/>
      <c r="AH53" s="90"/>
      <c r="AI53" s="90"/>
      <c r="AJ53" s="90"/>
      <c r="AK53" s="90"/>
      <c r="AL53" s="90"/>
      <c r="AM53" s="90"/>
      <c r="AN53" s="90"/>
      <c r="AO53" s="90"/>
      <c r="AP53" s="90"/>
      <c r="AQ53" s="90"/>
    </row>
  </sheetData>
  <sheetProtection selectLockedCells="1"/>
  <autoFilter ref="A6:S6" xr:uid="{00000000-0009-0000-0000-000005000000}"/>
  <phoneticPr fontId="37" type="noConversion"/>
  <dataValidations count="2">
    <dataValidation type="list" allowBlank="1" sqref="Q7:Q1995" xr:uid="{00000000-0002-0000-0500-000000000000}">
      <formula1>Status</formula1>
    </dataValidation>
    <dataValidation type="date" operator="greaterThanOrEqual" sqref="R7:R53" xr:uid="{3F8758E0-2C3D-48FD-9428-AF3A86D4413B}">
      <formula1>DATE(2000,1,1)</formula1>
    </dataValidation>
  </dataValidations>
  <pageMargins left="0.70866141732283472" right="0.70866141732283472" top="0.78740157480314965" bottom="0.78740157480314965" header="0.31496062992125978" footer="0.31496062992125978"/>
  <pageSetup paperSize="9" scale="21"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82"/>
  <sheetViews>
    <sheetView showGridLines="0" zoomScale="85" zoomScaleNormal="85" workbookViewId="0">
      <pane ySplit="6" topLeftCell="A7" activePane="bottomLeft" state="frozen"/>
      <selection pane="bottomLeft" activeCell="B10" sqref="B10"/>
    </sheetView>
  </sheetViews>
  <sheetFormatPr baseColWidth="10" defaultColWidth="11.28515625" defaultRowHeight="14.25" outlineLevelRow="1" outlineLevelCol="1" x14ac:dyDescent="0.2"/>
  <cols>
    <col min="1" max="1" width="4.7109375" style="44" customWidth="1"/>
    <col min="2" max="2" width="24.140625" style="44" bestFit="1" customWidth="1" outlineLevel="1"/>
    <col min="3" max="3" width="4.7109375" style="44" customWidth="1"/>
    <col min="4" max="6" width="25.7109375" style="109" customWidth="1" outlineLevel="1"/>
    <col min="7" max="8" width="25.7109375" style="85" customWidth="1" outlineLevel="1"/>
    <col min="9" max="9" width="6.7109375" style="85" customWidth="1" outlineLevel="1"/>
    <col min="10" max="10" width="6.7109375" style="77" customWidth="1" outlineLevel="1"/>
    <col min="11" max="11" width="25.7109375" style="77" customWidth="1" outlineLevel="1"/>
    <col min="12" max="12" width="25.7109375" style="44" customWidth="1" outlineLevel="1"/>
    <col min="13" max="13" width="25.7109375" style="92" customWidth="1" outlineLevel="1"/>
    <col min="14" max="14" width="25.7109375" style="97" customWidth="1" outlineLevel="1"/>
    <col min="15" max="15" width="4.7109375" style="99" customWidth="1"/>
    <col min="16" max="16" width="12.85546875" style="97" customWidth="1" outlineLevel="1"/>
    <col min="17" max="17" width="21.7109375" style="44" bestFit="1" customWidth="1" outlineLevel="1"/>
    <col min="18" max="18" width="13.7109375" style="44" bestFit="1" customWidth="1" outlineLevel="1"/>
    <col min="19" max="19" width="1.7109375" style="44" customWidth="1"/>
    <col min="20" max="20" width="6.7109375" style="99" customWidth="1"/>
    <col min="21" max="21" width="11.7109375" style="99" customWidth="1" outlineLevel="1"/>
    <col min="22" max="42" width="11.28515625" style="99" customWidth="1" outlineLevel="1"/>
    <col min="43" max="45" width="11.28515625" style="44" customWidth="1"/>
    <col min="46" max="16384" width="11.28515625" style="44"/>
  </cols>
  <sheetData>
    <row r="1" spans="1:42" s="103" customFormat="1" ht="200.1" customHeight="1" x14ac:dyDescent="0.25">
      <c r="A1" s="66" t="s">
        <v>237</v>
      </c>
      <c r="B1" s="67" t="s">
        <v>70</v>
      </c>
      <c r="C1" s="100" t="s">
        <v>216</v>
      </c>
      <c r="D1" s="101" t="s">
        <v>143</v>
      </c>
      <c r="E1" s="101" t="s">
        <v>217</v>
      </c>
      <c r="F1" s="101" t="s">
        <v>218</v>
      </c>
      <c r="G1" s="101" t="s">
        <v>219</v>
      </c>
      <c r="H1" s="101" t="s">
        <v>146</v>
      </c>
      <c r="I1" s="101" t="s">
        <v>148</v>
      </c>
      <c r="J1" s="101" t="s">
        <v>149</v>
      </c>
      <c r="K1" s="101" t="s">
        <v>220</v>
      </c>
      <c r="L1" s="101" t="s">
        <v>221</v>
      </c>
      <c r="M1" s="101" t="s">
        <v>222</v>
      </c>
      <c r="N1" s="101" t="s">
        <v>223</v>
      </c>
      <c r="O1" s="102" t="s">
        <v>62</v>
      </c>
      <c r="P1" s="101" t="s">
        <v>44</v>
      </c>
      <c r="Q1" s="101" t="s">
        <v>160</v>
      </c>
      <c r="R1" s="101" t="s">
        <v>161</v>
      </c>
      <c r="T1" s="66" t="s">
        <v>242</v>
      </c>
      <c r="U1" s="67"/>
      <c r="V1" s="67"/>
      <c r="W1" s="67"/>
      <c r="X1" s="67"/>
      <c r="Y1" s="67"/>
      <c r="Z1" s="67"/>
      <c r="AA1" s="67"/>
      <c r="AB1" s="67"/>
      <c r="AC1" s="67"/>
      <c r="AD1" s="67"/>
      <c r="AE1" s="67"/>
      <c r="AF1" s="67"/>
      <c r="AG1" s="67"/>
      <c r="AH1" s="67"/>
      <c r="AI1" s="67"/>
      <c r="AJ1" s="67"/>
      <c r="AK1" s="67"/>
      <c r="AL1" s="67"/>
      <c r="AM1" s="67"/>
      <c r="AN1" s="67"/>
      <c r="AO1" s="67"/>
      <c r="AP1" s="67"/>
    </row>
    <row r="2" spans="1:42" s="105" customFormat="1" ht="15" customHeight="1" outlineLevel="1" x14ac:dyDescent="0.25">
      <c r="A2" s="104"/>
      <c r="B2" s="72" t="s">
        <v>76</v>
      </c>
      <c r="C2" s="104"/>
      <c r="D2" s="74" t="s">
        <v>244</v>
      </c>
      <c r="E2" s="74" t="s">
        <v>244</v>
      </c>
      <c r="F2" s="74" t="s">
        <v>243</v>
      </c>
      <c r="G2" s="74" t="s">
        <v>243</v>
      </c>
      <c r="H2" s="74" t="s">
        <v>243</v>
      </c>
      <c r="I2" s="74" t="s">
        <v>243</v>
      </c>
      <c r="J2" s="74" t="s">
        <v>243</v>
      </c>
      <c r="K2" s="74" t="s">
        <v>243</v>
      </c>
      <c r="L2" s="74" t="s">
        <v>243</v>
      </c>
      <c r="M2" s="74" t="s">
        <v>243</v>
      </c>
      <c r="N2" s="74" t="s">
        <v>243</v>
      </c>
      <c r="O2" s="104"/>
      <c r="P2" s="74" t="s">
        <v>243</v>
      </c>
      <c r="Q2" s="74" t="s">
        <v>243</v>
      </c>
      <c r="R2" s="74" t="s">
        <v>243</v>
      </c>
      <c r="T2" s="76"/>
      <c r="U2" s="76"/>
      <c r="V2" s="76"/>
      <c r="W2" s="76"/>
      <c r="X2" s="76"/>
      <c r="Y2" s="76"/>
      <c r="Z2" s="76"/>
      <c r="AA2" s="76"/>
      <c r="AB2" s="76"/>
      <c r="AC2" s="76"/>
      <c r="AD2" s="76"/>
      <c r="AE2" s="76"/>
      <c r="AF2" s="76"/>
      <c r="AG2" s="76"/>
      <c r="AH2" s="76"/>
      <c r="AI2" s="76"/>
      <c r="AJ2" s="76"/>
      <c r="AK2" s="76"/>
      <c r="AL2" s="76"/>
      <c r="AM2" s="76"/>
      <c r="AN2" s="76"/>
      <c r="AO2" s="76"/>
      <c r="AP2" s="76"/>
    </row>
    <row r="3" spans="1:42" s="77" customFormat="1" ht="15" customHeight="1" outlineLevel="1" x14ac:dyDescent="0.25">
      <c r="A3" s="104"/>
      <c r="B3" s="72" t="s">
        <v>77</v>
      </c>
      <c r="C3" s="104"/>
      <c r="D3" s="74" t="s">
        <v>247</v>
      </c>
      <c r="E3" s="74" t="s">
        <v>247</v>
      </c>
      <c r="F3" s="74" t="s">
        <v>247</v>
      </c>
      <c r="G3" s="74" t="s">
        <v>252</v>
      </c>
      <c r="H3" s="74" t="s">
        <v>249</v>
      </c>
      <c r="I3" s="74" t="s">
        <v>250</v>
      </c>
      <c r="J3" s="74" t="s">
        <v>251</v>
      </c>
      <c r="K3" s="74" t="s">
        <v>247</v>
      </c>
      <c r="L3" s="74" t="s">
        <v>247</v>
      </c>
      <c r="M3" s="74" t="s">
        <v>247</v>
      </c>
      <c r="N3" s="74" t="s">
        <v>247</v>
      </c>
      <c r="O3" s="104"/>
      <c r="P3" s="74" t="s">
        <v>252</v>
      </c>
      <c r="Q3" s="74" t="s">
        <v>248</v>
      </c>
      <c r="R3" s="74" t="s">
        <v>252</v>
      </c>
      <c r="T3" s="78"/>
      <c r="U3" s="78"/>
      <c r="V3" s="78"/>
      <c r="W3" s="78"/>
      <c r="X3" s="78"/>
      <c r="Y3" s="78"/>
      <c r="Z3" s="78"/>
      <c r="AA3" s="78"/>
      <c r="AB3" s="78"/>
      <c r="AC3" s="78"/>
      <c r="AD3" s="78"/>
      <c r="AE3" s="78"/>
      <c r="AF3" s="78"/>
      <c r="AG3" s="78"/>
      <c r="AH3" s="78"/>
      <c r="AI3" s="78"/>
      <c r="AJ3" s="78"/>
      <c r="AK3" s="78"/>
      <c r="AL3" s="78"/>
      <c r="AM3" s="78"/>
      <c r="AN3" s="78"/>
      <c r="AO3" s="78"/>
      <c r="AP3" s="78"/>
    </row>
    <row r="4" spans="1:42" s="77" customFormat="1" ht="15" customHeight="1" outlineLevel="1" x14ac:dyDescent="0.25">
      <c r="A4" s="104"/>
      <c r="B4" s="72" t="s">
        <v>78</v>
      </c>
      <c r="C4" s="104"/>
      <c r="D4" s="74"/>
      <c r="E4" s="74" t="s">
        <v>254</v>
      </c>
      <c r="F4" s="74"/>
      <c r="G4" s="74" t="s">
        <v>253</v>
      </c>
      <c r="H4" s="74"/>
      <c r="I4" s="74"/>
      <c r="J4" s="74"/>
      <c r="K4" s="74"/>
      <c r="L4" s="74"/>
      <c r="M4" s="74" t="s">
        <v>253</v>
      </c>
      <c r="N4" s="74" t="s">
        <v>253</v>
      </c>
      <c r="O4" s="104"/>
      <c r="P4" s="74" t="s">
        <v>253</v>
      </c>
      <c r="Q4" s="74" t="s">
        <v>253</v>
      </c>
      <c r="R4" s="74" t="s">
        <v>253</v>
      </c>
      <c r="T4" s="78"/>
      <c r="U4" s="78"/>
      <c r="V4" s="78"/>
      <c r="W4" s="78"/>
      <c r="X4" s="78"/>
      <c r="Y4" s="78"/>
      <c r="Z4" s="78"/>
      <c r="AA4" s="78"/>
      <c r="AB4" s="78"/>
      <c r="AC4" s="78"/>
      <c r="AD4" s="78"/>
      <c r="AE4" s="78"/>
      <c r="AF4" s="78"/>
      <c r="AG4" s="78"/>
      <c r="AH4" s="78"/>
      <c r="AI4" s="78"/>
      <c r="AJ4" s="78"/>
      <c r="AK4" s="78"/>
      <c r="AL4" s="78"/>
      <c r="AM4" s="78"/>
      <c r="AN4" s="78"/>
      <c r="AO4" s="78"/>
      <c r="AP4" s="78"/>
    </row>
    <row r="5" spans="1:42" s="77" customFormat="1" ht="15" customHeight="1" outlineLevel="1" x14ac:dyDescent="0.25">
      <c r="A5" s="104"/>
      <c r="B5" s="72" t="s">
        <v>255</v>
      </c>
      <c r="C5" s="104"/>
      <c r="D5" s="74"/>
      <c r="E5" s="74"/>
      <c r="F5" s="74"/>
      <c r="G5" s="74"/>
      <c r="H5" s="74"/>
      <c r="I5" s="74"/>
      <c r="J5" s="74"/>
      <c r="K5" s="74" t="s">
        <v>603</v>
      </c>
      <c r="L5" s="74" t="s">
        <v>604</v>
      </c>
      <c r="M5" s="74"/>
      <c r="N5" s="74"/>
      <c r="O5" s="104"/>
      <c r="P5" s="74" t="s">
        <v>260</v>
      </c>
      <c r="Q5" s="74"/>
      <c r="R5" s="79"/>
      <c r="T5" s="78"/>
      <c r="U5" s="78"/>
      <c r="V5" s="78"/>
      <c r="W5" s="78"/>
      <c r="X5" s="78"/>
      <c r="Y5" s="78"/>
      <c r="Z5" s="78"/>
      <c r="AA5" s="78"/>
      <c r="AB5" s="78"/>
      <c r="AC5" s="78"/>
      <c r="AD5" s="78"/>
      <c r="AE5" s="78"/>
      <c r="AF5" s="78"/>
      <c r="AG5" s="78"/>
      <c r="AH5" s="78"/>
      <c r="AI5" s="78"/>
      <c r="AJ5" s="78"/>
      <c r="AK5" s="78"/>
      <c r="AL5" s="78"/>
      <c r="AM5" s="78"/>
      <c r="AN5" s="78"/>
      <c r="AO5" s="78"/>
      <c r="AP5" s="78"/>
    </row>
    <row r="6" spans="1:42" s="85" customFormat="1" ht="56.25" customHeight="1" outlineLevel="1" x14ac:dyDescent="0.25">
      <c r="A6" s="106"/>
      <c r="B6" s="81" t="s">
        <v>261</v>
      </c>
      <c r="C6" s="106"/>
      <c r="D6" s="83" t="s">
        <v>263</v>
      </c>
      <c r="E6" s="83" t="s">
        <v>605</v>
      </c>
      <c r="F6" s="83" t="s">
        <v>262</v>
      </c>
      <c r="G6" s="83" t="s">
        <v>262</v>
      </c>
      <c r="H6" s="83" t="s">
        <v>262</v>
      </c>
      <c r="I6" s="83" t="s">
        <v>262</v>
      </c>
      <c r="J6" s="83" t="s">
        <v>262</v>
      </c>
      <c r="K6" s="83" t="s">
        <v>606</v>
      </c>
      <c r="L6" s="83" t="s">
        <v>607</v>
      </c>
      <c r="M6" s="83" t="s">
        <v>262</v>
      </c>
      <c r="N6" s="83" t="s">
        <v>262</v>
      </c>
      <c r="O6" s="106"/>
      <c r="P6" s="83" t="s">
        <v>270</v>
      </c>
      <c r="Q6" s="83" t="s">
        <v>271</v>
      </c>
      <c r="R6" s="83" t="s">
        <v>262</v>
      </c>
      <c r="T6" s="86"/>
      <c r="U6" s="86"/>
      <c r="V6" s="86"/>
      <c r="W6" s="86"/>
      <c r="X6" s="86"/>
      <c r="Y6" s="86"/>
      <c r="Z6" s="86"/>
      <c r="AA6" s="86"/>
      <c r="AB6" s="86"/>
      <c r="AC6" s="86"/>
      <c r="AD6" s="86"/>
      <c r="AE6" s="86"/>
      <c r="AF6" s="86"/>
      <c r="AG6" s="86"/>
      <c r="AH6" s="86"/>
      <c r="AI6" s="86"/>
      <c r="AJ6" s="86"/>
      <c r="AK6" s="86"/>
      <c r="AL6" s="86"/>
      <c r="AM6" s="86"/>
      <c r="AN6" s="86"/>
      <c r="AO6" s="86"/>
      <c r="AP6" s="86"/>
    </row>
    <row r="7" spans="1:42" s="107" customFormat="1" ht="25.5" x14ac:dyDescent="0.25">
      <c r="D7" s="108"/>
      <c r="E7" s="89"/>
      <c r="F7" s="94" t="s">
        <v>985</v>
      </c>
      <c r="G7" s="49" t="s">
        <v>983</v>
      </c>
      <c r="H7" s="49" t="s">
        <v>984</v>
      </c>
      <c r="I7" s="95"/>
      <c r="J7" s="95"/>
      <c r="K7" s="94" t="s">
        <v>608</v>
      </c>
      <c r="L7" s="94" t="s">
        <v>685</v>
      </c>
      <c r="M7" s="94">
        <v>2003</v>
      </c>
      <c r="N7" s="94" t="s">
        <v>986</v>
      </c>
      <c r="O7" s="106"/>
      <c r="P7" s="90" t="s">
        <v>684</v>
      </c>
      <c r="Q7" s="90" t="s">
        <v>968</v>
      </c>
      <c r="R7" s="90" t="s">
        <v>50</v>
      </c>
      <c r="T7" s="88"/>
      <c r="U7" s="90"/>
      <c r="V7" s="90"/>
      <c r="W7" s="90"/>
      <c r="X7" s="90"/>
      <c r="Y7" s="90"/>
      <c r="Z7" s="90"/>
      <c r="AA7" s="90"/>
      <c r="AB7" s="90"/>
      <c r="AC7" s="90"/>
      <c r="AD7" s="90"/>
      <c r="AE7" s="90"/>
      <c r="AF7" s="90"/>
      <c r="AG7" s="90"/>
      <c r="AH7" s="90"/>
      <c r="AI7" s="90"/>
      <c r="AJ7" s="90"/>
      <c r="AK7" s="90"/>
      <c r="AL7" s="90"/>
      <c r="AM7" s="90"/>
      <c r="AN7" s="90"/>
      <c r="AO7" s="90"/>
      <c r="AP7" s="90"/>
    </row>
    <row r="8" spans="1:42" s="107" customFormat="1" x14ac:dyDescent="0.25">
      <c r="D8" s="108"/>
      <c r="E8" s="89"/>
      <c r="F8" s="94"/>
      <c r="G8" s="49"/>
      <c r="H8" s="49"/>
      <c r="I8" s="95"/>
      <c r="J8" s="95"/>
      <c r="K8" s="94"/>
      <c r="L8" s="94"/>
      <c r="M8" s="94"/>
      <c r="N8" s="94"/>
      <c r="O8" s="106"/>
      <c r="P8" s="94"/>
      <c r="Q8" s="94"/>
      <c r="R8" s="94"/>
      <c r="T8" s="88"/>
      <c r="U8" s="90"/>
      <c r="V8" s="90"/>
      <c r="W8" s="90"/>
      <c r="X8" s="90"/>
      <c r="Y8" s="90"/>
      <c r="Z8" s="90"/>
      <c r="AA8" s="90"/>
      <c r="AB8" s="90"/>
      <c r="AC8" s="90"/>
      <c r="AD8" s="90"/>
      <c r="AE8" s="90"/>
      <c r="AF8" s="90"/>
      <c r="AG8" s="90"/>
      <c r="AH8" s="90"/>
      <c r="AI8" s="90"/>
      <c r="AJ8" s="90"/>
      <c r="AK8" s="90"/>
      <c r="AL8" s="90"/>
      <c r="AM8" s="90"/>
      <c r="AN8" s="90"/>
      <c r="AO8" s="90"/>
      <c r="AP8" s="90"/>
    </row>
    <row r="9" spans="1:42" s="61" customFormat="1" x14ac:dyDescent="0.25">
      <c r="D9" s="108"/>
      <c r="E9" s="89"/>
      <c r="F9" s="94"/>
      <c r="G9" s="94"/>
      <c r="H9" s="94"/>
      <c r="I9" s="95"/>
      <c r="J9" s="95"/>
      <c r="K9" s="94"/>
      <c r="L9" s="94"/>
      <c r="M9" s="94"/>
      <c r="N9" s="94"/>
      <c r="O9" s="106"/>
      <c r="P9" s="94"/>
      <c r="Q9" s="94"/>
      <c r="R9" s="94"/>
      <c r="T9" s="88"/>
      <c r="U9" s="90"/>
      <c r="V9" s="90"/>
      <c r="W9" s="90"/>
      <c r="X9" s="90"/>
      <c r="Y9" s="90"/>
      <c r="Z9" s="90"/>
      <c r="AA9" s="90"/>
      <c r="AB9" s="90"/>
      <c r="AC9" s="90"/>
      <c r="AD9" s="90"/>
      <c r="AE9" s="90"/>
      <c r="AF9" s="90"/>
      <c r="AG9" s="90"/>
      <c r="AH9" s="90"/>
      <c r="AI9" s="90"/>
      <c r="AJ9" s="90"/>
      <c r="AK9" s="90"/>
      <c r="AL9" s="90"/>
      <c r="AM9" s="90"/>
      <c r="AN9" s="90"/>
      <c r="AO9" s="90"/>
      <c r="AP9" s="90"/>
    </row>
    <row r="10" spans="1:42" s="61" customFormat="1" x14ac:dyDescent="0.25">
      <c r="D10" s="108"/>
      <c r="E10" s="89"/>
      <c r="F10" s="94"/>
      <c r="G10" s="94"/>
      <c r="H10" s="94"/>
      <c r="I10" s="95"/>
      <c r="J10" s="95"/>
      <c r="K10" s="94"/>
      <c r="L10" s="94"/>
      <c r="M10" s="94"/>
      <c r="N10" s="94"/>
      <c r="O10" s="106"/>
      <c r="P10" s="94"/>
      <c r="Q10" s="94"/>
      <c r="R10" s="94"/>
      <c r="T10" s="88"/>
      <c r="U10" s="90"/>
      <c r="V10" s="90"/>
      <c r="W10" s="90"/>
      <c r="X10" s="90"/>
      <c r="Y10" s="90"/>
      <c r="Z10" s="90"/>
      <c r="AA10" s="90"/>
      <c r="AB10" s="90"/>
      <c r="AC10" s="90"/>
      <c r="AD10" s="90"/>
      <c r="AE10" s="90"/>
      <c r="AF10" s="90"/>
      <c r="AG10" s="90"/>
      <c r="AH10" s="90"/>
      <c r="AI10" s="90"/>
      <c r="AJ10" s="90"/>
      <c r="AK10" s="90"/>
      <c r="AL10" s="90"/>
      <c r="AM10" s="90"/>
      <c r="AN10" s="90"/>
      <c r="AO10" s="90"/>
      <c r="AP10" s="90"/>
    </row>
    <row r="11" spans="1:42" s="61" customFormat="1" x14ac:dyDescent="0.25">
      <c r="D11" s="108"/>
      <c r="E11" s="89"/>
      <c r="F11" s="94"/>
      <c r="G11" s="94"/>
      <c r="H11" s="94"/>
      <c r="I11" s="95"/>
      <c r="J11" s="95"/>
      <c r="K11" s="94"/>
      <c r="L11" s="94"/>
      <c r="M11" s="94"/>
      <c r="N11" s="94"/>
      <c r="O11" s="106"/>
      <c r="P11" s="94"/>
      <c r="Q11" s="94"/>
      <c r="R11" s="94"/>
      <c r="T11" s="88"/>
      <c r="U11" s="90"/>
      <c r="V11" s="90"/>
      <c r="W11" s="90"/>
      <c r="X11" s="90"/>
      <c r="Y11" s="90"/>
      <c r="Z11" s="90"/>
      <c r="AA11" s="90"/>
      <c r="AB11" s="90"/>
      <c r="AC11" s="90"/>
      <c r="AD11" s="90"/>
      <c r="AE11" s="90"/>
      <c r="AF11" s="90"/>
      <c r="AG11" s="90"/>
      <c r="AH11" s="90"/>
      <c r="AI11" s="90"/>
      <c r="AJ11" s="90"/>
      <c r="AK11" s="90"/>
      <c r="AL11" s="90"/>
      <c r="AM11" s="90"/>
      <c r="AN11" s="90"/>
      <c r="AO11" s="90"/>
      <c r="AP11" s="90"/>
    </row>
    <row r="12" spans="1:42" s="61" customFormat="1" x14ac:dyDescent="0.25">
      <c r="D12" s="108"/>
      <c r="E12" s="89"/>
      <c r="F12" s="94"/>
      <c r="G12" s="94"/>
      <c r="H12" s="94"/>
      <c r="I12" s="95"/>
      <c r="J12" s="95"/>
      <c r="K12" s="94"/>
      <c r="L12" s="94"/>
      <c r="M12" s="94"/>
      <c r="N12" s="94"/>
      <c r="O12" s="106"/>
      <c r="P12" s="94"/>
      <c r="Q12" s="94"/>
      <c r="R12" s="94"/>
      <c r="T12" s="88"/>
      <c r="U12" s="90"/>
      <c r="V12" s="90"/>
      <c r="W12" s="90"/>
      <c r="X12" s="90"/>
      <c r="Y12" s="90"/>
      <c r="Z12" s="90"/>
      <c r="AA12" s="90"/>
      <c r="AB12" s="90"/>
      <c r="AC12" s="90"/>
      <c r="AD12" s="90"/>
      <c r="AE12" s="90"/>
      <c r="AF12" s="90"/>
      <c r="AG12" s="90"/>
      <c r="AH12" s="90"/>
      <c r="AI12" s="90"/>
      <c r="AJ12" s="90"/>
      <c r="AK12" s="90"/>
      <c r="AL12" s="90"/>
      <c r="AM12" s="90"/>
      <c r="AN12" s="90"/>
      <c r="AO12" s="90"/>
      <c r="AP12" s="90"/>
    </row>
    <row r="13" spans="1:42" ht="15" customHeight="1" x14ac:dyDescent="0.2"/>
    <row r="14" spans="1:42" ht="15" customHeight="1" x14ac:dyDescent="0.2"/>
    <row r="15" spans="1:42" ht="15" customHeight="1" x14ac:dyDescent="0.2"/>
    <row r="16" spans="1:42"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sheetData>
  <sheetProtection selectLockedCells="1"/>
  <dataValidations count="5">
    <dataValidation type="date" allowBlank="1" showInputMessage="1" showErrorMessage="1" promptTitle="Versionsdatum" prompt="Datum im Format YYYY-MM-DD eintragen." sqref="R83:R1940 R8:R14" xr:uid="{00000000-0002-0000-0600-000000000000}">
      <formula1>DATE(2000,1,1)</formula1>
      <formula2>DATE(2100,12,31)</formula2>
    </dataValidation>
    <dataValidation type="list" allowBlank="1" sqref="K7:K1999" xr:uid="{00000000-0002-0000-0600-000001000000}">
      <formula1>ISG___Informationssicherheitsgesetz</formula1>
    </dataValidation>
    <dataValidation type="list" allowBlank="1" sqref="L7:L1999" xr:uid="{00000000-0002-0000-0600-000002000000}">
      <formula1>FAIR_Prinzipien</formula1>
    </dataValidation>
    <dataValidation type="list" allowBlank="1" sqref="P7:P1999" xr:uid="{00000000-0002-0000-0600-000003000000}">
      <formula1>Status</formula1>
    </dataValidation>
    <dataValidation type="date" operator="greaterThanOrEqual" sqref="Q7" xr:uid="{5BB61DDF-1264-4605-846F-D485E34AD2B2}">
      <formula1>DATE(2000,1,1)</formula1>
    </dataValidation>
  </dataValidations>
  <pageMargins left="0.70866141732283472" right="0.70866141732283472" top="0.78740157480314965" bottom="0.78740157480314965" header="0.31496062992125978" footer="0.31496062992125978"/>
  <pageSetup paperSize="9" scale="40"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L85"/>
  <sheetViews>
    <sheetView showGridLines="0" zoomScale="85" zoomScaleNormal="85" workbookViewId="0">
      <pane ySplit="6" topLeftCell="A7" activePane="bottomLeft" state="frozen"/>
      <selection pane="bottomLeft" activeCell="H38" sqref="H38"/>
    </sheetView>
  </sheetViews>
  <sheetFormatPr baseColWidth="10" defaultColWidth="11.28515625" defaultRowHeight="29.1" customHeight="1" outlineLevelRow="1" outlineLevelCol="1" x14ac:dyDescent="0.2"/>
  <cols>
    <col min="1" max="1" width="6.7109375" style="96" customWidth="1"/>
    <col min="2" max="2" width="25.7109375" style="97" customWidth="1" outlineLevel="1"/>
    <col min="3" max="3" width="6.7109375" style="92" customWidth="1"/>
    <col min="4" max="8" width="25.7109375" style="98" customWidth="1" outlineLevel="1"/>
    <col min="9" max="10" width="6.7109375" style="98" customWidth="1" outlineLevel="1"/>
    <col min="11" max="11" width="6.7109375" style="92" customWidth="1"/>
    <col min="12" max="14" width="25.7109375" style="97" customWidth="1" outlineLevel="1"/>
    <col min="15" max="15" width="1.7109375" style="98" customWidth="1"/>
    <col min="16" max="16" width="6.7109375" style="99" customWidth="1"/>
    <col min="17" max="17" width="11.7109375" style="99" customWidth="1" outlineLevel="1"/>
    <col min="18" max="38" width="11.28515625" style="99" customWidth="1" outlineLevel="1"/>
    <col min="39" max="41" width="11.28515625" style="98" customWidth="1"/>
    <col min="42" max="16384" width="11.28515625" style="98"/>
  </cols>
  <sheetData>
    <row r="1" spans="1:38" s="70" customFormat="1" ht="200.1" customHeight="1" x14ac:dyDescent="0.25">
      <c r="A1" s="66" t="s">
        <v>237</v>
      </c>
      <c r="B1" s="67" t="s">
        <v>70</v>
      </c>
      <c r="C1" s="68" t="s">
        <v>231</v>
      </c>
      <c r="D1" s="67" t="s">
        <v>232</v>
      </c>
      <c r="E1" s="67" t="s">
        <v>233</v>
      </c>
      <c r="F1" s="67" t="s">
        <v>147</v>
      </c>
      <c r="G1" s="67" t="s">
        <v>151</v>
      </c>
      <c r="H1" s="67" t="s">
        <v>150</v>
      </c>
      <c r="I1" s="67" t="s">
        <v>152</v>
      </c>
      <c r="J1" s="67" t="s">
        <v>153</v>
      </c>
      <c r="K1" s="69" t="s">
        <v>62</v>
      </c>
      <c r="L1" s="67" t="s">
        <v>44</v>
      </c>
      <c r="M1" s="67" t="s">
        <v>160</v>
      </c>
      <c r="N1" s="67" t="s">
        <v>161</v>
      </c>
      <c r="P1" s="66" t="s">
        <v>242</v>
      </c>
      <c r="Q1" s="67"/>
      <c r="R1" s="67"/>
      <c r="S1" s="67"/>
      <c r="T1" s="67"/>
      <c r="U1" s="67"/>
      <c r="V1" s="67"/>
      <c r="W1" s="67"/>
      <c r="X1" s="67"/>
      <c r="Y1" s="67"/>
      <c r="Z1" s="67"/>
      <c r="AA1" s="67"/>
      <c r="AB1" s="67"/>
      <c r="AC1" s="67"/>
      <c r="AD1" s="67"/>
      <c r="AE1" s="67"/>
      <c r="AF1" s="67"/>
      <c r="AG1" s="67"/>
      <c r="AH1" s="67"/>
      <c r="AI1" s="67"/>
      <c r="AJ1" s="67"/>
      <c r="AK1" s="67"/>
      <c r="AL1" s="67"/>
    </row>
    <row r="2" spans="1:38" s="75" customFormat="1" ht="12.75" customHeight="1" outlineLevel="1" x14ac:dyDescent="0.25">
      <c r="A2" s="71"/>
      <c r="B2" s="72" t="s">
        <v>76</v>
      </c>
      <c r="C2" s="73"/>
      <c r="D2" s="74" t="s">
        <v>244</v>
      </c>
      <c r="E2" s="74" t="s">
        <v>244</v>
      </c>
      <c r="F2" s="74" t="s">
        <v>245</v>
      </c>
      <c r="G2" s="74" t="s">
        <v>245</v>
      </c>
      <c r="H2" s="74" t="s">
        <v>245</v>
      </c>
      <c r="I2" s="74" t="s">
        <v>243</v>
      </c>
      <c r="J2" s="74" t="s">
        <v>243</v>
      </c>
      <c r="K2" s="73"/>
      <c r="L2" s="74" t="s">
        <v>245</v>
      </c>
      <c r="M2" s="74" t="s">
        <v>245</v>
      </c>
      <c r="N2" s="74" t="s">
        <v>245</v>
      </c>
      <c r="P2" s="76"/>
      <c r="Q2" s="76"/>
      <c r="R2" s="76"/>
      <c r="S2" s="76"/>
      <c r="T2" s="76"/>
      <c r="U2" s="76"/>
      <c r="V2" s="76"/>
      <c r="W2" s="76"/>
      <c r="X2" s="76"/>
      <c r="Y2" s="76"/>
      <c r="Z2" s="76"/>
      <c r="AA2" s="76"/>
      <c r="AB2" s="76"/>
      <c r="AC2" s="76"/>
      <c r="AD2" s="76"/>
      <c r="AE2" s="76"/>
      <c r="AF2" s="76"/>
      <c r="AG2" s="76"/>
      <c r="AH2" s="76"/>
      <c r="AI2" s="76"/>
      <c r="AJ2" s="76"/>
      <c r="AK2" s="76"/>
      <c r="AL2" s="76"/>
    </row>
    <row r="3" spans="1:38" s="77" customFormat="1" ht="14.25" customHeight="1" outlineLevel="1" x14ac:dyDescent="0.25">
      <c r="A3" s="71"/>
      <c r="B3" s="72" t="s">
        <v>77</v>
      </c>
      <c r="C3" s="73"/>
      <c r="D3" s="74" t="s">
        <v>252</v>
      </c>
      <c r="E3" s="74" t="s">
        <v>248</v>
      </c>
      <c r="F3" s="74" t="s">
        <v>252</v>
      </c>
      <c r="G3" s="74" t="s">
        <v>252</v>
      </c>
      <c r="H3" s="74" t="s">
        <v>249</v>
      </c>
      <c r="I3" s="74" t="s">
        <v>250</v>
      </c>
      <c r="J3" s="74" t="s">
        <v>251</v>
      </c>
      <c r="K3" s="73"/>
      <c r="L3" s="74" t="s">
        <v>247</v>
      </c>
      <c r="M3" s="74" t="s">
        <v>247</v>
      </c>
      <c r="N3" s="74" t="s">
        <v>247</v>
      </c>
      <c r="P3" s="78"/>
      <c r="Q3" s="78"/>
      <c r="R3" s="78"/>
      <c r="S3" s="78"/>
      <c r="T3" s="78"/>
      <c r="U3" s="78"/>
      <c r="V3" s="78"/>
      <c r="W3" s="78"/>
      <c r="X3" s="78"/>
      <c r="Y3" s="78"/>
      <c r="Z3" s="78"/>
      <c r="AA3" s="78"/>
      <c r="AB3" s="78"/>
      <c r="AC3" s="78"/>
      <c r="AD3" s="78"/>
      <c r="AE3" s="78"/>
      <c r="AF3" s="78"/>
      <c r="AG3" s="78"/>
      <c r="AH3" s="78"/>
      <c r="AI3" s="78"/>
      <c r="AJ3" s="78"/>
      <c r="AK3" s="78"/>
      <c r="AL3" s="78"/>
    </row>
    <row r="4" spans="1:38" s="77" customFormat="1" ht="14.25" customHeight="1" outlineLevel="1" x14ac:dyDescent="0.25">
      <c r="A4" s="71"/>
      <c r="B4" s="72" t="s">
        <v>78</v>
      </c>
      <c r="C4" s="73"/>
      <c r="D4" s="74" t="s">
        <v>254</v>
      </c>
      <c r="E4" s="74"/>
      <c r="F4" s="74"/>
      <c r="G4" s="74"/>
      <c r="H4" s="74"/>
      <c r="I4" s="74"/>
      <c r="J4" s="74"/>
      <c r="K4" s="73"/>
      <c r="L4" s="74" t="s">
        <v>253</v>
      </c>
      <c r="M4" s="74" t="s">
        <v>253</v>
      </c>
      <c r="N4" s="74" t="s">
        <v>253</v>
      </c>
      <c r="P4" s="78"/>
      <c r="Q4" s="78"/>
      <c r="R4" s="78"/>
      <c r="S4" s="78"/>
      <c r="T4" s="78"/>
      <c r="U4" s="78"/>
      <c r="V4" s="78"/>
      <c r="W4" s="78"/>
      <c r="X4" s="78"/>
      <c r="Y4" s="78"/>
      <c r="Z4" s="78"/>
      <c r="AA4" s="78"/>
      <c r="AB4" s="78"/>
      <c r="AC4" s="78"/>
      <c r="AD4" s="78"/>
      <c r="AE4" s="78"/>
      <c r="AF4" s="78"/>
      <c r="AG4" s="78"/>
      <c r="AH4" s="78"/>
      <c r="AI4" s="78"/>
      <c r="AJ4" s="78"/>
      <c r="AK4" s="78"/>
      <c r="AL4" s="78"/>
    </row>
    <row r="5" spans="1:38" s="77" customFormat="1" ht="14.25" customHeight="1" outlineLevel="1" x14ac:dyDescent="0.25">
      <c r="A5" s="71"/>
      <c r="B5" s="72" t="s">
        <v>255</v>
      </c>
      <c r="C5" s="73"/>
      <c r="D5" s="74"/>
      <c r="E5" s="74"/>
      <c r="F5" s="74"/>
      <c r="G5" s="74"/>
      <c r="H5" s="74"/>
      <c r="I5" s="74"/>
      <c r="J5" s="74"/>
      <c r="K5" s="73"/>
      <c r="L5" s="74" t="s">
        <v>260</v>
      </c>
      <c r="M5" s="74"/>
      <c r="N5" s="79"/>
      <c r="P5" s="78"/>
      <c r="Q5" s="78"/>
      <c r="R5" s="78"/>
      <c r="S5" s="78"/>
      <c r="T5" s="78"/>
      <c r="U5" s="78"/>
      <c r="V5" s="78"/>
      <c r="W5" s="78"/>
      <c r="X5" s="78"/>
      <c r="Y5" s="78"/>
      <c r="Z5" s="78"/>
      <c r="AA5" s="78"/>
      <c r="AB5" s="78"/>
      <c r="AC5" s="78"/>
      <c r="AD5" s="78"/>
      <c r="AE5" s="78"/>
      <c r="AF5" s="78"/>
      <c r="AG5" s="78"/>
      <c r="AH5" s="78"/>
      <c r="AI5" s="78"/>
      <c r="AJ5" s="78"/>
      <c r="AK5" s="78"/>
      <c r="AL5" s="78"/>
    </row>
    <row r="6" spans="1:38" s="85" customFormat="1" ht="33.75" customHeight="1" outlineLevel="1" x14ac:dyDescent="0.2">
      <c r="A6" s="80"/>
      <c r="B6" s="81" t="s">
        <v>261</v>
      </c>
      <c r="C6" s="82"/>
      <c r="D6" s="83" t="s">
        <v>264</v>
      </c>
      <c r="E6" s="83" t="s">
        <v>262</v>
      </c>
      <c r="F6" s="83" t="s">
        <v>610</v>
      </c>
      <c r="G6" s="83" t="s">
        <v>262</v>
      </c>
      <c r="H6" s="83" t="s">
        <v>262</v>
      </c>
      <c r="I6" s="83" t="s">
        <v>262</v>
      </c>
      <c r="J6" s="83" t="s">
        <v>262</v>
      </c>
      <c r="K6" s="84"/>
      <c r="L6" s="83" t="s">
        <v>270</v>
      </c>
      <c r="M6" s="83" t="s">
        <v>271</v>
      </c>
      <c r="N6" s="83" t="s">
        <v>262</v>
      </c>
      <c r="P6" s="86"/>
      <c r="Q6" s="86"/>
      <c r="R6" s="86"/>
      <c r="S6" s="86"/>
      <c r="T6" s="86"/>
      <c r="U6" s="86"/>
      <c r="V6" s="86"/>
      <c r="W6" s="86"/>
      <c r="X6" s="86"/>
      <c r="Y6" s="86"/>
      <c r="Z6" s="86"/>
      <c r="AA6" s="86"/>
      <c r="AB6" s="86"/>
      <c r="AC6" s="86"/>
      <c r="AD6" s="86"/>
      <c r="AE6" s="86"/>
      <c r="AF6" s="86"/>
      <c r="AG6" s="86"/>
      <c r="AH6" s="86"/>
      <c r="AI6" s="86"/>
      <c r="AJ6" s="86"/>
      <c r="AK6" s="86"/>
      <c r="AL6" s="86"/>
    </row>
    <row r="7" spans="1:38" s="88" customFormat="1" ht="102" x14ac:dyDescent="0.2">
      <c r="A7" s="87"/>
      <c r="C7" s="87"/>
      <c r="D7" s="108"/>
      <c r="E7" s="89"/>
      <c r="F7" s="90" t="s">
        <v>987</v>
      </c>
      <c r="G7" s="90" t="s">
        <v>991</v>
      </c>
      <c r="H7" s="90" t="s">
        <v>990</v>
      </c>
      <c r="I7" s="91"/>
      <c r="J7" s="91"/>
      <c r="K7" s="250"/>
      <c r="L7" s="90" t="s">
        <v>684</v>
      </c>
      <c r="M7" s="90" t="s">
        <v>968</v>
      </c>
      <c r="N7" s="90" t="s">
        <v>50</v>
      </c>
      <c r="P7" s="93"/>
      <c r="Q7" s="90"/>
      <c r="R7" s="90"/>
      <c r="S7" s="90"/>
      <c r="T7" s="90"/>
      <c r="U7" s="90"/>
      <c r="V7" s="90"/>
      <c r="W7" s="90"/>
      <c r="X7" s="90"/>
      <c r="Y7" s="90"/>
      <c r="Z7" s="90"/>
      <c r="AA7" s="90"/>
      <c r="AB7" s="90"/>
      <c r="AC7" s="90"/>
      <c r="AD7" s="90"/>
      <c r="AE7" s="90"/>
      <c r="AF7" s="90"/>
      <c r="AG7" s="90"/>
      <c r="AH7" s="90"/>
      <c r="AI7" s="90"/>
      <c r="AJ7" s="90"/>
      <c r="AK7" s="90"/>
      <c r="AL7" s="90"/>
    </row>
    <row r="8" spans="1:38" s="88" customFormat="1" ht="12.75" customHeight="1" x14ac:dyDescent="0.2">
      <c r="A8" s="87"/>
      <c r="C8" s="87"/>
      <c r="D8" s="108"/>
      <c r="E8" s="89"/>
      <c r="F8" s="90"/>
      <c r="G8" s="90"/>
      <c r="H8" s="90"/>
      <c r="I8" s="91"/>
      <c r="J8" s="91"/>
      <c r="K8" s="250"/>
      <c r="L8" s="90"/>
      <c r="M8" s="90"/>
      <c r="N8" s="94"/>
      <c r="P8" s="93"/>
      <c r="Q8" s="90"/>
      <c r="R8" s="90"/>
      <c r="S8" s="90"/>
      <c r="T8" s="90"/>
      <c r="U8" s="90"/>
      <c r="V8" s="90"/>
      <c r="W8" s="90"/>
      <c r="X8" s="90"/>
      <c r="Y8" s="90"/>
      <c r="Z8" s="90"/>
      <c r="AA8" s="90"/>
      <c r="AB8" s="90"/>
      <c r="AC8" s="90"/>
      <c r="AD8" s="90"/>
      <c r="AE8" s="90"/>
      <c r="AF8" s="90"/>
      <c r="AG8" s="90"/>
      <c r="AH8" s="90"/>
      <c r="AI8" s="90"/>
      <c r="AJ8" s="90"/>
      <c r="AK8" s="90"/>
      <c r="AL8" s="90"/>
    </row>
    <row r="9" spans="1:38" s="88" customFormat="1" ht="12.75" customHeight="1" x14ac:dyDescent="0.2">
      <c r="A9" s="87"/>
      <c r="C9" s="87"/>
      <c r="D9" s="108"/>
      <c r="E9" s="89"/>
      <c r="F9" s="90"/>
      <c r="G9" s="90"/>
      <c r="H9" s="90"/>
      <c r="I9" s="91"/>
      <c r="J9" s="91"/>
      <c r="K9" s="250"/>
      <c r="L9" s="90"/>
      <c r="M9" s="90"/>
      <c r="N9" s="94"/>
      <c r="P9" s="93"/>
      <c r="Q9" s="90"/>
      <c r="R9" s="90"/>
      <c r="S9" s="90"/>
      <c r="T9" s="90"/>
      <c r="U9" s="90"/>
      <c r="V9" s="90"/>
      <c r="W9" s="90"/>
      <c r="X9" s="90"/>
      <c r="Y9" s="90"/>
      <c r="Z9" s="90"/>
      <c r="AA9" s="90"/>
      <c r="AB9" s="90"/>
      <c r="AC9" s="90"/>
      <c r="AD9" s="90"/>
      <c r="AE9" s="90"/>
      <c r="AF9" s="90"/>
      <c r="AG9" s="90"/>
      <c r="AH9" s="90"/>
      <c r="AI9" s="90"/>
      <c r="AJ9" s="90"/>
      <c r="AK9" s="90"/>
      <c r="AL9" s="90"/>
    </row>
    <row r="10" spans="1:38" s="88" customFormat="1" ht="12.75" customHeight="1" x14ac:dyDescent="0.2">
      <c r="A10" s="87"/>
      <c r="C10" s="87"/>
      <c r="D10" s="108"/>
      <c r="E10" s="89"/>
      <c r="F10" s="90"/>
      <c r="G10" s="90"/>
      <c r="H10" s="90"/>
      <c r="I10" s="91"/>
      <c r="J10" s="91"/>
      <c r="K10" s="250"/>
      <c r="L10" s="90"/>
      <c r="M10" s="90"/>
      <c r="N10" s="94"/>
      <c r="P10" s="93"/>
      <c r="Q10" s="90"/>
      <c r="R10" s="90"/>
      <c r="S10" s="90"/>
      <c r="T10" s="90"/>
      <c r="U10" s="90"/>
      <c r="V10" s="90"/>
      <c r="W10" s="90"/>
      <c r="X10" s="90"/>
      <c r="Y10" s="90"/>
      <c r="Z10" s="90"/>
      <c r="AA10" s="90"/>
      <c r="AB10" s="90"/>
      <c r="AC10" s="90"/>
      <c r="AD10" s="90"/>
      <c r="AE10" s="90"/>
      <c r="AF10" s="90"/>
      <c r="AG10" s="90"/>
      <c r="AH10" s="90"/>
      <c r="AI10" s="90"/>
      <c r="AJ10" s="90"/>
      <c r="AK10" s="90"/>
      <c r="AL10" s="90"/>
    </row>
    <row r="11" spans="1:38" s="88" customFormat="1" ht="12.75" customHeight="1" x14ac:dyDescent="0.2">
      <c r="A11" s="87"/>
      <c r="C11" s="87"/>
      <c r="D11" s="108"/>
      <c r="E11" s="89"/>
      <c r="F11" s="94"/>
      <c r="G11" s="94"/>
      <c r="H11" s="94"/>
      <c r="I11" s="95"/>
      <c r="J11" s="95"/>
      <c r="K11" s="250"/>
      <c r="L11" s="90"/>
      <c r="M11" s="90"/>
      <c r="N11" s="94"/>
      <c r="P11" s="93"/>
      <c r="Q11" s="90"/>
      <c r="R11" s="90"/>
      <c r="S11" s="90"/>
      <c r="T11" s="90"/>
      <c r="U11" s="90"/>
      <c r="V11" s="90"/>
      <c r="W11" s="90"/>
      <c r="X11" s="90"/>
      <c r="Y11" s="90"/>
      <c r="Z11" s="90"/>
      <c r="AA11" s="90"/>
      <c r="AB11" s="90"/>
      <c r="AC11" s="90"/>
      <c r="AD11" s="90"/>
      <c r="AE11" s="90"/>
      <c r="AF11" s="90"/>
      <c r="AG11" s="90"/>
      <c r="AH11" s="90"/>
      <c r="AI11" s="90"/>
      <c r="AJ11" s="90"/>
      <c r="AK11" s="90"/>
      <c r="AL11" s="90"/>
    </row>
    <row r="12" spans="1:38" ht="13.5" customHeight="1" x14ac:dyDescent="0.2">
      <c r="P12" s="93"/>
    </row>
    <row r="13" spans="1:38" ht="13.5" customHeight="1" x14ac:dyDescent="0.2">
      <c r="P13" s="93"/>
    </row>
    <row r="14" spans="1:38" ht="13.5" customHeight="1" x14ac:dyDescent="0.2">
      <c r="P14" s="93"/>
    </row>
    <row r="15" spans="1:38" ht="13.5" customHeight="1" x14ac:dyDescent="0.2">
      <c r="P15" s="93"/>
    </row>
    <row r="16" spans="1:38" ht="13.5" customHeight="1" x14ac:dyDescent="0.2">
      <c r="P16" s="93"/>
    </row>
    <row r="17" spans="16:16" ht="13.5" customHeight="1" x14ac:dyDescent="0.2">
      <c r="P17" s="93"/>
    </row>
    <row r="18" spans="16:16" ht="13.5" customHeight="1" x14ac:dyDescent="0.2">
      <c r="P18" s="93"/>
    </row>
    <row r="19" spans="16:16" ht="13.5" customHeight="1" x14ac:dyDescent="0.2">
      <c r="P19" s="93"/>
    </row>
    <row r="20" spans="16:16" ht="13.5" customHeight="1" x14ac:dyDescent="0.2">
      <c r="P20" s="93"/>
    </row>
    <row r="21" spans="16:16" ht="13.5" customHeight="1" x14ac:dyDescent="0.2">
      <c r="P21" s="93"/>
    </row>
    <row r="22" spans="16:16" ht="13.5" customHeight="1" x14ac:dyDescent="0.2">
      <c r="P22" s="93"/>
    </row>
    <row r="23" spans="16:16" ht="13.5" customHeight="1" x14ac:dyDescent="0.2">
      <c r="P23" s="93"/>
    </row>
    <row r="24" spans="16:16" ht="13.5" customHeight="1" x14ac:dyDescent="0.2">
      <c r="P24" s="93"/>
    </row>
    <row r="25" spans="16:16" ht="13.5" customHeight="1" x14ac:dyDescent="0.2"/>
    <row r="26" spans="16:16" ht="13.5" customHeight="1" x14ac:dyDescent="0.2"/>
    <row r="27" spans="16:16" ht="13.5" customHeight="1" x14ac:dyDescent="0.2"/>
    <row r="28" spans="16:16" ht="13.5" customHeight="1" x14ac:dyDescent="0.2"/>
    <row r="29" spans="16:16" ht="13.5" customHeight="1" x14ac:dyDescent="0.2"/>
    <row r="30" spans="16:16" ht="13.5" customHeight="1" x14ac:dyDescent="0.2"/>
    <row r="31" spans="16:16" ht="13.5" customHeight="1" x14ac:dyDescent="0.2"/>
    <row r="32" spans="16:16"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sheetData>
  <sheetProtection selectLockedCells="1"/>
  <autoFilter ref="A6:O6" xr:uid="{00000000-0009-0000-0000-000007000000}"/>
  <dataValidations count="3">
    <dataValidation type="date" allowBlank="1" showInputMessage="1" showErrorMessage="1" promptTitle="Versionsdatum" prompt="Datum im Format YYYY-MM-DD eintragen." sqref="M8:M1728" xr:uid="{00000000-0002-0000-0700-000000000000}">
      <formula1>DATE(2000,1,1)</formula1>
      <formula2>DATE(2100,12,31)</formula2>
    </dataValidation>
    <dataValidation type="list" allowBlank="1" sqref="L7:L1999" xr:uid="{00000000-0002-0000-0700-000001000000}">
      <formula1>Status</formula1>
    </dataValidation>
    <dataValidation type="date" operator="greaterThanOrEqual" sqref="M7" xr:uid="{2C743C93-BD55-43EF-A2E8-682857247A78}">
      <formula1>DATE(2000,1,1)</formula1>
    </dataValidation>
  </dataValidations>
  <pageMargins left="0.70866141732283472" right="0.70866141732283472" top="0.78740157480314965" bottom="0.78740157480314965" header="0.31496062992125978" footer="0.31496062992125978"/>
  <pageSetup paperSize="9" scale="46"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G71"/>
  <sheetViews>
    <sheetView zoomScale="85" zoomScaleNormal="85" workbookViewId="0">
      <selection activeCell="C7" sqref="C7"/>
    </sheetView>
  </sheetViews>
  <sheetFormatPr baseColWidth="10" defaultColWidth="11.42578125" defaultRowHeight="14.25" x14ac:dyDescent="0.2"/>
  <cols>
    <col min="1" max="1" width="40.7109375" style="44" customWidth="1"/>
    <col min="2" max="2" width="1.7109375" style="44" customWidth="1"/>
    <col min="3" max="3" width="21.85546875" style="53" customWidth="1"/>
    <col min="4" max="4" width="1.7109375" style="44" customWidth="1"/>
    <col min="5" max="5" width="6.42578125" style="53" bestFit="1" customWidth="1"/>
    <col min="6" max="7" width="2.7109375" style="44" customWidth="1"/>
    <col min="8" max="8" width="20.7109375" style="44" customWidth="1"/>
    <col min="9" max="9" width="40.7109375" style="44" customWidth="1"/>
    <col min="10" max="10" width="2.7109375" style="44" customWidth="1"/>
    <col min="11" max="11" width="60.7109375" style="44" customWidth="1"/>
    <col min="12" max="12" width="2.7109375" style="44" customWidth="1"/>
    <col min="13" max="13" width="60.7109375" style="44" customWidth="1"/>
    <col min="14" max="14" width="2.7109375" style="44" customWidth="1"/>
    <col min="15" max="15" width="60.7109375" style="44" customWidth="1"/>
    <col min="16" max="32" width="2.7109375" style="44" customWidth="1"/>
    <col min="33" max="33" width="9.7109375" style="44" customWidth="1"/>
    <col min="34" max="52" width="2.7109375" style="44" customWidth="1"/>
    <col min="53" max="54" width="3.85546875" style="44" customWidth="1"/>
    <col min="55" max="55" width="6.42578125" style="54" bestFit="1" customWidth="1"/>
    <col min="56" max="59" width="6.5703125" style="44" customWidth="1"/>
    <col min="60" max="66" width="11.42578125" style="44" customWidth="1"/>
    <col min="67" max="16384" width="11.42578125" style="44"/>
  </cols>
  <sheetData>
    <row r="1" spans="1:59" ht="17.649999999999999" customHeight="1" x14ac:dyDescent="0.2">
      <c r="C1" s="50" t="s">
        <v>611</v>
      </c>
      <c r="E1" s="50" t="s">
        <v>322</v>
      </c>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C1" s="50" t="s">
        <v>216</v>
      </c>
      <c r="BD1" s="50"/>
      <c r="BE1" s="50"/>
      <c r="BF1" s="50"/>
      <c r="BG1" s="50"/>
    </row>
    <row r="2" spans="1:59" s="45" customFormat="1" ht="318.75" x14ac:dyDescent="0.2">
      <c r="B2" s="44"/>
      <c r="C2" s="51" t="s">
        <v>612</v>
      </c>
      <c r="E2" s="51" t="s">
        <v>613</v>
      </c>
      <c r="F2" s="52" t="str" cm="1">
        <f t="array" ref="F2:AZ2">TRANSPOSE(Properties!K7:K53)</f>
        <v>Name</v>
      </c>
      <c r="G2" s="52" t="str">
        <v>LongName</v>
      </c>
      <c r="H2" s="52" t="str">
        <v>SIA_416_2003</v>
      </c>
      <c r="I2" s="52" t="str">
        <v>SIA_380_2015</v>
      </c>
      <c r="J2" s="52" t="str">
        <v>SIA_2024_2021</v>
      </c>
      <c r="K2" s="52" t="str">
        <v>SIA_d0615_2000</v>
      </c>
      <c r="L2" s="52" t="str">
        <v>ProgramUse</v>
      </c>
      <c r="M2" s="52" t="str">
        <v>RoomType</v>
      </c>
      <c r="N2" s="52" t="str">
        <v>UnitType</v>
      </c>
      <c r="O2" s="52" t="str">
        <v>Unit_ID</v>
      </c>
      <c r="P2" s="52" t="str">
        <v>RoomNumberFM</v>
      </c>
      <c r="Q2" s="52" t="str">
        <v>RoomSignalLabel</v>
      </c>
      <c r="R2" s="52" t="str">
        <v>CleaningGroup</v>
      </c>
      <c r="S2" s="52" t="str">
        <v>AreaLoad</v>
      </c>
      <c r="T2" s="52" t="str">
        <v>PointLoad</v>
      </c>
      <c r="U2" s="52" t="str">
        <v>EnergyReferenceArea</v>
      </c>
      <c r="V2" s="52" t="str">
        <v>WindowsCleaningArea</v>
      </c>
      <c r="W2" s="52" t="str">
        <v>WindowsOpenable</v>
      </c>
      <c r="X2" s="52" t="str">
        <v>Occupant</v>
      </c>
      <c r="Y2" s="52" t="str">
        <v>Shading</v>
      </c>
      <c r="Z2" s="52" t="str">
        <v>IsHumidified</v>
      </c>
      <c r="AA2" s="52" t="str">
        <v>IsDehumidified</v>
      </c>
      <c r="AB2" s="52" t="str">
        <v>IsRentable</v>
      </c>
      <c r="AC2" s="52" t="str">
        <v>IsExternal</v>
      </c>
      <c r="AD2" s="52" t="str">
        <v>OccupancyType</v>
      </c>
      <c r="AE2" s="52" t="str">
        <v>MinimumHeadroom</v>
      </c>
      <c r="AF2" s="52" t="str">
        <v>OccupancyNumberPeak</v>
      </c>
      <c r="AG2" s="52" t="str">
        <v>OccupancyNumber</v>
      </c>
      <c r="AH2" s="52" t="str">
        <v>FloorCovering</v>
      </c>
      <c r="AI2" s="52" t="str">
        <v>WallCovering</v>
      </c>
      <c r="AJ2" s="52" t="str">
        <v>CeilingCovering</v>
      </c>
      <c r="AK2" s="52" t="str">
        <v>NaturalVentilation</v>
      </c>
      <c r="AL2" s="52" t="str">
        <v>NaturalVentilationRate</v>
      </c>
      <c r="AM2" s="52" t="str">
        <v>MechanicalVentilation</v>
      </c>
      <c r="AN2" s="52" t="str">
        <v>MechanicalVentilationRate</v>
      </c>
      <c r="AO2" s="52" t="str">
        <v>AirConditioning</v>
      </c>
      <c r="AP2" s="52" t="str">
        <v>TemperatureSetPoint</v>
      </c>
      <c r="AQ2" s="52" t="str">
        <v>HumiditySetPoint</v>
      </c>
      <c r="AR2" s="52" t="str">
        <v>FireExit</v>
      </c>
      <c r="AS2" s="52" t="str">
        <v>GrossFloorArea</v>
      </c>
      <c r="AT2" s="52" t="str">
        <v>GrossVolume</v>
      </c>
      <c r="AU2" s="52" t="str">
        <v>NetFloorArea</v>
      </c>
      <c r="AV2" s="52" t="str">
        <v>NetVolume</v>
      </c>
      <c r="AW2" s="52" t="str">
        <v>NetWallArea</v>
      </c>
      <c r="AX2" s="52" t="str">
        <v>Height</v>
      </c>
      <c r="AY2" s="52" t="str">
        <v>AboveGround</v>
      </c>
      <c r="AZ2" s="52" t="str">
        <v>CostZone</v>
      </c>
      <c r="BC2" s="51" t="s">
        <v>614</v>
      </c>
      <c r="BD2" s="52"/>
      <c r="BE2" s="52"/>
      <c r="BF2" s="52"/>
      <c r="BG2" s="52"/>
    </row>
    <row r="3" spans="1:59" ht="18" x14ac:dyDescent="0.2">
      <c r="A3" s="46" t="s">
        <v>142</v>
      </c>
      <c r="C3" s="44"/>
      <c r="E3" s="44"/>
      <c r="BC3" s="44"/>
    </row>
    <row r="4" spans="1:59" s="57" customFormat="1" ht="25.5" customHeight="1" x14ac:dyDescent="0.2">
      <c r="A4" s="47" t="s">
        <v>615</v>
      </c>
      <c r="B4" s="44"/>
      <c r="C4" s="55"/>
      <c r="D4" s="48"/>
      <c r="E4" s="55"/>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C4" s="58"/>
    </row>
    <row r="5" spans="1:59" s="59" customFormat="1" ht="18" customHeight="1" x14ac:dyDescent="0.2">
      <c r="A5" s="49" t="str">
        <f>Classes!P7</f>
        <v>Geschossebene</v>
      </c>
      <c r="B5" s="44"/>
      <c r="C5" s="49" t="s">
        <v>987</v>
      </c>
      <c r="D5" s="48"/>
      <c r="E5" s="58"/>
      <c r="F5" s="49" t="s">
        <v>616</v>
      </c>
      <c r="G5" s="49" t="s">
        <v>616</v>
      </c>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57"/>
      <c r="BB5" s="57"/>
      <c r="BC5" s="58"/>
      <c r="BD5" s="57"/>
    </row>
    <row r="6" spans="1:59" s="58" customFormat="1" ht="38.25" customHeight="1" x14ac:dyDescent="0.2">
      <c r="A6" s="49" t="str">
        <f>Classes!P8</f>
        <v>Grundstückfläche</v>
      </c>
      <c r="B6" s="44"/>
      <c r="C6" s="49" t="s">
        <v>987</v>
      </c>
      <c r="D6" s="48"/>
      <c r="F6" s="49"/>
      <c r="G6" s="49"/>
      <c r="H6" s="49" t="s">
        <v>988</v>
      </c>
      <c r="I6" s="49"/>
      <c r="J6" s="49"/>
      <c r="K6" s="49"/>
      <c r="L6" s="49"/>
      <c r="M6" s="49"/>
      <c r="N6" s="49"/>
      <c r="O6" s="49"/>
      <c r="P6" s="49"/>
      <c r="Q6" s="49"/>
      <c r="R6" s="49"/>
      <c r="S6" s="49"/>
      <c r="T6" s="49"/>
      <c r="U6" s="49"/>
      <c r="V6" s="49"/>
      <c r="W6" s="49"/>
      <c r="X6" s="49"/>
      <c r="Y6" s="49"/>
      <c r="Z6" s="49"/>
      <c r="AA6" s="49"/>
      <c r="AB6" s="49"/>
      <c r="AC6" s="49" t="s">
        <v>989</v>
      </c>
      <c r="AD6" s="49"/>
      <c r="AE6" s="49"/>
      <c r="AF6" s="49"/>
      <c r="AG6" s="49"/>
      <c r="AH6" s="49"/>
      <c r="AI6" s="49"/>
      <c r="AJ6" s="49"/>
      <c r="AK6" s="49"/>
      <c r="AL6" s="49"/>
      <c r="AM6" s="49"/>
      <c r="AN6" s="49"/>
      <c r="AO6" s="49"/>
      <c r="AP6" s="49"/>
      <c r="AQ6" s="49"/>
      <c r="AR6" s="49"/>
      <c r="AS6" s="49" t="s">
        <v>616</v>
      </c>
      <c r="AT6" s="49"/>
      <c r="AU6" s="49"/>
      <c r="AV6" s="49"/>
      <c r="AW6" s="49"/>
      <c r="AX6" s="49"/>
      <c r="AY6" s="49"/>
      <c r="AZ6" s="49"/>
      <c r="BA6" s="57"/>
      <c r="BB6" s="57"/>
      <c r="BD6" s="57"/>
    </row>
    <row r="7" spans="1:59" s="61" customFormat="1" ht="89.25" customHeight="1" x14ac:dyDescent="0.2">
      <c r="A7" s="49" t="str">
        <f>Classes!P9</f>
        <v>Umgebungsfläche</v>
      </c>
      <c r="B7" s="44"/>
      <c r="C7" s="49" t="s">
        <v>987</v>
      </c>
      <c r="D7" s="60"/>
      <c r="F7" s="62"/>
      <c r="G7" s="62" t="s">
        <v>616</v>
      </c>
      <c r="H7" s="62" t="s">
        <v>617</v>
      </c>
      <c r="I7" s="62"/>
      <c r="J7" s="62"/>
      <c r="K7" s="62"/>
      <c r="L7" s="62" t="s">
        <v>616</v>
      </c>
      <c r="M7" s="62" t="s">
        <v>616</v>
      </c>
      <c r="N7" s="62"/>
      <c r="O7" s="62" t="s">
        <v>616</v>
      </c>
      <c r="P7" s="62"/>
      <c r="Q7" s="62"/>
      <c r="R7" s="62"/>
      <c r="S7" s="62"/>
      <c r="T7" s="62"/>
      <c r="U7" s="62"/>
      <c r="V7" s="62"/>
      <c r="W7" s="62"/>
      <c r="X7" s="62" t="s">
        <v>616</v>
      </c>
      <c r="Y7" s="62"/>
      <c r="Z7" s="62"/>
      <c r="AA7" s="62"/>
      <c r="AB7" s="62"/>
      <c r="AC7" s="62" t="s">
        <v>989</v>
      </c>
      <c r="AD7" s="62"/>
      <c r="AE7" s="62"/>
      <c r="AF7" s="62"/>
      <c r="AG7" s="62"/>
      <c r="AH7" s="62" t="s">
        <v>616</v>
      </c>
      <c r="AI7" s="62"/>
      <c r="AJ7" s="62"/>
      <c r="AK7" s="62"/>
      <c r="AL7" s="62"/>
      <c r="AM7" s="62"/>
      <c r="AN7" s="62"/>
      <c r="AO7" s="62"/>
      <c r="AP7" s="62"/>
      <c r="AQ7" s="62"/>
      <c r="AR7" s="62"/>
      <c r="AS7" s="62" t="s">
        <v>616</v>
      </c>
      <c r="AT7" s="62"/>
      <c r="AU7" s="62"/>
      <c r="AV7" s="62"/>
      <c r="AW7" s="62"/>
      <c r="AX7" s="62"/>
      <c r="AY7" s="62"/>
      <c r="AZ7" s="62" t="s">
        <v>616</v>
      </c>
      <c r="BA7" s="57"/>
      <c r="BB7" s="57"/>
      <c r="BC7" s="58"/>
      <c r="BD7" s="57"/>
    </row>
    <row r="8" spans="1:59" s="61" customFormat="1" ht="63.75" customHeight="1" x14ac:dyDescent="0.2">
      <c r="A8" s="49" t="str">
        <f>Classes!P10</f>
        <v>Geschossvolumen</v>
      </c>
      <c r="B8" s="44"/>
      <c r="C8" s="49" t="s">
        <v>987</v>
      </c>
      <c r="D8" s="60"/>
      <c r="F8" s="62"/>
      <c r="G8" s="62"/>
      <c r="H8" s="62" t="s">
        <v>618</v>
      </c>
      <c r="I8" s="62"/>
      <c r="J8" s="62"/>
      <c r="K8" s="62"/>
      <c r="L8" s="62" t="s">
        <v>616</v>
      </c>
      <c r="M8" s="62"/>
      <c r="N8" s="62"/>
      <c r="O8" s="62"/>
      <c r="P8" s="62"/>
      <c r="Q8" s="62"/>
      <c r="R8" s="62"/>
      <c r="S8" s="62"/>
      <c r="T8" s="62"/>
      <c r="U8" s="62"/>
      <c r="V8" s="62"/>
      <c r="W8" s="62"/>
      <c r="X8" s="62" t="s">
        <v>616</v>
      </c>
      <c r="Y8" s="62"/>
      <c r="Z8" s="62"/>
      <c r="AA8" s="62"/>
      <c r="AB8" s="62"/>
      <c r="AC8" s="62" t="s">
        <v>616</v>
      </c>
      <c r="AD8" s="62"/>
      <c r="AE8" s="62"/>
      <c r="AF8" s="62"/>
      <c r="AG8" s="62"/>
      <c r="AH8" s="62"/>
      <c r="AI8" s="62"/>
      <c r="AJ8" s="62"/>
      <c r="AK8" s="62"/>
      <c r="AL8" s="62"/>
      <c r="AM8" s="62"/>
      <c r="AN8" s="62"/>
      <c r="AO8" s="62"/>
      <c r="AP8" s="62"/>
      <c r="AQ8" s="62"/>
      <c r="AR8" s="62"/>
      <c r="AS8" s="62" t="s">
        <v>616</v>
      </c>
      <c r="AT8" s="62" t="s">
        <v>616</v>
      </c>
      <c r="AU8" s="62"/>
      <c r="AV8" s="62"/>
      <c r="AW8" s="62"/>
      <c r="AX8" s="62" t="s">
        <v>616</v>
      </c>
      <c r="AY8" s="62" t="s">
        <v>616</v>
      </c>
      <c r="AZ8" s="62" t="s">
        <v>616</v>
      </c>
      <c r="BA8" s="57"/>
      <c r="BB8" s="57"/>
      <c r="BC8" s="58"/>
      <c r="BD8" s="57"/>
    </row>
    <row r="9" spans="1:59" s="61" customFormat="1" ht="51" x14ac:dyDescent="0.2">
      <c r="A9" s="49" t="str">
        <f>Classes!P11</f>
        <v>Nettogeschossfläche</v>
      </c>
      <c r="B9" s="44"/>
      <c r="C9" s="49" t="s">
        <v>987</v>
      </c>
      <c r="D9" s="60"/>
      <c r="F9" s="62" t="s">
        <v>616</v>
      </c>
      <c r="G9" s="62" t="s">
        <v>616</v>
      </c>
      <c r="H9" s="62" t="s">
        <v>619</v>
      </c>
      <c r="I9" s="62" t="s">
        <v>620</v>
      </c>
      <c r="J9" s="62" t="s">
        <v>616</v>
      </c>
      <c r="K9" s="62" t="s">
        <v>616</v>
      </c>
      <c r="L9" s="62" t="s">
        <v>616</v>
      </c>
      <c r="M9" s="62" t="s">
        <v>616</v>
      </c>
      <c r="N9" s="62"/>
      <c r="O9" s="62" t="s">
        <v>616</v>
      </c>
      <c r="P9" s="62" t="s">
        <v>616</v>
      </c>
      <c r="Q9" s="62" t="s">
        <v>616</v>
      </c>
      <c r="R9" s="62" t="s">
        <v>616</v>
      </c>
      <c r="S9" s="62" t="s">
        <v>616</v>
      </c>
      <c r="T9" s="62" t="s">
        <v>616</v>
      </c>
      <c r="U9" s="62" t="s">
        <v>616</v>
      </c>
      <c r="V9" s="62" t="s">
        <v>616</v>
      </c>
      <c r="W9" s="62" t="s">
        <v>616</v>
      </c>
      <c r="X9" s="62" t="s">
        <v>616</v>
      </c>
      <c r="Y9" s="62" t="s">
        <v>616</v>
      </c>
      <c r="Z9" s="62" t="s">
        <v>616</v>
      </c>
      <c r="AA9" s="62" t="s">
        <v>616</v>
      </c>
      <c r="AB9" s="62" t="s">
        <v>616</v>
      </c>
      <c r="AC9" s="62" t="s">
        <v>621</v>
      </c>
      <c r="AD9" s="62" t="s">
        <v>616</v>
      </c>
      <c r="AE9" s="62" t="s">
        <v>616</v>
      </c>
      <c r="AF9" s="62" t="s">
        <v>616</v>
      </c>
      <c r="AG9" s="62" t="s">
        <v>616</v>
      </c>
      <c r="AH9" s="62" t="s">
        <v>616</v>
      </c>
      <c r="AI9" s="62" t="s">
        <v>616</v>
      </c>
      <c r="AJ9" s="62" t="s">
        <v>616</v>
      </c>
      <c r="AK9" s="62" t="s">
        <v>616</v>
      </c>
      <c r="AL9" s="62" t="s">
        <v>616</v>
      </c>
      <c r="AM9" s="62" t="s">
        <v>616</v>
      </c>
      <c r="AN9" s="62" t="s">
        <v>616</v>
      </c>
      <c r="AO9" s="62" t="s">
        <v>616</v>
      </c>
      <c r="AP9" s="62" t="s">
        <v>616</v>
      </c>
      <c r="AQ9" s="62" t="s">
        <v>616</v>
      </c>
      <c r="AR9" s="62" t="s">
        <v>616</v>
      </c>
      <c r="AS9" s="62"/>
      <c r="AT9" s="62"/>
      <c r="AU9" s="62" t="s">
        <v>616</v>
      </c>
      <c r="AV9" s="62" t="s">
        <v>616</v>
      </c>
      <c r="AW9" s="62" t="s">
        <v>616</v>
      </c>
      <c r="AX9" s="62" t="s">
        <v>616</v>
      </c>
      <c r="AY9" s="62" t="s">
        <v>616</v>
      </c>
      <c r="AZ9" s="62" t="s">
        <v>616</v>
      </c>
      <c r="BA9" s="57"/>
      <c r="BB9" s="57"/>
      <c r="BC9" s="58"/>
      <c r="BD9" s="57"/>
    </row>
    <row r="10" spans="1:59" s="61" customFormat="1" ht="89.25" customHeight="1" x14ac:dyDescent="0.2">
      <c r="A10" s="49" t="str">
        <f>Classes!P12</f>
        <v>Aussen-Nettogeschossfläche</v>
      </c>
      <c r="B10" s="44"/>
      <c r="C10" s="49" t="s">
        <v>987</v>
      </c>
      <c r="D10" s="60"/>
      <c r="F10" s="62" t="s">
        <v>616</v>
      </c>
      <c r="G10" s="62" t="s">
        <v>616</v>
      </c>
      <c r="H10" s="62" t="s">
        <v>622</v>
      </c>
      <c r="I10" s="62"/>
      <c r="J10" s="62"/>
      <c r="K10" s="62"/>
      <c r="L10" s="62" t="s">
        <v>616</v>
      </c>
      <c r="M10" s="62" t="s">
        <v>616</v>
      </c>
      <c r="N10" s="62"/>
      <c r="O10" s="62" t="s">
        <v>616</v>
      </c>
      <c r="P10" s="62"/>
      <c r="Q10" s="62"/>
      <c r="R10" s="62"/>
      <c r="S10" s="62"/>
      <c r="T10" s="62"/>
      <c r="U10" s="62"/>
      <c r="V10" s="62"/>
      <c r="W10" s="62"/>
      <c r="X10" s="62" t="s">
        <v>616</v>
      </c>
      <c r="Y10" s="62"/>
      <c r="Z10" s="62"/>
      <c r="AA10" s="62"/>
      <c r="AB10" s="62"/>
      <c r="AC10" s="62" t="s">
        <v>989</v>
      </c>
      <c r="AD10" s="62" t="s">
        <v>616</v>
      </c>
      <c r="AE10" s="62"/>
      <c r="AF10" s="62" t="s">
        <v>616</v>
      </c>
      <c r="AG10" s="62" t="s">
        <v>616</v>
      </c>
      <c r="AH10" s="62" t="s">
        <v>616</v>
      </c>
      <c r="AI10" s="62"/>
      <c r="AJ10" s="62"/>
      <c r="AK10" s="62"/>
      <c r="AL10" s="62"/>
      <c r="AM10" s="62"/>
      <c r="AN10" s="62"/>
      <c r="AO10" s="62"/>
      <c r="AP10" s="62"/>
      <c r="AQ10" s="62"/>
      <c r="AR10" s="62"/>
      <c r="AS10" s="62"/>
      <c r="AT10" s="62"/>
      <c r="AU10" s="62" t="s">
        <v>616</v>
      </c>
      <c r="AV10" s="62"/>
      <c r="AW10" s="62"/>
      <c r="AX10" s="62"/>
      <c r="AY10" s="62" t="s">
        <v>616</v>
      </c>
      <c r="AZ10" s="62" t="s">
        <v>616</v>
      </c>
      <c r="BA10" s="57"/>
      <c r="BB10" s="57"/>
      <c r="BC10" s="58"/>
      <c r="BD10" s="57"/>
    </row>
    <row r="11" spans="1:59" s="61" customFormat="1" ht="140.25" customHeight="1" x14ac:dyDescent="0.2">
      <c r="A11" s="49" t="str">
        <f>Classes!P13</f>
        <v>Stellplatz</v>
      </c>
      <c r="B11" s="44"/>
      <c r="C11" s="49" t="s">
        <v>987</v>
      </c>
      <c r="D11" s="60"/>
      <c r="F11" s="62" t="s">
        <v>616</v>
      </c>
      <c r="G11" s="62" t="s">
        <v>616</v>
      </c>
      <c r="H11" s="62"/>
      <c r="I11" s="62"/>
      <c r="J11" s="62"/>
      <c r="K11" s="62" t="s">
        <v>616</v>
      </c>
      <c r="L11" s="62" t="s">
        <v>616</v>
      </c>
      <c r="M11" s="62"/>
      <c r="N11" s="62"/>
      <c r="O11" s="62"/>
      <c r="P11" s="62"/>
      <c r="Q11" s="62"/>
      <c r="R11" s="62"/>
      <c r="S11" s="62"/>
      <c r="T11" s="62"/>
      <c r="U11" s="62"/>
      <c r="V11" s="62"/>
      <c r="W11" s="62"/>
      <c r="X11" s="62" t="s">
        <v>616</v>
      </c>
      <c r="Y11" s="62"/>
      <c r="Z11" s="62"/>
      <c r="AA11" s="62"/>
      <c r="AB11" s="62"/>
      <c r="AC11" s="62" t="s">
        <v>616</v>
      </c>
      <c r="AD11" s="62" t="s">
        <v>616</v>
      </c>
      <c r="AE11" s="62"/>
      <c r="AF11" s="62"/>
      <c r="AG11" s="62"/>
      <c r="AH11" s="62"/>
      <c r="AI11" s="62"/>
      <c r="AJ11" s="62"/>
      <c r="AK11" s="62"/>
      <c r="AL11" s="62"/>
      <c r="AM11" s="62"/>
      <c r="AN11" s="62"/>
      <c r="AO11" s="62"/>
      <c r="AP11" s="62"/>
      <c r="AQ11" s="62"/>
      <c r="AR11" s="62"/>
      <c r="AS11" s="62"/>
      <c r="AT11" s="62"/>
      <c r="AU11" s="62" t="s">
        <v>616</v>
      </c>
      <c r="AV11" s="62"/>
      <c r="AW11" s="62"/>
      <c r="AX11" s="62"/>
      <c r="AY11" s="62"/>
      <c r="AZ11" s="62"/>
      <c r="BA11" s="57"/>
      <c r="BB11" s="57"/>
      <c r="BC11" s="58"/>
      <c r="BD11" s="57"/>
    </row>
    <row r="12" spans="1:59" s="63" customFormat="1" ht="15" customHeight="1" x14ac:dyDescent="0.2">
      <c r="A12" s="49" t="str">
        <f>Classes!P14</f>
        <v>Vermietbare Fläche</v>
      </c>
      <c r="B12" s="44"/>
      <c r="C12" s="49" t="s">
        <v>987</v>
      </c>
      <c r="D12" s="60"/>
      <c r="E12" s="61"/>
      <c r="F12" s="62" t="s">
        <v>616</v>
      </c>
      <c r="G12" s="62" t="s">
        <v>616</v>
      </c>
      <c r="H12" s="62"/>
      <c r="I12" s="62"/>
      <c r="J12" s="62"/>
      <c r="K12" s="62"/>
      <c r="L12" s="62" t="s">
        <v>616</v>
      </c>
      <c r="M12" s="62"/>
      <c r="N12" s="62" t="s">
        <v>616</v>
      </c>
      <c r="O12" s="62" t="s">
        <v>616</v>
      </c>
      <c r="P12" s="62"/>
      <c r="Q12" s="62"/>
      <c r="R12" s="62"/>
      <c r="S12" s="62"/>
      <c r="T12" s="62"/>
      <c r="U12" s="62"/>
      <c r="V12" s="62"/>
      <c r="W12" s="62"/>
      <c r="X12" s="62" t="s">
        <v>616</v>
      </c>
      <c r="Y12" s="62"/>
      <c r="Z12" s="62"/>
      <c r="AA12" s="62"/>
      <c r="AB12" s="62" t="s">
        <v>616</v>
      </c>
      <c r="AC12" s="62"/>
      <c r="AD12" s="62"/>
      <c r="AE12" s="62"/>
      <c r="AF12" s="62" t="s">
        <v>616</v>
      </c>
      <c r="AG12" s="62" t="s">
        <v>616</v>
      </c>
      <c r="AH12" s="62"/>
      <c r="AI12" s="62"/>
      <c r="AJ12" s="62"/>
      <c r="AK12" s="62"/>
      <c r="AL12" s="62"/>
      <c r="AM12" s="62"/>
      <c r="AN12" s="62"/>
      <c r="AO12" s="62"/>
      <c r="AP12" s="62"/>
      <c r="AQ12" s="62"/>
      <c r="AR12" s="62"/>
      <c r="AS12" s="62" t="s">
        <v>616</v>
      </c>
      <c r="AT12" s="62"/>
      <c r="AU12" s="62" t="s">
        <v>616</v>
      </c>
      <c r="AV12" s="62"/>
      <c r="AW12" s="62"/>
      <c r="AX12" s="62"/>
      <c r="AY12" s="62"/>
      <c r="AZ12" s="62"/>
      <c r="BA12" s="57"/>
      <c r="BB12" s="57"/>
      <c r="BC12" s="58"/>
      <c r="BD12" s="57"/>
    </row>
    <row r="13" spans="1:59" ht="14.25" customHeight="1" x14ac:dyDescent="0.25">
      <c r="C13" s="64"/>
      <c r="E13" s="64"/>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57"/>
      <c r="BB13" s="57"/>
      <c r="BC13" s="58"/>
      <c r="BD13" s="57"/>
    </row>
    <row r="14" spans="1:59" ht="14.25" customHeight="1" x14ac:dyDescent="0.2">
      <c r="C14" s="64"/>
      <c r="E14" s="64"/>
      <c r="BA14" s="57"/>
      <c r="BB14" s="57"/>
      <c r="BC14" s="58"/>
      <c r="BD14" s="57"/>
    </row>
    <row r="15" spans="1:59" ht="14.25" customHeight="1" x14ac:dyDescent="0.2">
      <c r="C15" s="64"/>
      <c r="E15" s="64"/>
      <c r="BA15" s="57"/>
      <c r="BB15" s="57"/>
      <c r="BC15" s="58"/>
      <c r="BD15" s="57"/>
    </row>
    <row r="16" spans="1:59" ht="14.25" customHeight="1" x14ac:dyDescent="0.2">
      <c r="C16" s="64"/>
      <c r="E16" s="64"/>
      <c r="BA16" s="57"/>
      <c r="BB16" s="57"/>
      <c r="BC16" s="58"/>
      <c r="BD16" s="57"/>
    </row>
    <row r="17" spans="3:56" ht="14.25" customHeight="1" x14ac:dyDescent="0.2">
      <c r="C17" s="64"/>
      <c r="E17" s="64"/>
      <c r="BA17" s="57"/>
      <c r="BB17" s="57"/>
      <c r="BC17" s="58"/>
      <c r="BD17" s="57"/>
    </row>
    <row r="18" spans="3:56" ht="14.25" customHeight="1" x14ac:dyDescent="0.2">
      <c r="C18" s="64"/>
      <c r="E18" s="64"/>
      <c r="BA18" s="57"/>
      <c r="BB18" s="57"/>
      <c r="BC18" s="58"/>
      <c r="BD18" s="57"/>
    </row>
    <row r="19" spans="3:56" ht="14.25" customHeight="1" x14ac:dyDescent="0.2">
      <c r="C19" s="64"/>
      <c r="E19" s="64"/>
      <c r="BA19" s="57"/>
      <c r="BB19" s="57"/>
      <c r="BC19" s="58"/>
      <c r="BD19" s="57"/>
    </row>
    <row r="20" spans="3:56" ht="14.25" customHeight="1" x14ac:dyDescent="0.2">
      <c r="C20" s="64"/>
      <c r="E20" s="64"/>
      <c r="BA20" s="57"/>
      <c r="BB20" s="57"/>
      <c r="BC20" s="58"/>
      <c r="BD20" s="57"/>
    </row>
    <row r="21" spans="3:56" ht="14.25" customHeight="1" x14ac:dyDescent="0.2">
      <c r="C21" s="64"/>
      <c r="E21" s="64"/>
      <c r="BA21" s="57"/>
      <c r="BB21" s="57"/>
      <c r="BC21" s="58"/>
      <c r="BD21" s="57"/>
    </row>
    <row r="22" spans="3:56" ht="14.25" customHeight="1" x14ac:dyDescent="0.2">
      <c r="C22" s="64"/>
      <c r="E22" s="64"/>
      <c r="BA22" s="57"/>
      <c r="BB22" s="57"/>
      <c r="BC22" s="58"/>
      <c r="BD22" s="57"/>
    </row>
    <row r="23" spans="3:56" ht="14.25" customHeight="1" x14ac:dyDescent="0.2">
      <c r="C23" s="64"/>
      <c r="E23" s="64"/>
      <c r="BA23" s="57"/>
      <c r="BB23" s="57"/>
      <c r="BC23" s="58"/>
      <c r="BD23" s="57"/>
    </row>
    <row r="24" spans="3:56" ht="14.25" customHeight="1" x14ac:dyDescent="0.2">
      <c r="C24" s="64"/>
      <c r="E24" s="64"/>
      <c r="BA24" s="57"/>
      <c r="BB24" s="57"/>
      <c r="BC24" s="58"/>
      <c r="BD24" s="57"/>
    </row>
    <row r="25" spans="3:56" ht="14.25" customHeight="1" x14ac:dyDescent="0.2">
      <c r="C25" s="64"/>
      <c r="E25" s="64"/>
      <c r="BA25" s="57"/>
      <c r="BB25" s="57"/>
      <c r="BC25" s="58"/>
      <c r="BD25" s="57"/>
    </row>
    <row r="26" spans="3:56" ht="14.25" customHeight="1" x14ac:dyDescent="0.2">
      <c r="C26" s="64"/>
      <c r="E26" s="64"/>
      <c r="BA26" s="57"/>
      <c r="BB26" s="57"/>
      <c r="BC26" s="58"/>
      <c r="BD26" s="57"/>
    </row>
    <row r="27" spans="3:56" ht="14.25" customHeight="1" x14ac:dyDescent="0.2">
      <c r="C27" s="64"/>
      <c r="E27" s="64"/>
      <c r="BA27" s="57"/>
      <c r="BB27" s="57"/>
      <c r="BC27" s="58"/>
      <c r="BD27" s="57"/>
    </row>
    <row r="28" spans="3:56" ht="14.25" customHeight="1" x14ac:dyDescent="0.2">
      <c r="C28" s="64"/>
      <c r="E28" s="64"/>
      <c r="BA28" s="57"/>
      <c r="BB28" s="57"/>
      <c r="BC28" s="58"/>
      <c r="BD28" s="57"/>
    </row>
    <row r="29" spans="3:56" ht="14.25" customHeight="1" x14ac:dyDescent="0.2">
      <c r="C29" s="64"/>
      <c r="E29" s="64"/>
      <c r="BA29" s="57"/>
      <c r="BB29" s="57"/>
      <c r="BC29" s="58"/>
      <c r="BD29" s="57"/>
    </row>
    <row r="30" spans="3:56" ht="14.25" customHeight="1" x14ac:dyDescent="0.2">
      <c r="C30" s="64"/>
      <c r="E30" s="64"/>
      <c r="BA30" s="57"/>
      <c r="BB30" s="57"/>
      <c r="BC30" s="58"/>
      <c r="BD30" s="57"/>
    </row>
    <row r="31" spans="3:56" ht="14.25" customHeight="1" x14ac:dyDescent="0.2">
      <c r="C31" s="64"/>
      <c r="E31" s="64"/>
      <c r="BA31" s="57"/>
      <c r="BB31" s="57"/>
      <c r="BC31" s="58"/>
      <c r="BD31" s="57"/>
    </row>
    <row r="32" spans="3:56" ht="14.25" customHeight="1" x14ac:dyDescent="0.2">
      <c r="C32" s="64"/>
      <c r="E32" s="64"/>
      <c r="BA32" s="57"/>
      <c r="BB32" s="57"/>
      <c r="BC32" s="58"/>
      <c r="BD32" s="57"/>
    </row>
    <row r="33" spans="3:56" ht="14.25" customHeight="1" x14ac:dyDescent="0.2">
      <c r="C33" s="64"/>
      <c r="E33" s="64"/>
      <c r="BA33" s="57"/>
      <c r="BB33" s="57"/>
      <c r="BC33" s="58"/>
      <c r="BD33" s="57"/>
    </row>
    <row r="34" spans="3:56" ht="14.25" customHeight="1" x14ac:dyDescent="0.2">
      <c r="C34" s="64"/>
      <c r="E34" s="64"/>
      <c r="BA34" s="57"/>
      <c r="BB34" s="57"/>
      <c r="BC34" s="58"/>
      <c r="BD34" s="57"/>
    </row>
    <row r="35" spans="3:56" ht="14.25" customHeight="1" x14ac:dyDescent="0.2">
      <c r="C35" s="64"/>
      <c r="E35" s="64"/>
      <c r="BA35" s="57"/>
      <c r="BB35" s="57"/>
      <c r="BC35" s="58"/>
      <c r="BD35" s="57"/>
    </row>
    <row r="36" spans="3:56" ht="14.25" customHeight="1" x14ac:dyDescent="0.2">
      <c r="C36" s="64"/>
      <c r="E36" s="64"/>
      <c r="BA36" s="57"/>
      <c r="BB36" s="57"/>
      <c r="BC36" s="58"/>
      <c r="BD36" s="57"/>
    </row>
    <row r="37" spans="3:56" ht="14.25" customHeight="1" x14ac:dyDescent="0.2">
      <c r="C37" s="64"/>
      <c r="E37" s="64"/>
      <c r="BA37" s="57"/>
      <c r="BB37" s="57"/>
      <c r="BC37" s="58"/>
      <c r="BD37" s="57"/>
    </row>
    <row r="38" spans="3:56" ht="14.25" customHeight="1" x14ac:dyDescent="0.2">
      <c r="C38" s="64"/>
      <c r="E38" s="64"/>
      <c r="BA38" s="57"/>
      <c r="BB38" s="57"/>
      <c r="BC38" s="58"/>
      <c r="BD38" s="57"/>
    </row>
    <row r="39" spans="3:56" ht="14.25" customHeight="1" x14ac:dyDescent="0.2">
      <c r="C39" s="64"/>
      <c r="E39" s="64"/>
      <c r="BA39" s="57"/>
      <c r="BB39" s="57"/>
      <c r="BC39" s="58"/>
      <c r="BD39" s="57"/>
    </row>
    <row r="40" spans="3:56" ht="14.25" customHeight="1" x14ac:dyDescent="0.2">
      <c r="C40" s="64"/>
      <c r="E40" s="64"/>
      <c r="BA40" s="57"/>
      <c r="BB40" s="57"/>
      <c r="BC40" s="58"/>
      <c r="BD40" s="57"/>
    </row>
    <row r="41" spans="3:56" ht="14.25" customHeight="1" x14ac:dyDescent="0.2">
      <c r="C41" s="64"/>
      <c r="E41" s="64"/>
      <c r="BA41" s="57"/>
      <c r="BB41" s="57"/>
      <c r="BC41" s="58"/>
      <c r="BD41" s="57"/>
    </row>
    <row r="42" spans="3:56" ht="14.25" customHeight="1" x14ac:dyDescent="0.2">
      <c r="C42" s="64"/>
      <c r="E42" s="64"/>
      <c r="BA42" s="57"/>
      <c r="BB42" s="57"/>
      <c r="BC42" s="58"/>
      <c r="BD42" s="57"/>
    </row>
    <row r="43" spans="3:56" ht="14.25" customHeight="1" x14ac:dyDescent="0.2">
      <c r="C43" s="64"/>
      <c r="E43" s="64"/>
      <c r="BA43" s="57"/>
      <c r="BB43" s="57"/>
      <c r="BC43" s="58"/>
      <c r="BD43" s="57"/>
    </row>
    <row r="44" spans="3:56" ht="14.25" customHeight="1" x14ac:dyDescent="0.2">
      <c r="C44" s="64"/>
      <c r="E44" s="64"/>
      <c r="BA44" s="57"/>
      <c r="BB44" s="57"/>
      <c r="BC44" s="58"/>
      <c r="BD44" s="57"/>
    </row>
    <row r="45" spans="3:56" ht="14.25" customHeight="1" x14ac:dyDescent="0.2">
      <c r="C45" s="64"/>
      <c r="E45" s="64"/>
      <c r="BA45" s="57"/>
      <c r="BB45" s="57"/>
      <c r="BC45" s="58"/>
      <c r="BD45" s="57"/>
    </row>
    <row r="46" spans="3:56" ht="14.25" customHeight="1" x14ac:dyDescent="0.2">
      <c r="C46" s="64"/>
      <c r="E46" s="64"/>
      <c r="BA46" s="57"/>
      <c r="BB46" s="57"/>
      <c r="BC46" s="58"/>
      <c r="BD46" s="57"/>
    </row>
    <row r="47" spans="3:56" ht="14.25" customHeight="1" x14ac:dyDescent="0.2">
      <c r="C47" s="64"/>
      <c r="E47" s="64"/>
      <c r="BA47" s="57"/>
      <c r="BB47" s="57"/>
      <c r="BC47" s="58"/>
      <c r="BD47" s="57"/>
    </row>
    <row r="48" spans="3:56" ht="14.25" customHeight="1" x14ac:dyDescent="0.2">
      <c r="C48" s="64"/>
      <c r="E48" s="64"/>
      <c r="BA48" s="57"/>
      <c r="BB48" s="57"/>
      <c r="BC48" s="58"/>
      <c r="BD48" s="57"/>
    </row>
    <row r="49" spans="3:56" ht="14.25" customHeight="1" x14ac:dyDescent="0.2">
      <c r="C49" s="64"/>
      <c r="E49" s="64"/>
      <c r="BA49" s="57"/>
      <c r="BB49" s="57"/>
      <c r="BC49" s="58"/>
      <c r="BD49" s="57"/>
    </row>
    <row r="50" spans="3:56" ht="14.25" customHeight="1" x14ac:dyDescent="0.2">
      <c r="C50" s="64"/>
      <c r="E50" s="64"/>
      <c r="BA50" s="57"/>
      <c r="BB50" s="57"/>
      <c r="BC50" s="58"/>
      <c r="BD50" s="57"/>
    </row>
    <row r="51" spans="3:56" ht="14.25" customHeight="1" x14ac:dyDescent="0.2">
      <c r="C51" s="64"/>
      <c r="E51" s="64"/>
      <c r="BA51" s="57"/>
      <c r="BB51" s="57"/>
      <c r="BC51" s="58"/>
      <c r="BD51" s="57"/>
    </row>
    <row r="52" spans="3:56" ht="14.25" customHeight="1" x14ac:dyDescent="0.2">
      <c r="C52" s="64"/>
      <c r="E52" s="64"/>
      <c r="BA52" s="57"/>
      <c r="BB52" s="57"/>
      <c r="BC52" s="58"/>
      <c r="BD52" s="57"/>
    </row>
    <row r="53" spans="3:56" ht="14.25" customHeight="1" x14ac:dyDescent="0.2">
      <c r="C53" s="64"/>
      <c r="E53" s="64"/>
      <c r="BA53" s="57"/>
      <c r="BB53" s="57"/>
      <c r="BC53" s="58"/>
      <c r="BD53" s="57"/>
    </row>
    <row r="54" spans="3:56" ht="14.25" customHeight="1" x14ac:dyDescent="0.2">
      <c r="C54" s="64"/>
      <c r="E54" s="64"/>
      <c r="BA54" s="57"/>
      <c r="BB54" s="57"/>
      <c r="BC54" s="58"/>
      <c r="BD54" s="57"/>
    </row>
    <row r="55" spans="3:56" ht="14.25" customHeight="1" x14ac:dyDescent="0.2">
      <c r="C55" s="64"/>
      <c r="E55" s="64"/>
      <c r="BA55" s="57"/>
      <c r="BB55" s="57"/>
      <c r="BC55" s="58"/>
      <c r="BD55" s="57"/>
    </row>
    <row r="56" spans="3:56" ht="14.25" customHeight="1" x14ac:dyDescent="0.2">
      <c r="C56" s="64"/>
      <c r="E56" s="64"/>
      <c r="BA56" s="57"/>
      <c r="BB56" s="57"/>
      <c r="BC56" s="58"/>
      <c r="BD56" s="57"/>
    </row>
    <row r="57" spans="3:56" ht="14.25" customHeight="1" x14ac:dyDescent="0.2">
      <c r="C57" s="64"/>
      <c r="E57" s="64"/>
      <c r="BA57" s="57"/>
      <c r="BB57" s="57"/>
      <c r="BC57" s="58"/>
      <c r="BD57" s="57"/>
    </row>
    <row r="58" spans="3:56" ht="14.25" customHeight="1" x14ac:dyDescent="0.2">
      <c r="C58" s="64"/>
      <c r="E58" s="64"/>
      <c r="BA58" s="57"/>
      <c r="BB58" s="57"/>
      <c r="BC58" s="58"/>
      <c r="BD58" s="57"/>
    </row>
    <row r="59" spans="3:56" ht="14.25" customHeight="1" x14ac:dyDescent="0.2">
      <c r="C59" s="64"/>
      <c r="E59" s="64"/>
      <c r="BA59" s="57"/>
      <c r="BB59" s="57"/>
      <c r="BC59" s="58"/>
      <c r="BD59" s="57"/>
    </row>
    <row r="60" spans="3:56" ht="14.25" customHeight="1" x14ac:dyDescent="0.2">
      <c r="C60" s="64"/>
      <c r="E60" s="64"/>
      <c r="BA60" s="57"/>
      <c r="BB60" s="57"/>
      <c r="BC60" s="58"/>
      <c r="BD60" s="57"/>
    </row>
    <row r="61" spans="3:56" x14ac:dyDescent="0.2">
      <c r="BA61" s="57"/>
      <c r="BB61" s="57"/>
      <c r="BC61" s="58"/>
      <c r="BD61" s="57"/>
    </row>
    <row r="62" spans="3:56" ht="14.25" customHeight="1" x14ac:dyDescent="0.2">
      <c r="BA62" s="57"/>
      <c r="BB62" s="57"/>
      <c r="BC62" s="58"/>
      <c r="BD62" s="57"/>
    </row>
    <row r="63" spans="3:56" x14ac:dyDescent="0.2">
      <c r="BA63" s="57"/>
      <c r="BB63" s="57"/>
      <c r="BC63" s="58"/>
      <c r="BD63" s="57"/>
    </row>
    <row r="64" spans="3:56" x14ac:dyDescent="0.2">
      <c r="BA64" s="57"/>
      <c r="BB64" s="57"/>
      <c r="BC64" s="58"/>
      <c r="BD64" s="57"/>
    </row>
    <row r="65" spans="53:56" x14ac:dyDescent="0.2">
      <c r="BA65" s="57"/>
      <c r="BB65" s="57"/>
      <c r="BC65" s="58"/>
      <c r="BD65" s="57"/>
    </row>
    <row r="66" spans="53:56" x14ac:dyDescent="0.2">
      <c r="BA66" s="57"/>
      <c r="BB66" s="57"/>
      <c r="BC66" s="58"/>
      <c r="BD66" s="57"/>
    </row>
    <row r="67" spans="53:56" x14ac:dyDescent="0.2">
      <c r="BA67" s="57"/>
      <c r="BB67" s="57"/>
      <c r="BC67" s="58"/>
      <c r="BD67" s="57"/>
    </row>
    <row r="69" spans="53:56" ht="25.5" customHeight="1" x14ac:dyDescent="0.2"/>
    <row r="70" spans="53:56" ht="25.5" customHeight="1" x14ac:dyDescent="0.2"/>
    <row r="71" spans="53:56" ht="14.25" customHeight="1" x14ac:dyDescent="0.2"/>
  </sheetData>
  <dataValidations disablePrompts="1" count="1">
    <dataValidation type="list" allowBlank="1" sqref="BI21:BI1999 BG18:BG20 BE5:BE15 BF16:BF17" xr:uid="{00000000-0002-0000-0800-000000000000}">
      <formula1>Status</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74</v>
      </c>
      <c r="C1" s="4" t="s">
        <v>623</v>
      </c>
      <c r="D1" s="4" t="s">
        <v>624</v>
      </c>
      <c r="E1" s="4" t="s">
        <v>625</v>
      </c>
      <c r="F1" s="4" t="s">
        <v>624</v>
      </c>
      <c r="G1" s="4" t="s">
        <v>626</v>
      </c>
      <c r="H1" s="4" t="s">
        <v>624</v>
      </c>
      <c r="I1" s="5" t="s">
        <v>627</v>
      </c>
      <c r="J1" s="6"/>
      <c r="K1" s="7"/>
      <c r="L1" s="7" t="s">
        <v>628</v>
      </c>
      <c r="M1" s="8"/>
      <c r="N1" s="19" t="s">
        <v>629</v>
      </c>
      <c r="O1" s="26" t="s">
        <v>630</v>
      </c>
      <c r="P1" s="24" t="s">
        <v>630</v>
      </c>
      <c r="Q1" s="25" t="s">
        <v>630</v>
      </c>
      <c r="R1" s="9" t="s">
        <v>616</v>
      </c>
      <c r="S1" s="10"/>
      <c r="T1" s="10"/>
      <c r="U1" s="11" t="s">
        <v>616</v>
      </c>
      <c r="V1" s="12" t="s">
        <v>631</v>
      </c>
      <c r="W1" s="13"/>
      <c r="X1" s="14"/>
      <c r="Y1" s="29" t="s">
        <v>632</v>
      </c>
      <c r="Z1" s="27" t="s">
        <v>633</v>
      </c>
      <c r="AA1" s="13" t="s">
        <v>634</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616</v>
      </c>
      <c r="AW1" s="10"/>
      <c r="AX1" s="10"/>
      <c r="AY1" s="10"/>
      <c r="AZ1" s="10"/>
      <c r="BA1" s="10"/>
      <c r="BB1" s="10"/>
      <c r="BC1" s="10"/>
      <c r="BD1" s="10"/>
      <c r="BE1" s="11" t="str">
        <f t="shared" ref="BE1:BE11" si="0">IF(COUNTIF(AJ1:BD1,"x")&gt;0,"x","")</f>
        <v>x</v>
      </c>
    </row>
    <row r="2" spans="1:57" s="1" customFormat="1" ht="13.35" customHeight="1" x14ac:dyDescent="0.25">
      <c r="A2" s="2"/>
      <c r="B2" s="3" t="s">
        <v>74</v>
      </c>
      <c r="C2" s="4" t="s">
        <v>623</v>
      </c>
      <c r="D2" s="4" t="s">
        <v>624</v>
      </c>
      <c r="E2" s="4" t="s">
        <v>625</v>
      </c>
      <c r="F2" s="4" t="s">
        <v>624</v>
      </c>
      <c r="G2" s="4" t="s">
        <v>626</v>
      </c>
      <c r="H2" s="4" t="s">
        <v>624</v>
      </c>
      <c r="I2" s="5" t="s">
        <v>627</v>
      </c>
      <c r="J2" s="6"/>
      <c r="K2" s="7"/>
      <c r="L2" s="7" t="s">
        <v>635</v>
      </c>
      <c r="M2" s="8"/>
      <c r="N2" s="19" t="s">
        <v>629</v>
      </c>
      <c r="O2" s="26" t="s">
        <v>630</v>
      </c>
      <c r="P2" s="24" t="s">
        <v>630</v>
      </c>
      <c r="Q2" s="25" t="s">
        <v>630</v>
      </c>
      <c r="R2" s="9" t="s">
        <v>616</v>
      </c>
      <c r="S2" s="10"/>
      <c r="T2" s="10"/>
      <c r="U2" s="11" t="s">
        <v>616</v>
      </c>
      <c r="V2" s="12" t="s">
        <v>631</v>
      </c>
      <c r="W2" s="13"/>
      <c r="X2" s="14"/>
      <c r="Y2" s="29" t="s">
        <v>636</v>
      </c>
      <c r="Z2" s="27" t="s">
        <v>637</v>
      </c>
      <c r="AA2" s="13" t="s">
        <v>638</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616</v>
      </c>
      <c r="AW2" s="10"/>
      <c r="AX2" s="10"/>
      <c r="AY2" s="10"/>
      <c r="AZ2" s="10"/>
      <c r="BA2" s="10"/>
      <c r="BB2" s="10"/>
      <c r="BC2" s="10"/>
      <c r="BD2" s="10"/>
      <c r="BE2" s="11" t="str">
        <f t="shared" si="0"/>
        <v>x</v>
      </c>
    </row>
    <row r="3" spans="1:57" s="1" customFormat="1" ht="13.35" customHeight="1" x14ac:dyDescent="0.25">
      <c r="A3" s="2"/>
      <c r="B3" s="3" t="s">
        <v>74</v>
      </c>
      <c r="C3" s="4" t="s">
        <v>623</v>
      </c>
      <c r="D3" s="4" t="s">
        <v>624</v>
      </c>
      <c r="E3" s="4" t="s">
        <v>625</v>
      </c>
      <c r="F3" s="4" t="s">
        <v>624</v>
      </c>
      <c r="G3" s="4" t="s">
        <v>626</v>
      </c>
      <c r="H3" s="4" t="s">
        <v>624</v>
      </c>
      <c r="I3" s="5" t="s">
        <v>627</v>
      </c>
      <c r="J3" s="6"/>
      <c r="K3" s="7"/>
      <c r="L3" s="7" t="s">
        <v>639</v>
      </c>
      <c r="M3" s="8"/>
      <c r="N3" s="19" t="s">
        <v>629</v>
      </c>
      <c r="O3" s="26" t="s">
        <v>630</v>
      </c>
      <c r="P3" s="24" t="s">
        <v>630</v>
      </c>
      <c r="Q3" s="25" t="s">
        <v>630</v>
      </c>
      <c r="R3" s="9" t="s">
        <v>616</v>
      </c>
      <c r="S3" s="10"/>
      <c r="T3" s="10"/>
      <c r="U3" s="11" t="s">
        <v>616</v>
      </c>
      <c r="V3" s="12" t="s">
        <v>640</v>
      </c>
      <c r="W3" s="13"/>
      <c r="X3" s="14"/>
      <c r="Y3" s="29"/>
      <c r="Z3" s="27" t="s">
        <v>641</v>
      </c>
      <c r="AA3" s="13" t="s">
        <v>642</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616</v>
      </c>
      <c r="AW3" s="10"/>
      <c r="AX3" s="10"/>
      <c r="AY3" s="10"/>
      <c r="AZ3" s="10"/>
      <c r="BA3" s="10"/>
      <c r="BB3" s="10"/>
      <c r="BC3" s="10"/>
      <c r="BD3" s="10"/>
      <c r="BE3" s="11" t="str">
        <f t="shared" si="0"/>
        <v>x</v>
      </c>
    </row>
    <row r="4" spans="1:57" s="1" customFormat="1" ht="13.35" customHeight="1" x14ac:dyDescent="0.25">
      <c r="A4" s="2"/>
      <c r="B4" s="3" t="s">
        <v>74</v>
      </c>
      <c r="C4" s="4" t="s">
        <v>623</v>
      </c>
      <c r="D4" s="4" t="s">
        <v>624</v>
      </c>
      <c r="E4" s="4" t="s">
        <v>625</v>
      </c>
      <c r="F4" s="4" t="s">
        <v>624</v>
      </c>
      <c r="G4" s="4" t="s">
        <v>626</v>
      </c>
      <c r="H4" s="4" t="s">
        <v>624</v>
      </c>
      <c r="I4" s="5" t="s">
        <v>627</v>
      </c>
      <c r="J4" s="6"/>
      <c r="K4" s="7"/>
      <c r="L4" s="7" t="s">
        <v>643</v>
      </c>
      <c r="M4" s="8"/>
      <c r="N4" s="19" t="s">
        <v>629</v>
      </c>
      <c r="O4" s="26" t="s">
        <v>630</v>
      </c>
      <c r="P4" s="24" t="s">
        <v>630</v>
      </c>
      <c r="Q4" s="25" t="s">
        <v>630</v>
      </c>
      <c r="R4" s="9" t="s">
        <v>616</v>
      </c>
      <c r="S4" s="10"/>
      <c r="T4" s="10"/>
      <c r="U4" s="11" t="s">
        <v>616</v>
      </c>
      <c r="V4" s="12" t="s">
        <v>640</v>
      </c>
      <c r="W4" s="13"/>
      <c r="X4" s="14"/>
      <c r="Y4" s="29"/>
      <c r="Z4" s="27" t="s">
        <v>644</v>
      </c>
      <c r="AA4" s="13" t="s">
        <v>645</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616</v>
      </c>
      <c r="AW4" s="10"/>
      <c r="AX4" s="10"/>
      <c r="AY4" s="10"/>
      <c r="AZ4" s="10"/>
      <c r="BA4" s="10"/>
      <c r="BB4" s="10"/>
      <c r="BC4" s="10"/>
      <c r="BD4" s="10"/>
      <c r="BE4" s="11" t="str">
        <f t="shared" si="0"/>
        <v>x</v>
      </c>
    </row>
    <row r="5" spans="1:57" s="1" customFormat="1" ht="13.35" customHeight="1" x14ac:dyDescent="0.25">
      <c r="A5" s="2"/>
      <c r="B5" s="3" t="s">
        <v>74</v>
      </c>
      <c r="C5" s="4" t="s">
        <v>623</v>
      </c>
      <c r="D5" s="4" t="s">
        <v>624</v>
      </c>
      <c r="E5" s="4" t="s">
        <v>625</v>
      </c>
      <c r="F5" s="4" t="s">
        <v>624</v>
      </c>
      <c r="G5" s="4" t="s">
        <v>626</v>
      </c>
      <c r="H5" s="4" t="s">
        <v>624</v>
      </c>
      <c r="I5" s="5" t="s">
        <v>627</v>
      </c>
      <c r="J5" s="6"/>
      <c r="K5" s="7"/>
      <c r="L5" s="7" t="s">
        <v>646</v>
      </c>
      <c r="M5" s="8"/>
      <c r="N5" s="19" t="s">
        <v>629</v>
      </c>
      <c r="O5" s="26" t="s">
        <v>630</v>
      </c>
      <c r="P5" s="24" t="s">
        <v>630</v>
      </c>
      <c r="Q5" s="25" t="s">
        <v>630</v>
      </c>
      <c r="R5" s="9" t="s">
        <v>616</v>
      </c>
      <c r="S5" s="10"/>
      <c r="T5" s="10"/>
      <c r="U5" s="11" t="s">
        <v>616</v>
      </c>
      <c r="V5" s="12" t="s">
        <v>631</v>
      </c>
      <c r="W5" s="13"/>
      <c r="X5" s="14"/>
      <c r="Y5" s="29" t="s">
        <v>647</v>
      </c>
      <c r="Z5" s="27" t="s">
        <v>648</v>
      </c>
      <c r="AA5" s="13" t="s">
        <v>649</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616</v>
      </c>
      <c r="AW5" s="10"/>
      <c r="AX5" s="10"/>
      <c r="AY5" s="10"/>
      <c r="AZ5" s="10"/>
      <c r="BA5" s="10"/>
      <c r="BB5" s="10"/>
      <c r="BC5" s="10"/>
      <c r="BD5" s="10"/>
      <c r="BE5" s="11" t="str">
        <f t="shared" si="0"/>
        <v>x</v>
      </c>
    </row>
    <row r="6" spans="1:57" s="1" customFormat="1" ht="13.35" customHeight="1" x14ac:dyDescent="0.25">
      <c r="A6" s="2"/>
      <c r="B6" s="3" t="s">
        <v>74</v>
      </c>
      <c r="C6" s="4" t="s">
        <v>623</v>
      </c>
      <c r="D6" s="4" t="s">
        <v>624</v>
      </c>
      <c r="E6" s="4" t="s">
        <v>625</v>
      </c>
      <c r="F6" s="4" t="s">
        <v>624</v>
      </c>
      <c r="G6" s="4" t="s">
        <v>626</v>
      </c>
      <c r="H6" s="4" t="s">
        <v>624</v>
      </c>
      <c r="I6" s="5" t="s">
        <v>627</v>
      </c>
      <c r="J6" s="6"/>
      <c r="K6" s="7"/>
      <c r="L6" s="7" t="s">
        <v>650</v>
      </c>
      <c r="M6" s="8"/>
      <c r="N6" s="19" t="s">
        <v>629</v>
      </c>
      <c r="O6" s="26" t="s">
        <v>630</v>
      </c>
      <c r="P6" s="24" t="s">
        <v>630</v>
      </c>
      <c r="Q6" s="25" t="s">
        <v>630</v>
      </c>
      <c r="R6" s="9" t="s">
        <v>616</v>
      </c>
      <c r="S6" s="10"/>
      <c r="T6" s="10"/>
      <c r="U6" s="11" t="s">
        <v>616</v>
      </c>
      <c r="V6" s="12" t="s">
        <v>640</v>
      </c>
      <c r="W6" s="13"/>
      <c r="X6" s="14"/>
      <c r="Y6" s="29"/>
      <c r="Z6" s="27" t="s">
        <v>641</v>
      </c>
      <c r="AA6" s="13" t="s">
        <v>642</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616</v>
      </c>
      <c r="AW6" s="10"/>
      <c r="AX6" s="10"/>
      <c r="AY6" s="10"/>
      <c r="AZ6" s="10"/>
      <c r="BA6" s="10"/>
      <c r="BB6" s="10"/>
      <c r="BC6" s="10"/>
      <c r="BD6" s="10"/>
      <c r="BE6" s="11" t="str">
        <f t="shared" si="0"/>
        <v>x</v>
      </c>
    </row>
    <row r="7" spans="1:57" s="1" customFormat="1" ht="13.35" customHeight="1" x14ac:dyDescent="0.25">
      <c r="A7" s="2"/>
      <c r="B7" s="3" t="s">
        <v>74</v>
      </c>
      <c r="C7" s="4" t="s">
        <v>623</v>
      </c>
      <c r="D7" s="4" t="s">
        <v>624</v>
      </c>
      <c r="E7" s="4" t="s">
        <v>625</v>
      </c>
      <c r="F7" s="4" t="s">
        <v>624</v>
      </c>
      <c r="G7" s="4" t="s">
        <v>626</v>
      </c>
      <c r="H7" s="4" t="s">
        <v>624</v>
      </c>
      <c r="I7" s="5" t="s">
        <v>627</v>
      </c>
      <c r="J7" s="6"/>
      <c r="K7" s="7"/>
      <c r="L7" s="7" t="s">
        <v>651</v>
      </c>
      <c r="M7" s="8"/>
      <c r="N7" s="19" t="s">
        <v>629</v>
      </c>
      <c r="O7" s="26" t="s">
        <v>630</v>
      </c>
      <c r="P7" s="24" t="s">
        <v>630</v>
      </c>
      <c r="Q7" s="25" t="s">
        <v>630</v>
      </c>
      <c r="R7" s="9" t="s">
        <v>616</v>
      </c>
      <c r="S7" s="10"/>
      <c r="T7" s="10"/>
      <c r="U7" s="11" t="s">
        <v>616</v>
      </c>
      <c r="V7" s="12" t="s">
        <v>631</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616</v>
      </c>
      <c r="AW7" s="10"/>
      <c r="AX7" s="10"/>
      <c r="AY7" s="10"/>
      <c r="AZ7" s="10"/>
      <c r="BA7" s="10"/>
      <c r="BB7" s="10"/>
      <c r="BC7" s="10"/>
      <c r="BD7" s="10"/>
      <c r="BE7" s="11" t="str">
        <f t="shared" si="0"/>
        <v>x</v>
      </c>
    </row>
    <row r="8" spans="1:57" s="1" customFormat="1" ht="13.35" customHeight="1" x14ac:dyDescent="0.25">
      <c r="A8" s="2"/>
      <c r="B8" s="3" t="s">
        <v>74</v>
      </c>
      <c r="C8" s="4" t="s">
        <v>623</v>
      </c>
      <c r="D8" s="4" t="s">
        <v>624</v>
      </c>
      <c r="E8" s="4" t="s">
        <v>625</v>
      </c>
      <c r="F8" s="4" t="s">
        <v>624</v>
      </c>
      <c r="G8" s="4" t="s">
        <v>626</v>
      </c>
      <c r="H8" s="4" t="s">
        <v>624</v>
      </c>
      <c r="I8" s="5" t="s">
        <v>627</v>
      </c>
      <c r="J8" s="6"/>
      <c r="K8" s="7"/>
      <c r="L8" s="23" t="s">
        <v>652</v>
      </c>
      <c r="M8" s="8"/>
      <c r="N8" s="19" t="s">
        <v>629</v>
      </c>
      <c r="O8" s="26" t="s">
        <v>630</v>
      </c>
      <c r="P8" s="24" t="s">
        <v>630</v>
      </c>
      <c r="Q8" s="25" t="s">
        <v>630</v>
      </c>
      <c r="R8" s="9" t="s">
        <v>616</v>
      </c>
      <c r="S8" s="10"/>
      <c r="T8" s="10"/>
      <c r="U8" s="11" t="s">
        <v>616</v>
      </c>
      <c r="V8" s="12" t="s">
        <v>631</v>
      </c>
      <c r="W8" s="13"/>
      <c r="X8" s="14"/>
      <c r="Y8" s="29" t="s">
        <v>632</v>
      </c>
      <c r="Z8" s="27" t="s">
        <v>653</v>
      </c>
      <c r="AA8" s="13" t="s">
        <v>654</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616</v>
      </c>
      <c r="AW8" s="10"/>
      <c r="AX8" s="10"/>
      <c r="AY8" s="10"/>
      <c r="AZ8" s="10"/>
      <c r="BA8" s="10"/>
      <c r="BB8" s="10"/>
      <c r="BC8" s="10"/>
      <c r="BD8" s="10"/>
      <c r="BE8" s="11" t="str">
        <f t="shared" si="0"/>
        <v>x</v>
      </c>
    </row>
    <row r="9" spans="1:57" s="1" customFormat="1" ht="13.35" customHeight="1" x14ac:dyDescent="0.25">
      <c r="A9" s="2"/>
      <c r="B9" s="3" t="s">
        <v>74</v>
      </c>
      <c r="C9" s="4" t="s">
        <v>623</v>
      </c>
      <c r="D9" s="4" t="s">
        <v>624</v>
      </c>
      <c r="E9" s="4" t="s">
        <v>625</v>
      </c>
      <c r="F9" s="4" t="s">
        <v>624</v>
      </c>
      <c r="G9" s="4" t="s">
        <v>626</v>
      </c>
      <c r="H9" s="4" t="s">
        <v>624</v>
      </c>
      <c r="I9" s="5" t="s">
        <v>627</v>
      </c>
      <c r="J9" s="6"/>
      <c r="K9" s="7"/>
      <c r="L9" s="23" t="s">
        <v>655</v>
      </c>
      <c r="M9" s="8"/>
      <c r="N9" s="19" t="s">
        <v>629</v>
      </c>
      <c r="O9" s="26" t="s">
        <v>630</v>
      </c>
      <c r="P9" s="24" t="s">
        <v>630</v>
      </c>
      <c r="Q9" s="25" t="s">
        <v>630</v>
      </c>
      <c r="R9" s="9" t="s">
        <v>616</v>
      </c>
      <c r="S9" s="10"/>
      <c r="T9" s="10"/>
      <c r="U9" s="11" t="s">
        <v>616</v>
      </c>
      <c r="V9" s="12" t="s">
        <v>640</v>
      </c>
      <c r="W9" s="13"/>
      <c r="X9" s="14"/>
      <c r="Y9" s="29"/>
      <c r="Z9" s="27" t="s">
        <v>644</v>
      </c>
      <c r="AA9" s="13" t="s">
        <v>656</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616</v>
      </c>
      <c r="AW9" s="10"/>
      <c r="AX9" s="10"/>
      <c r="AY9" s="10"/>
      <c r="AZ9" s="10"/>
      <c r="BA9" s="10"/>
      <c r="BB9" s="10"/>
      <c r="BC9" s="10"/>
      <c r="BD9" s="10"/>
      <c r="BE9" s="11" t="str">
        <f t="shared" si="0"/>
        <v>x</v>
      </c>
    </row>
    <row r="10" spans="1:57" s="1" customFormat="1" ht="13.35" customHeight="1" x14ac:dyDescent="0.25">
      <c r="A10" s="2"/>
      <c r="B10" s="3" t="s">
        <v>74</v>
      </c>
      <c r="C10" s="4" t="s">
        <v>623</v>
      </c>
      <c r="D10" s="4" t="s">
        <v>624</v>
      </c>
      <c r="E10" s="4" t="s">
        <v>657</v>
      </c>
      <c r="F10" s="4" t="s">
        <v>624</v>
      </c>
      <c r="G10" s="4" t="s">
        <v>658</v>
      </c>
      <c r="H10" s="4" t="s">
        <v>624</v>
      </c>
      <c r="I10" s="5" t="s">
        <v>627</v>
      </c>
      <c r="J10" s="6"/>
      <c r="K10" s="7"/>
      <c r="L10" s="7" t="s">
        <v>659</v>
      </c>
      <c r="M10" s="8"/>
      <c r="N10" s="19" t="s">
        <v>660</v>
      </c>
      <c r="O10" s="26" t="s">
        <v>630</v>
      </c>
      <c r="P10" s="24" t="s">
        <v>630</v>
      </c>
      <c r="Q10" s="25" t="s">
        <v>630</v>
      </c>
      <c r="R10" s="9" t="s">
        <v>616</v>
      </c>
      <c r="S10" s="10"/>
      <c r="T10" s="10"/>
      <c r="U10" s="11" t="s">
        <v>616</v>
      </c>
      <c r="V10" s="12" t="s">
        <v>661</v>
      </c>
      <c r="W10" s="13"/>
      <c r="X10" s="14"/>
      <c r="Y10" s="29" t="s">
        <v>632</v>
      </c>
      <c r="Z10" s="27" t="s">
        <v>662</v>
      </c>
      <c r="AA10" s="13" t="s">
        <v>630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616</v>
      </c>
      <c r="AW10" s="10"/>
      <c r="AX10" s="10"/>
      <c r="AY10" s="10"/>
      <c r="AZ10" s="10"/>
      <c r="BA10" s="10"/>
      <c r="BB10" s="10"/>
      <c r="BC10" s="10"/>
      <c r="BD10" s="10"/>
      <c r="BE10" s="11" t="str">
        <f t="shared" si="0"/>
        <v>x</v>
      </c>
    </row>
    <row r="11" spans="1:57" s="1" customFormat="1" ht="13.35" customHeight="1" x14ac:dyDescent="0.25">
      <c r="A11" s="2"/>
      <c r="B11" s="3" t="s">
        <v>74</v>
      </c>
      <c r="C11" s="4" t="s">
        <v>623</v>
      </c>
      <c r="D11" s="4" t="s">
        <v>624</v>
      </c>
      <c r="E11" s="4" t="s">
        <v>657</v>
      </c>
      <c r="F11" s="4" t="s">
        <v>624</v>
      </c>
      <c r="G11" s="4" t="s">
        <v>658</v>
      </c>
      <c r="H11" s="4" t="s">
        <v>624</v>
      </c>
      <c r="I11" s="5" t="s">
        <v>627</v>
      </c>
      <c r="J11" s="6"/>
      <c r="K11" s="7"/>
      <c r="L11" s="7" t="s">
        <v>663</v>
      </c>
      <c r="M11" s="8"/>
      <c r="N11" s="19" t="s">
        <v>629</v>
      </c>
      <c r="O11" s="26" t="s">
        <v>630</v>
      </c>
      <c r="P11" s="24" t="s">
        <v>630</v>
      </c>
      <c r="Q11" s="25" t="s">
        <v>630</v>
      </c>
      <c r="R11" s="21" t="s">
        <v>616</v>
      </c>
      <c r="S11" s="22"/>
      <c r="T11" s="10"/>
      <c r="U11" s="11" t="s">
        <v>616</v>
      </c>
      <c r="V11" s="12" t="s">
        <v>661</v>
      </c>
      <c r="W11" s="13"/>
      <c r="X11" s="14"/>
      <c r="Y11" s="29" t="s">
        <v>664</v>
      </c>
      <c r="Z11" s="27" t="s">
        <v>665</v>
      </c>
      <c r="AA11" s="13" t="s">
        <v>630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616</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 &amp;K000000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C32" sqref="C32"/>
    </sheetView>
  </sheetViews>
  <sheetFormatPr baseColWidth="10" defaultColWidth="9.140625" defaultRowHeight="15" x14ac:dyDescent="0.25"/>
  <cols>
    <col min="1" max="1" width="25.42578125" style="115" bestFit="1" customWidth="1"/>
    <col min="2" max="2" width="30.7109375" style="115" bestFit="1" customWidth="1"/>
    <col min="3" max="3" width="30" style="115" bestFit="1" customWidth="1"/>
    <col min="4" max="4" width="26.140625" style="115" bestFit="1" customWidth="1"/>
    <col min="5" max="5" width="35.7109375" style="115" bestFit="1" customWidth="1"/>
    <col min="6" max="6" width="41.140625" style="246" bestFit="1" customWidth="1"/>
    <col min="7" max="7" width="50.42578125" style="115" bestFit="1" customWidth="1"/>
    <col min="8" max="8" width="46" style="115" bestFit="1" customWidth="1"/>
    <col min="9" max="9" width="12.28515625" style="115" bestFit="1" customWidth="1"/>
    <col min="10" max="10" width="23.85546875" style="115" bestFit="1" customWidth="1"/>
    <col min="11" max="11" width="10.85546875" style="115" bestFit="1" customWidth="1"/>
    <col min="12" max="12" width="33.42578125" style="115" bestFit="1" customWidth="1"/>
    <col min="13" max="13" width="28.7109375" style="115" bestFit="1" customWidth="1"/>
    <col min="14" max="14" width="14.7109375" style="115" bestFit="1" customWidth="1"/>
    <col min="15" max="17" width="35.7109375" style="115" customWidth="1"/>
    <col min="18" max="16384" width="9.140625" style="115"/>
  </cols>
  <sheetData>
    <row r="1" spans="1:14" x14ac:dyDescent="0.25">
      <c r="A1" s="236" t="s">
        <v>238</v>
      </c>
      <c r="B1" s="236" t="s">
        <v>666</v>
      </c>
      <c r="C1" s="236" t="s">
        <v>667</v>
      </c>
      <c r="D1" s="236" t="s">
        <v>668</v>
      </c>
      <c r="E1" s="237" t="s">
        <v>323</v>
      </c>
      <c r="F1" s="237" t="s">
        <v>669</v>
      </c>
      <c r="G1" s="237" t="s">
        <v>670</v>
      </c>
      <c r="H1" s="237" t="s">
        <v>671</v>
      </c>
      <c r="I1" s="238" t="s">
        <v>672</v>
      </c>
      <c r="J1" s="237" t="s">
        <v>673</v>
      </c>
      <c r="K1" s="238" t="s">
        <v>44</v>
      </c>
      <c r="L1" s="237" t="s">
        <v>674</v>
      </c>
      <c r="M1" s="238" t="s">
        <v>675</v>
      </c>
      <c r="N1" s="237" t="s">
        <v>34</v>
      </c>
    </row>
    <row r="2" spans="1:14" s="240" customFormat="1" x14ac:dyDescent="0.25">
      <c r="A2" s="239" t="s">
        <v>676</v>
      </c>
      <c r="B2" s="239" t="s">
        <v>677</v>
      </c>
      <c r="C2" s="239" t="s">
        <v>678</v>
      </c>
      <c r="D2" s="239" t="s">
        <v>679</v>
      </c>
      <c r="E2" s="239" t="s">
        <v>680</v>
      </c>
      <c r="F2" s="239" t="s">
        <v>681</v>
      </c>
      <c r="G2" s="239" t="s">
        <v>682</v>
      </c>
      <c r="H2" s="239" t="s">
        <v>683</v>
      </c>
      <c r="I2" s="239" t="s">
        <v>410</v>
      </c>
      <c r="J2" s="239" t="s">
        <v>681</v>
      </c>
      <c r="K2" s="239" t="s">
        <v>684</v>
      </c>
      <c r="L2" s="239" t="s">
        <v>608</v>
      </c>
      <c r="M2" s="239" t="s">
        <v>685</v>
      </c>
      <c r="N2" s="239" t="s">
        <v>684</v>
      </c>
    </row>
    <row r="3" spans="1:14" s="240" customFormat="1" x14ac:dyDescent="0.25">
      <c r="A3" s="241" t="s">
        <v>686</v>
      </c>
      <c r="B3" s="241" t="s">
        <v>687</v>
      </c>
      <c r="C3" s="241" t="s">
        <v>688</v>
      </c>
      <c r="D3" s="241" t="s">
        <v>689</v>
      </c>
      <c r="E3" s="241" t="s">
        <v>690</v>
      </c>
      <c r="F3" s="241" t="s">
        <v>691</v>
      </c>
      <c r="G3" s="241" t="s">
        <v>692</v>
      </c>
      <c r="H3" s="241" t="s">
        <v>693</v>
      </c>
      <c r="I3" s="241" t="s">
        <v>694</v>
      </c>
      <c r="J3" s="241" t="s">
        <v>411</v>
      </c>
      <c r="K3" s="241" t="s">
        <v>695</v>
      </c>
      <c r="L3" s="241" t="s">
        <v>696</v>
      </c>
      <c r="M3" s="241" t="s">
        <v>609</v>
      </c>
      <c r="N3" s="241" t="s">
        <v>695</v>
      </c>
    </row>
    <row r="4" spans="1:14" s="240" customFormat="1" x14ac:dyDescent="0.25">
      <c r="A4" s="241" t="s">
        <v>273</v>
      </c>
      <c r="B4" s="241" t="s">
        <v>697</v>
      </c>
      <c r="C4" s="241" t="s">
        <v>698</v>
      </c>
      <c r="D4" s="241" t="s">
        <v>699</v>
      </c>
      <c r="E4" s="241" t="s">
        <v>700</v>
      </c>
      <c r="F4" s="241" t="s">
        <v>701</v>
      </c>
      <c r="G4" s="241" t="s">
        <v>702</v>
      </c>
      <c r="H4" s="241" t="s">
        <v>703</v>
      </c>
      <c r="I4" s="241" t="s">
        <v>459</v>
      </c>
      <c r="J4" s="241" t="s">
        <v>704</v>
      </c>
      <c r="K4" s="241" t="s">
        <v>705</v>
      </c>
      <c r="L4" s="241" t="s">
        <v>706</v>
      </c>
      <c r="M4" s="241" t="s">
        <v>707</v>
      </c>
      <c r="N4" s="241" t="s">
        <v>705</v>
      </c>
    </row>
    <row r="5" spans="1:14" s="240" customFormat="1" x14ac:dyDescent="0.25">
      <c r="A5" s="241" t="s">
        <v>708</v>
      </c>
      <c r="B5" s="241" t="s">
        <v>709</v>
      </c>
      <c r="C5" s="241" t="s">
        <v>710</v>
      </c>
      <c r="D5" s="241" t="s">
        <v>711</v>
      </c>
      <c r="E5" s="241" t="s">
        <v>712</v>
      </c>
      <c r="F5" s="241" t="s">
        <v>713</v>
      </c>
      <c r="G5" s="241" t="s">
        <v>714</v>
      </c>
      <c r="H5" s="241" t="s">
        <v>715</v>
      </c>
      <c r="I5" s="241" t="s">
        <v>401</v>
      </c>
      <c r="J5" s="241" t="s">
        <v>716</v>
      </c>
      <c r="K5" s="241" t="s">
        <v>717</v>
      </c>
      <c r="L5" s="241" t="s">
        <v>718</v>
      </c>
      <c r="M5" s="241" t="s">
        <v>719</v>
      </c>
      <c r="N5" s="241" t="s">
        <v>717</v>
      </c>
    </row>
    <row r="6" spans="1:14" s="240" customFormat="1" x14ac:dyDescent="0.25">
      <c r="A6" s="241" t="s">
        <v>720</v>
      </c>
      <c r="B6" s="241" t="s">
        <v>721</v>
      </c>
      <c r="C6" s="241" t="s">
        <v>722</v>
      </c>
      <c r="D6" s="241" t="s">
        <v>723</v>
      </c>
      <c r="E6" s="241" t="s">
        <v>724</v>
      </c>
      <c r="F6" s="241" t="s">
        <v>725</v>
      </c>
      <c r="G6" s="241" t="s">
        <v>726</v>
      </c>
      <c r="H6" s="241" t="s">
        <v>727</v>
      </c>
      <c r="I6" s="241" t="s">
        <v>346</v>
      </c>
      <c r="J6" s="241" t="s">
        <v>728</v>
      </c>
      <c r="K6" s="241" t="s">
        <v>729</v>
      </c>
      <c r="L6" s="242"/>
      <c r="M6" s="242"/>
      <c r="N6" s="241" t="s">
        <v>729</v>
      </c>
    </row>
    <row r="7" spans="1:14" s="240" customFormat="1" x14ac:dyDescent="0.25">
      <c r="A7" s="241" t="s">
        <v>730</v>
      </c>
      <c r="B7" s="241" t="s">
        <v>731</v>
      </c>
      <c r="C7" s="241" t="s">
        <v>732</v>
      </c>
      <c r="D7" s="241" t="s">
        <v>733</v>
      </c>
      <c r="E7" s="241" t="s">
        <v>734</v>
      </c>
      <c r="F7" s="241" t="s">
        <v>735</v>
      </c>
      <c r="G7" s="241" t="s">
        <v>736</v>
      </c>
      <c r="H7" s="241" t="s">
        <v>737</v>
      </c>
      <c r="I7" s="241" t="s">
        <v>738</v>
      </c>
      <c r="J7" s="241" t="s">
        <v>739</v>
      </c>
      <c r="K7" s="241" t="s">
        <v>35</v>
      </c>
      <c r="L7" s="242"/>
      <c r="M7" s="242"/>
      <c r="N7" s="241" t="s">
        <v>35</v>
      </c>
    </row>
    <row r="8" spans="1:14" s="240" customFormat="1" x14ac:dyDescent="0.25">
      <c r="A8" s="241" t="s">
        <v>740</v>
      </c>
      <c r="B8" s="241" t="s">
        <v>741</v>
      </c>
      <c r="C8" s="241" t="s">
        <v>742</v>
      </c>
      <c r="D8" s="241" t="s">
        <v>743</v>
      </c>
      <c r="E8" s="241" t="s">
        <v>744</v>
      </c>
      <c r="F8" s="241" t="s">
        <v>745</v>
      </c>
      <c r="G8" s="241" t="s">
        <v>746</v>
      </c>
      <c r="H8" s="241" t="s">
        <v>747</v>
      </c>
      <c r="I8" s="241" t="s">
        <v>748</v>
      </c>
      <c r="J8" s="241" t="s">
        <v>749</v>
      </c>
      <c r="K8" s="241" t="s">
        <v>750</v>
      </c>
      <c r="L8" s="242"/>
      <c r="M8" s="242"/>
      <c r="N8" s="241" t="s">
        <v>750</v>
      </c>
    </row>
    <row r="9" spans="1:14" s="240" customFormat="1" x14ac:dyDescent="0.25">
      <c r="A9" s="241" t="s">
        <v>751</v>
      </c>
      <c r="B9" s="241" t="s">
        <v>752</v>
      </c>
      <c r="C9" s="241" t="s">
        <v>753</v>
      </c>
      <c r="D9" s="241" t="s">
        <v>754</v>
      </c>
      <c r="E9" s="241" t="s">
        <v>755</v>
      </c>
      <c r="F9" s="241" t="s">
        <v>756</v>
      </c>
      <c r="G9" s="241" t="s">
        <v>757</v>
      </c>
      <c r="H9" s="241" t="s">
        <v>758</v>
      </c>
      <c r="I9" s="242"/>
      <c r="J9" s="241" t="s">
        <v>460</v>
      </c>
      <c r="K9" s="241" t="s">
        <v>759</v>
      </c>
      <c r="L9" s="242"/>
      <c r="M9" s="242"/>
      <c r="N9" s="241" t="s">
        <v>759</v>
      </c>
    </row>
    <row r="10" spans="1:14" s="240" customFormat="1" x14ac:dyDescent="0.25">
      <c r="A10" s="243"/>
      <c r="B10" s="243"/>
      <c r="C10" s="243"/>
      <c r="D10" s="243"/>
      <c r="E10" s="241" t="s">
        <v>760</v>
      </c>
      <c r="F10" s="241" t="s">
        <v>761</v>
      </c>
      <c r="G10" s="241" t="s">
        <v>762</v>
      </c>
      <c r="H10" s="241" t="s">
        <v>763</v>
      </c>
      <c r="I10" s="242"/>
      <c r="J10" s="241" t="s">
        <v>347</v>
      </c>
      <c r="K10" s="241" t="s">
        <v>764</v>
      </c>
      <c r="L10" s="242"/>
      <c r="M10" s="242"/>
      <c r="N10" s="241" t="s">
        <v>764</v>
      </c>
    </row>
    <row r="11" spans="1:14" s="240" customFormat="1" x14ac:dyDescent="0.25">
      <c r="A11" s="243"/>
      <c r="B11" s="243"/>
      <c r="C11" s="243"/>
      <c r="D11" s="243"/>
      <c r="E11" s="241" t="s">
        <v>765</v>
      </c>
      <c r="F11" s="241" t="s">
        <v>766</v>
      </c>
      <c r="G11" s="241" t="s">
        <v>767</v>
      </c>
      <c r="H11" s="241" t="s">
        <v>768</v>
      </c>
      <c r="I11" s="242"/>
      <c r="J11" s="241" t="s">
        <v>453</v>
      </c>
      <c r="K11" s="242"/>
      <c r="L11" s="242"/>
      <c r="M11" s="242"/>
      <c r="N11" s="242"/>
    </row>
    <row r="12" spans="1:14" s="240" customFormat="1" x14ac:dyDescent="0.25">
      <c r="A12" s="243"/>
      <c r="B12" s="243"/>
      <c r="C12" s="243"/>
      <c r="D12" s="243"/>
      <c r="E12" s="241" t="s">
        <v>769</v>
      </c>
      <c r="F12" s="241" t="s">
        <v>770</v>
      </c>
      <c r="G12" s="241" t="s">
        <v>771</v>
      </c>
      <c r="H12" s="241" t="s">
        <v>772</v>
      </c>
      <c r="I12" s="242"/>
      <c r="J12" s="241" t="s">
        <v>773</v>
      </c>
      <c r="K12" s="242"/>
      <c r="L12" s="242"/>
      <c r="M12" s="242"/>
      <c r="N12" s="242"/>
    </row>
    <row r="13" spans="1:14" s="240" customFormat="1" x14ac:dyDescent="0.25">
      <c r="A13" s="243"/>
      <c r="B13" s="243"/>
      <c r="C13" s="243"/>
      <c r="D13" s="243"/>
      <c r="E13" s="241" t="s">
        <v>774</v>
      </c>
      <c r="F13" s="241" t="s">
        <v>775</v>
      </c>
      <c r="G13" s="241" t="s">
        <v>776</v>
      </c>
      <c r="H13" s="241" t="s">
        <v>777</v>
      </c>
      <c r="I13" s="242"/>
      <c r="J13" s="241" t="s">
        <v>778</v>
      </c>
      <c r="K13" s="242"/>
      <c r="L13" s="242"/>
      <c r="M13" s="242"/>
      <c r="N13" s="242"/>
    </row>
    <row r="14" spans="1:14" s="240" customFormat="1" x14ac:dyDescent="0.25">
      <c r="A14" s="243"/>
      <c r="B14" s="243"/>
      <c r="C14" s="243"/>
      <c r="D14" s="243"/>
      <c r="E14" s="241" t="s">
        <v>779</v>
      </c>
      <c r="F14" s="241" t="s">
        <v>780</v>
      </c>
      <c r="G14" s="241" t="s">
        <v>781</v>
      </c>
      <c r="H14" s="241" t="s">
        <v>782</v>
      </c>
      <c r="I14" s="242"/>
      <c r="J14" s="241" t="s">
        <v>783</v>
      </c>
      <c r="K14" s="242"/>
      <c r="L14" s="242"/>
      <c r="M14" s="242"/>
      <c r="N14" s="242"/>
    </row>
    <row r="15" spans="1:14" s="240" customFormat="1" x14ac:dyDescent="0.25">
      <c r="A15" s="243"/>
      <c r="B15" s="243"/>
      <c r="C15" s="243"/>
      <c r="D15" s="243"/>
      <c r="E15" s="241" t="s">
        <v>784</v>
      </c>
      <c r="F15" s="241" t="s">
        <v>785</v>
      </c>
      <c r="G15" s="241" t="s">
        <v>786</v>
      </c>
      <c r="H15" s="241" t="s">
        <v>787</v>
      </c>
      <c r="I15" s="242"/>
      <c r="J15" s="241" t="s">
        <v>788</v>
      </c>
      <c r="K15" s="242"/>
      <c r="L15" s="242"/>
      <c r="M15" s="242"/>
      <c r="N15" s="242"/>
    </row>
    <row r="16" spans="1:14" s="240" customFormat="1" x14ac:dyDescent="0.25">
      <c r="A16" s="243"/>
      <c r="B16" s="243"/>
      <c r="C16" s="243"/>
      <c r="D16" s="243"/>
      <c r="E16" s="241" t="s">
        <v>789</v>
      </c>
      <c r="F16" s="241" t="s">
        <v>790</v>
      </c>
      <c r="G16" s="241" t="s">
        <v>791</v>
      </c>
      <c r="H16" s="241" t="s">
        <v>792</v>
      </c>
      <c r="I16" s="242"/>
      <c r="J16" s="241" t="s">
        <v>793</v>
      </c>
      <c r="K16" s="242"/>
      <c r="L16" s="242"/>
      <c r="M16" s="242"/>
      <c r="N16" s="242"/>
    </row>
    <row r="17" spans="1:14" s="240" customFormat="1" x14ac:dyDescent="0.25">
      <c r="A17" s="243"/>
      <c r="B17" s="243"/>
      <c r="C17" s="243"/>
      <c r="D17" s="243"/>
      <c r="E17" s="241" t="s">
        <v>794</v>
      </c>
      <c r="F17" s="241" t="s">
        <v>795</v>
      </c>
      <c r="G17" s="241" t="s">
        <v>796</v>
      </c>
      <c r="H17" s="241" t="s">
        <v>797</v>
      </c>
      <c r="I17" s="242"/>
      <c r="J17" s="241" t="s">
        <v>798</v>
      </c>
      <c r="K17" s="242"/>
      <c r="L17" s="242"/>
      <c r="M17" s="242"/>
      <c r="N17" s="242"/>
    </row>
    <row r="18" spans="1:14" s="240" customFormat="1" ht="25.5" customHeight="1" x14ac:dyDescent="0.25">
      <c r="A18" s="243"/>
      <c r="B18" s="243"/>
      <c r="C18" s="243"/>
      <c r="D18" s="243"/>
      <c r="E18" s="244"/>
      <c r="F18" s="244"/>
      <c r="G18" s="244"/>
      <c r="H18" s="244"/>
      <c r="I18" s="244"/>
      <c r="J18" s="245" t="s">
        <v>799</v>
      </c>
      <c r="K18" s="244"/>
      <c r="L18" s="244"/>
      <c r="M18" s="244"/>
      <c r="N18" s="244"/>
    </row>
    <row r="19" spans="1:14" s="240" customFormat="1" x14ac:dyDescent="0.25">
      <c r="A19" s="243"/>
      <c r="B19" s="243"/>
      <c r="C19" s="243"/>
      <c r="D19" s="243"/>
      <c r="E19" s="244"/>
      <c r="F19" s="244"/>
      <c r="G19" s="244"/>
      <c r="H19" s="244"/>
      <c r="I19" s="244"/>
      <c r="J19" s="245" t="s">
        <v>800</v>
      </c>
      <c r="K19" s="244"/>
      <c r="L19" s="244"/>
      <c r="M19" s="244"/>
      <c r="N19" s="244"/>
    </row>
    <row r="20" spans="1:14" s="240" customFormat="1" x14ac:dyDescent="0.25">
      <c r="A20" s="243"/>
      <c r="B20" s="243"/>
      <c r="C20" s="243"/>
      <c r="D20" s="243"/>
      <c r="E20" s="244"/>
      <c r="F20" s="244"/>
      <c r="G20" s="244"/>
      <c r="H20" s="244"/>
      <c r="I20" s="244"/>
      <c r="J20" s="245" t="s">
        <v>531</v>
      </c>
      <c r="K20" s="244"/>
      <c r="L20" s="244"/>
      <c r="M20" s="244"/>
      <c r="N20" s="244"/>
    </row>
    <row r="21" spans="1:14" s="240" customFormat="1" x14ac:dyDescent="0.25">
      <c r="A21" s="243"/>
      <c r="B21" s="243"/>
      <c r="C21" s="243"/>
      <c r="D21" s="243"/>
      <c r="E21" s="244"/>
      <c r="F21" s="244"/>
      <c r="G21" s="244"/>
      <c r="H21" s="244"/>
      <c r="I21" s="244"/>
      <c r="J21" s="245" t="s">
        <v>801</v>
      </c>
      <c r="K21" s="244"/>
      <c r="L21" s="244"/>
      <c r="M21" s="244"/>
      <c r="N21" s="244"/>
    </row>
    <row r="22" spans="1:14" s="240" customFormat="1" ht="25.5" customHeight="1" x14ac:dyDescent="0.25">
      <c r="A22" s="243"/>
      <c r="B22" s="243"/>
      <c r="C22" s="243"/>
      <c r="D22" s="243"/>
      <c r="E22" s="244"/>
      <c r="F22" s="244"/>
      <c r="G22" s="244"/>
      <c r="H22" s="244"/>
      <c r="I22" s="244"/>
      <c r="J22" s="245" t="s">
        <v>802</v>
      </c>
      <c r="K22" s="244"/>
      <c r="L22" s="244"/>
      <c r="M22" s="244"/>
      <c r="N22" s="244"/>
    </row>
    <row r="23" spans="1:14" s="240" customFormat="1" x14ac:dyDescent="0.25">
      <c r="A23" s="243"/>
      <c r="B23" s="243"/>
      <c r="C23" s="243"/>
      <c r="D23" s="243"/>
      <c r="E23" s="244"/>
      <c r="F23" s="244"/>
      <c r="G23" s="244"/>
      <c r="H23" s="244"/>
      <c r="I23" s="244"/>
      <c r="J23" s="245" t="s">
        <v>803</v>
      </c>
      <c r="K23" s="244"/>
      <c r="L23" s="244"/>
      <c r="M23" s="244"/>
      <c r="N23" s="244"/>
    </row>
    <row r="24" spans="1:14" s="240" customFormat="1" x14ac:dyDescent="0.25">
      <c r="A24" s="243"/>
      <c r="B24" s="243"/>
      <c r="C24" s="243"/>
      <c r="D24" s="243"/>
      <c r="E24" s="244"/>
      <c r="F24" s="244"/>
      <c r="G24" s="244"/>
      <c r="H24" s="244"/>
      <c r="I24" s="244"/>
      <c r="J24" s="245" t="s">
        <v>804</v>
      </c>
      <c r="K24" s="244"/>
      <c r="L24" s="244"/>
      <c r="M24" s="244"/>
      <c r="N24" s="244"/>
    </row>
    <row r="25" spans="1:14" s="240" customFormat="1" x14ac:dyDescent="0.25">
      <c r="A25" s="243"/>
      <c r="B25" s="243"/>
      <c r="C25" s="243"/>
      <c r="D25" s="243"/>
      <c r="E25" s="244"/>
      <c r="F25" s="244"/>
      <c r="G25" s="244"/>
      <c r="H25" s="244"/>
      <c r="I25" s="244"/>
      <c r="J25" s="244"/>
      <c r="K25" s="244"/>
      <c r="L25" s="244"/>
      <c r="M25" s="244"/>
      <c r="N25" s="244"/>
    </row>
    <row r="26" spans="1:14" s="240" customFormat="1" x14ac:dyDescent="0.25">
      <c r="A26" s="243"/>
      <c r="B26" s="243"/>
      <c r="C26" s="243"/>
      <c r="D26" s="243"/>
      <c r="E26" s="244"/>
      <c r="F26" s="244"/>
      <c r="G26" s="244"/>
      <c r="H26" s="244"/>
      <c r="I26" s="244"/>
      <c r="J26" s="244"/>
      <c r="K26" s="244"/>
      <c r="L26" s="244"/>
      <c r="M26" s="244"/>
      <c r="N26" s="244"/>
    </row>
    <row r="27" spans="1:14" s="240" customFormat="1" x14ac:dyDescent="0.25">
      <c r="A27" s="243"/>
      <c r="B27" s="243"/>
      <c r="C27" s="243"/>
      <c r="D27" s="243"/>
      <c r="E27" s="244"/>
      <c r="F27" s="244"/>
      <c r="G27" s="244"/>
      <c r="H27" s="244"/>
      <c r="I27" s="244"/>
      <c r="J27" s="244"/>
      <c r="K27" s="244"/>
      <c r="L27" s="244"/>
      <c r="M27" s="244"/>
      <c r="N27" s="244"/>
    </row>
    <row r="28" spans="1:14" s="240" customFormat="1" x14ac:dyDescent="0.25">
      <c r="A28" s="243"/>
      <c r="B28" s="243"/>
      <c r="C28" s="243"/>
      <c r="D28" s="243"/>
      <c r="E28" s="244"/>
      <c r="F28" s="244"/>
      <c r="G28" s="244"/>
      <c r="H28" s="244"/>
      <c r="I28" s="244"/>
      <c r="J28" s="244"/>
      <c r="K28" s="244"/>
      <c r="L28" s="244"/>
      <c r="M28" s="244"/>
      <c r="N28" s="244"/>
    </row>
    <row r="29" spans="1:14" s="240" customFormat="1" x14ac:dyDescent="0.25">
      <c r="A29" s="243"/>
      <c r="B29" s="243"/>
      <c r="C29" s="243"/>
      <c r="D29" s="243"/>
      <c r="E29" s="244"/>
      <c r="F29" s="244"/>
      <c r="G29" s="244"/>
      <c r="H29" s="244"/>
      <c r="I29" s="244"/>
      <c r="J29" s="244"/>
      <c r="K29" s="244"/>
      <c r="L29" s="244"/>
      <c r="M29" s="244"/>
      <c r="N29" s="244"/>
    </row>
    <row r="30" spans="1:14" s="240" customFormat="1" x14ac:dyDescent="0.25">
      <c r="A30" s="243"/>
      <c r="B30" s="243"/>
      <c r="C30" s="243"/>
      <c r="D30" s="243"/>
      <c r="E30" s="244"/>
      <c r="F30" s="244"/>
      <c r="G30" s="244"/>
      <c r="H30" s="244"/>
      <c r="I30" s="244"/>
      <c r="J30" s="244"/>
      <c r="K30" s="244"/>
      <c r="L30" s="244"/>
      <c r="M30" s="244"/>
      <c r="N30" s="244"/>
    </row>
    <row r="31" spans="1:14" s="240" customFormat="1" x14ac:dyDescent="0.25">
      <c r="A31" s="243"/>
      <c r="B31" s="243"/>
      <c r="C31" s="243"/>
      <c r="D31" s="243"/>
      <c r="E31" s="244"/>
      <c r="F31" s="244"/>
      <c r="G31" s="244"/>
      <c r="H31" s="244"/>
      <c r="I31" s="244"/>
      <c r="J31" s="244"/>
      <c r="K31" s="244"/>
      <c r="L31" s="244"/>
      <c r="M31" s="244"/>
      <c r="N31" s="244"/>
    </row>
    <row r="32" spans="1:14" s="240" customFormat="1" x14ac:dyDescent="0.25">
      <c r="A32" s="243"/>
      <c r="B32" s="243"/>
      <c r="C32" s="243"/>
      <c r="D32" s="243"/>
      <c r="E32" s="244"/>
      <c r="F32" s="244"/>
      <c r="G32" s="244"/>
      <c r="H32" s="244"/>
      <c r="I32" s="244"/>
      <c r="J32" s="244"/>
      <c r="K32" s="244"/>
      <c r="L32" s="244"/>
      <c r="M32" s="244"/>
      <c r="N32" s="244"/>
    </row>
    <row r="33" spans="1:14" s="240" customFormat="1" x14ac:dyDescent="0.25">
      <c r="A33" s="243"/>
      <c r="B33" s="243"/>
      <c r="C33" s="243"/>
      <c r="D33" s="243"/>
      <c r="E33" s="244"/>
      <c r="F33" s="244"/>
      <c r="G33" s="244"/>
      <c r="H33" s="244"/>
      <c r="I33" s="244"/>
      <c r="J33" s="244"/>
      <c r="K33" s="244"/>
      <c r="L33" s="244"/>
      <c r="M33" s="244"/>
      <c r="N33" s="244"/>
    </row>
    <row r="34" spans="1:14" x14ac:dyDescent="0.25">
      <c r="A34" s="243"/>
      <c r="B34" s="243"/>
      <c r="C34" s="243"/>
      <c r="D34" s="243"/>
      <c r="E34" s="244"/>
      <c r="F34" s="244"/>
      <c r="G34" s="244"/>
      <c r="H34" s="244"/>
      <c r="I34" s="244"/>
      <c r="J34" s="244"/>
      <c r="K34" s="244"/>
      <c r="L34" s="244"/>
      <c r="M34" s="244"/>
      <c r="N34" s="244"/>
    </row>
    <row r="35" spans="1:14" x14ac:dyDescent="0.25">
      <c r="A35" s="243"/>
      <c r="B35" s="243"/>
      <c r="C35" s="243"/>
      <c r="D35" s="243"/>
      <c r="E35" s="244"/>
      <c r="F35" s="244"/>
      <c r="G35" s="244"/>
      <c r="H35" s="244"/>
      <c r="I35" s="244"/>
      <c r="J35" s="244"/>
      <c r="K35" s="244"/>
      <c r="L35" s="244"/>
      <c r="M35" s="244"/>
      <c r="N35" s="244"/>
    </row>
    <row r="36" spans="1:14" x14ac:dyDescent="0.25">
      <c r="A36" s="243"/>
      <c r="B36" s="243"/>
      <c r="C36" s="243"/>
      <c r="D36" s="243"/>
      <c r="E36" s="244"/>
      <c r="F36" s="244"/>
      <c r="G36" s="244"/>
      <c r="H36" s="244"/>
      <c r="I36" s="244"/>
      <c r="J36" s="244"/>
      <c r="K36" s="244"/>
      <c r="L36" s="244"/>
      <c r="M36" s="244"/>
      <c r="N36" s="244"/>
    </row>
    <row r="37" spans="1:14" x14ac:dyDescent="0.25">
      <c r="A37" s="243"/>
      <c r="B37" s="243"/>
      <c r="C37" s="243"/>
      <c r="D37" s="243"/>
      <c r="E37" s="244"/>
      <c r="F37" s="244"/>
      <c r="G37" s="244"/>
      <c r="H37" s="244"/>
      <c r="I37" s="244"/>
      <c r="J37" s="244"/>
      <c r="K37" s="244"/>
      <c r="L37" s="244"/>
      <c r="M37" s="244"/>
      <c r="N37" s="244"/>
    </row>
    <row r="38" spans="1:14" x14ac:dyDescent="0.25">
      <c r="A38" s="243"/>
      <c r="B38" s="243"/>
      <c r="C38" s="243"/>
      <c r="D38" s="243"/>
      <c r="E38" s="244"/>
      <c r="F38" s="244"/>
      <c r="G38" s="244"/>
      <c r="H38" s="244"/>
      <c r="I38" s="244"/>
      <c r="J38" s="244"/>
      <c r="K38" s="244"/>
      <c r="L38" s="244"/>
      <c r="M38" s="244"/>
      <c r="N38" s="244"/>
    </row>
    <row r="39" spans="1:14" x14ac:dyDescent="0.25">
      <c r="A39" s="243"/>
      <c r="B39" s="243"/>
      <c r="C39" s="243"/>
      <c r="D39" s="243"/>
      <c r="E39" s="244"/>
      <c r="F39" s="244"/>
      <c r="G39" s="244"/>
      <c r="H39" s="244"/>
      <c r="I39" s="244"/>
      <c r="J39" s="244"/>
      <c r="K39" s="244"/>
      <c r="L39" s="244"/>
      <c r="M39" s="244"/>
      <c r="N39" s="244"/>
    </row>
    <row r="40" spans="1:14" x14ac:dyDescent="0.25">
      <c r="A40" s="243"/>
      <c r="B40" s="243"/>
      <c r="C40" s="243"/>
      <c r="D40" s="243"/>
      <c r="E40" s="244"/>
      <c r="F40" s="244"/>
      <c r="G40" s="244"/>
      <c r="H40" s="244"/>
      <c r="I40" s="244"/>
      <c r="J40" s="244"/>
      <c r="K40" s="244"/>
      <c r="L40" s="244"/>
      <c r="M40" s="244"/>
      <c r="N40" s="244"/>
    </row>
    <row r="41" spans="1:14" x14ac:dyDescent="0.25">
      <c r="A41" s="243"/>
      <c r="B41" s="243"/>
      <c r="C41" s="243"/>
      <c r="D41" s="243"/>
      <c r="E41" s="244"/>
      <c r="F41" s="244"/>
      <c r="G41" s="244"/>
      <c r="H41" s="244"/>
      <c r="I41" s="244"/>
      <c r="J41" s="244"/>
      <c r="K41" s="244"/>
      <c r="L41" s="244"/>
      <c r="M41" s="244"/>
      <c r="N41" s="244"/>
    </row>
    <row r="42" spans="1:14" x14ac:dyDescent="0.25">
      <c r="A42" s="243"/>
      <c r="B42" s="243"/>
      <c r="C42" s="243"/>
      <c r="D42" s="243"/>
      <c r="E42" s="244"/>
      <c r="F42" s="244"/>
      <c r="G42" s="244"/>
      <c r="H42" s="244"/>
      <c r="I42" s="244"/>
      <c r="J42" s="244"/>
      <c r="K42" s="244"/>
      <c r="L42" s="244"/>
      <c r="M42" s="244"/>
      <c r="N42" s="244"/>
    </row>
    <row r="43" spans="1:14" x14ac:dyDescent="0.25">
      <c r="A43" s="243"/>
      <c r="B43" s="243"/>
      <c r="C43" s="243"/>
      <c r="D43" s="243"/>
      <c r="E43" s="244"/>
      <c r="F43" s="244"/>
      <c r="G43" s="244"/>
      <c r="H43" s="244"/>
      <c r="I43" s="244"/>
      <c r="J43" s="244"/>
      <c r="K43" s="244"/>
      <c r="L43" s="244"/>
      <c r="M43" s="244"/>
      <c r="N43" s="244"/>
    </row>
    <row r="44" spans="1:14" x14ac:dyDescent="0.25">
      <c r="A44" s="243"/>
      <c r="B44" s="243"/>
      <c r="C44" s="243"/>
      <c r="D44" s="243"/>
      <c r="E44" s="244"/>
      <c r="F44" s="244"/>
      <c r="G44" s="244"/>
      <c r="H44" s="244"/>
      <c r="I44" s="244"/>
      <c r="J44" s="244"/>
      <c r="K44" s="244"/>
      <c r="L44" s="244"/>
      <c r="M44" s="244"/>
      <c r="N44" s="244"/>
    </row>
    <row r="45" spans="1:14" x14ac:dyDescent="0.25">
      <c r="A45" s="243"/>
      <c r="B45" s="243"/>
      <c r="C45" s="243"/>
      <c r="D45" s="243"/>
      <c r="E45" s="244"/>
      <c r="F45" s="244"/>
      <c r="G45" s="244"/>
      <c r="H45" s="244"/>
      <c r="I45" s="244"/>
      <c r="J45" s="244"/>
      <c r="K45" s="244"/>
      <c r="L45" s="244"/>
      <c r="M45" s="244"/>
      <c r="N45" s="244"/>
    </row>
    <row r="46" spans="1:14" x14ac:dyDescent="0.25">
      <c r="A46" s="243"/>
      <c r="B46" s="243"/>
      <c r="C46" s="243"/>
      <c r="D46" s="243"/>
      <c r="E46" s="244"/>
      <c r="F46" s="244"/>
      <c r="G46" s="244"/>
      <c r="H46" s="244"/>
      <c r="I46" s="244"/>
      <c r="J46" s="244"/>
      <c r="K46" s="244"/>
      <c r="L46" s="244"/>
      <c r="M46" s="244"/>
      <c r="N46" s="244"/>
    </row>
    <row r="47" spans="1:14" x14ac:dyDescent="0.25">
      <c r="A47" s="243"/>
      <c r="B47" s="243"/>
      <c r="C47" s="243"/>
      <c r="D47" s="243"/>
      <c r="E47" s="244"/>
      <c r="F47" s="244"/>
      <c r="G47" s="244"/>
      <c r="H47" s="244"/>
      <c r="I47" s="244"/>
      <c r="J47" s="244"/>
      <c r="K47" s="244"/>
      <c r="L47" s="244"/>
      <c r="M47" s="244"/>
      <c r="N47" s="244"/>
    </row>
    <row r="48" spans="1:14" x14ac:dyDescent="0.25">
      <c r="A48" s="243"/>
      <c r="B48" s="243"/>
      <c r="C48" s="243"/>
      <c r="D48" s="243"/>
      <c r="E48" s="244"/>
      <c r="F48" s="244"/>
      <c r="G48" s="244"/>
      <c r="H48" s="244"/>
      <c r="I48" s="244"/>
      <c r="J48" s="244"/>
      <c r="K48" s="244"/>
      <c r="L48" s="244"/>
      <c r="M48" s="244"/>
      <c r="N48" s="244"/>
    </row>
    <row r="49" spans="1:14" x14ac:dyDescent="0.25">
      <c r="A49" s="243"/>
      <c r="B49" s="243"/>
      <c r="C49" s="243"/>
      <c r="D49" s="243"/>
      <c r="E49" s="244"/>
      <c r="F49" s="244"/>
      <c r="G49" s="244"/>
      <c r="H49" s="244"/>
      <c r="I49" s="244"/>
      <c r="J49" s="244"/>
      <c r="K49" s="244"/>
      <c r="L49" s="244"/>
      <c r="M49" s="244"/>
      <c r="N49" s="244"/>
    </row>
    <row r="50" spans="1:14" x14ac:dyDescent="0.25">
      <c r="A50" s="243"/>
      <c r="B50" s="243"/>
      <c r="C50" s="243"/>
      <c r="D50" s="243"/>
      <c r="E50" s="244"/>
      <c r="F50" s="244"/>
      <c r="G50" s="244"/>
      <c r="H50" s="244"/>
      <c r="I50" s="244"/>
      <c r="J50" s="244"/>
      <c r="K50" s="244"/>
      <c r="L50" s="244"/>
      <c r="M50" s="244"/>
      <c r="N50" s="244"/>
    </row>
  </sheetData>
  <pageMargins left="0.70866141732283472" right="0.70866141732283472" top="0.78740157480314965" bottom="0.78740157480314965" header="0.31496062992125978" footer="0.31496062992125978"/>
  <pageSetup paperSize="9" scale="49" orientation="landscape"/>
  <headerFooter>
    <oddHeader>&amp;CBauen digital Schweiz / buildingSMART Switzerland</oddHeader>
    <oddFooter>&amp;L&amp;"Aptos Narrow,Standard"Handlungsempfehlung Data Dictionaries_x000D_&amp;1#&amp;"Arial"&amp;7 &amp;K000000 C2 - Intern&amp;CStrukturvorlage&amp;R&amp;D /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16</vt:i4>
      </vt:variant>
    </vt:vector>
  </HeadingPairs>
  <TitlesOfParts>
    <vt:vector size="27"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Thomas Glättli</cp:lastModifiedBy>
  <cp:lastPrinted>2026-03-25T08:59:43Z</cp:lastPrinted>
  <dcterms:created xsi:type="dcterms:W3CDTF">2024-10-08T09:18:01Z</dcterms:created>
  <dcterms:modified xsi:type="dcterms:W3CDTF">2026-07-09T12:35:28Z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