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110 BdCH Projekte/P.5502.05 Use Case Flächenmanagement/2026 09 Publikation AreaMgmt_V1.0.0/"/>
    </mc:Choice>
  </mc:AlternateContent>
  <xr:revisionPtr revIDLastSave="1229" documentId="8_{29D404D7-771A-42A3-AEB6-F6CF9E2A8057}" xr6:coauthVersionLast="47" xr6:coauthVersionMax="47" xr10:uidLastSave="{13FB6D00-66AB-4EAE-995B-E4137B2DCD23}"/>
  <bookViews>
    <workbookView xWindow="-120" yWindow="-120" windowWidth="51840" windowHeight="21120" tabRatio="525" activeTab="3"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Use Cases" sheetId="12" r:id="rId11"/>
    <sheet name="Rules" sheetId="11" r:id="rId12"/>
  </sheets>
  <definedNames>
    <definedName name="_xlnm._FilterDatabase" localSheetId="3" hidden="1">Classes!$A$6:$AE$6</definedName>
    <definedName name="_xlnm._FilterDatabase" localSheetId="7" hidden="1">GroupOfProperties!$A$6:$R$6</definedName>
    <definedName name="_xlnm._FilterDatabase" localSheetId="4" hidden="1">Properties!$A$6:$Z$6</definedName>
    <definedName name="_xlnm._FilterDatabase" localSheetId="5" hidden="1">Values!$A$6:$S$6</definedName>
    <definedName name="Affectation_de_classe" localSheetId="0">#REF!</definedName>
    <definedName name="Affectation_de_classe">Rules!$C$2:$C$50</definedName>
    <definedName name="Assegnazione_della_classe" localSheetId="0">#REF!</definedName>
    <definedName name="Assegnazione_della_classe">Rules!$D$2:$D$50</definedName>
    <definedName name="Assegnazione_della_proprieta" localSheetId="0">#REF!</definedName>
    <definedName name="Assegnazione_della_proprieta">Rules!$H$2:$H$50</definedName>
    <definedName name="Attribution_de_propriete" localSheetId="0">#REF!</definedName>
    <definedName name="Attribution_de_propriete">Rules!$G$2:$G$50</definedName>
    <definedName name="DataType" localSheetId="0">#REF!</definedName>
    <definedName name="DataType">Rules!$I$2:$I$50</definedName>
    <definedName name="FAIR_Prinzipien" localSheetId="0">#REF!</definedName>
    <definedName name="FAIR_Prinzipien">Rules!$M$2:$M$50</definedName>
    <definedName name="IFC_Data_Type" localSheetId="0">#REF!</definedName>
    <definedName name="IFC_Data_Type">Rules!$J$2:$J$50</definedName>
    <definedName name="ISG___Informationssicherheitsgesetz" localSheetId="0">#REF!</definedName>
    <definedName name="ISG___Informationssicherheitsgesetz">Rules!$L$2:$L$50</definedName>
    <definedName name="Klassen_Zuordnung" localSheetId="0">#REF!</definedName>
    <definedName name="Klassen_Zuordnung">Rules!$B$2:$B$50</definedName>
    <definedName name="Klassifikation" localSheetId="0">#REF!</definedName>
    <definedName name="Klassifikation">Rules!$B$2:$B$50</definedName>
    <definedName name="LifecycleStatus" localSheetId="0">#REF!</definedName>
    <definedName name="LifecycleStatus">Rules!$N$2:$N$50</definedName>
    <definedName name="Markmals_Klassifikation" localSheetId="0">#REF!</definedName>
    <definedName name="Markmals_Klassifikation">Rules!$F$2:$F$50</definedName>
    <definedName name="Merkmals_Zuordnung" localSheetId="0">#REF!</definedName>
    <definedName name="Merkmals_Zuordnung">Rules!$F$2:$F$50</definedName>
    <definedName name="Objekt_Einordnung" localSheetId="0">#REF!</definedName>
    <definedName name="Objekt_Einordnung">Rules!$A$2:$A$50</definedName>
    <definedName name="Property_Classification" localSheetId="0">#REF!</definedName>
    <definedName name="Property_Classification">Rules!$E$2:$E$50</definedName>
    <definedName name="Status" localSheetId="0">#REF!</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12" l="1"/>
  <c r="A80" i="12"/>
  <c r="B79" i="12"/>
  <c r="A79" i="12"/>
  <c r="B78" i="12"/>
  <c r="A78" i="12"/>
  <c r="B77" i="12"/>
  <c r="A77" i="12"/>
  <c r="B76" i="12"/>
  <c r="A76" i="12"/>
  <c r="B75" i="12"/>
  <c r="A75" i="12"/>
  <c r="B74" i="12"/>
  <c r="A74" i="12"/>
  <c r="B73" i="12"/>
  <c r="A73" i="12"/>
  <c r="B72" i="12"/>
  <c r="A72" i="12"/>
  <c r="B71" i="12"/>
  <c r="A71" i="12"/>
  <c r="B70" i="12"/>
  <c r="A70" i="12"/>
  <c r="B65" i="12" l="1"/>
  <c r="A65" i="12"/>
  <c r="B64" i="12"/>
  <c r="A64" i="12"/>
  <c r="B63" i="12"/>
  <c r="A63" i="12"/>
  <c r="B62" i="12"/>
  <c r="A62" i="12"/>
  <c r="B61" i="12"/>
  <c r="A61" i="12"/>
  <c r="B60" i="12"/>
  <c r="A60" i="12"/>
  <c r="B59" i="12"/>
  <c r="A59" i="12"/>
  <c r="B58" i="12"/>
  <c r="A58" i="12"/>
  <c r="B57" i="12"/>
  <c r="A57" i="12"/>
  <c r="B56" i="12"/>
  <c r="A56" i="12"/>
  <c r="B55" i="12"/>
  <c r="A55" i="12"/>
  <c r="B50" i="12" l="1"/>
  <c r="A50" i="12"/>
  <c r="B49" i="12"/>
  <c r="A49" i="12"/>
  <c r="B48" i="12"/>
  <c r="A48" i="12"/>
  <c r="B47" i="12"/>
  <c r="A47" i="12"/>
  <c r="B46" i="12"/>
  <c r="A46" i="12"/>
  <c r="B45" i="12"/>
  <c r="A45" i="12"/>
  <c r="B44" i="12"/>
  <c r="A44" i="12"/>
  <c r="B43" i="12"/>
  <c r="A43" i="12"/>
  <c r="B42" i="12"/>
  <c r="A42" i="12"/>
  <c r="B41" i="12"/>
  <c r="A41" i="12"/>
  <c r="B40" i="12"/>
  <c r="A40" i="12"/>
  <c r="B35" i="12"/>
  <c r="A35" i="12"/>
  <c r="B34" i="12"/>
  <c r="A34" i="12"/>
  <c r="B33" i="12"/>
  <c r="A33" i="12"/>
  <c r="B32" i="12"/>
  <c r="A32" i="12"/>
  <c r="B31" i="12"/>
  <c r="A31" i="12"/>
  <c r="B30" i="12"/>
  <c r="A30" i="12"/>
  <c r="B29" i="12"/>
  <c r="A29" i="12"/>
  <c r="B28" i="12"/>
  <c r="A28" i="12"/>
  <c r="B27" i="12"/>
  <c r="A27" i="12"/>
  <c r="B26" i="12"/>
  <c r="A26" i="12"/>
  <c r="A25" i="12"/>
  <c r="B25" i="12"/>
  <c r="B95" i="12" l="1"/>
  <c r="B94" i="12"/>
  <c r="B93" i="12"/>
  <c r="B92" i="12"/>
  <c r="B91" i="12"/>
  <c r="B90" i="12"/>
  <c r="B89" i="12"/>
  <c r="B88" i="12"/>
  <c r="B87" i="12"/>
  <c r="B86" i="12"/>
  <c r="B85" i="12"/>
  <c r="B20" i="12"/>
  <c r="B19" i="12"/>
  <c r="B18" i="12"/>
  <c r="B17" i="12"/>
  <c r="B16" i="12"/>
  <c r="B15" i="12"/>
  <c r="B14" i="12"/>
  <c r="B13" i="12"/>
  <c r="B12" i="12"/>
  <c r="B11" i="12"/>
  <c r="A95" i="12" l="1"/>
  <c r="A94" i="12"/>
  <c r="A93" i="12"/>
  <c r="A92" i="12"/>
  <c r="A91" i="12"/>
  <c r="A90" i="12"/>
  <c r="A89" i="12"/>
  <c r="A88" i="12"/>
  <c r="A87" i="12"/>
  <c r="A86" i="12"/>
  <c r="B10" i="12"/>
  <c r="A85" i="12"/>
  <c r="Q95" i="12" l="1"/>
  <c r="J95" i="12"/>
  <c r="AJ87" i="12"/>
  <c r="AM91" i="12"/>
  <c r="AN91" i="12"/>
  <c r="T87" i="12"/>
  <c r="AN87" i="12"/>
  <c r="AT93" i="12"/>
  <c r="AA93" i="12"/>
  <c r="H86" i="12"/>
  <c r="V88" i="12"/>
  <c r="L88" i="12"/>
  <c r="AT88" i="12"/>
  <c r="AM94" i="12"/>
  <c r="AP94" i="12"/>
  <c r="AB86" i="12"/>
  <c r="AY92" i="12"/>
  <c r="X89" i="12"/>
  <c r="G89" i="12"/>
  <c r="O90" i="12"/>
  <c r="AE90" i="12"/>
  <c r="AW90" i="12"/>
  <c r="AQ85" i="12"/>
  <c r="AA86" i="12"/>
  <c r="AN86" i="12"/>
  <c r="W92" i="12"/>
  <c r="K92" i="12"/>
  <c r="AW92" i="12"/>
  <c r="AT92" i="12"/>
  <c r="P92" i="12"/>
  <c r="AQ87" i="12"/>
  <c r="AL87" i="12"/>
  <c r="X87" i="12"/>
  <c r="J87" i="12"/>
  <c r="AK87" i="12"/>
  <c r="AS91" i="12"/>
  <c r="AM92" i="12"/>
  <c r="R89" i="12"/>
  <c r="U92" i="12"/>
  <c r="AF93" i="12"/>
  <c r="AB95" i="12"/>
  <c r="AJ95" i="12"/>
  <c r="AI95" i="12"/>
  <c r="AH90" i="12"/>
  <c r="V90" i="12"/>
  <c r="J90" i="12"/>
  <c r="AG90" i="12"/>
  <c r="R85" i="12"/>
  <c r="AS85" i="12"/>
  <c r="AE85" i="12"/>
  <c r="AH91" i="12"/>
  <c r="V91" i="12"/>
  <c r="J91" i="12"/>
  <c r="AX90" i="12"/>
  <c r="AX86" i="12"/>
  <c r="AE89" i="12"/>
  <c r="R90" i="12"/>
  <c r="Z91" i="12"/>
  <c r="O92" i="12"/>
  <c r="AK86" i="12"/>
  <c r="Z87" i="12"/>
  <c r="AJ89" i="12"/>
  <c r="W90" i="12"/>
  <c r="AL86" i="12"/>
  <c r="K87" i="12"/>
  <c r="AR88" i="12"/>
  <c r="AF88" i="12"/>
  <c r="AL94" i="12"/>
  <c r="Z94" i="12"/>
  <c r="AW94" i="12"/>
  <c r="AK94" i="12"/>
  <c r="A20" i="12"/>
  <c r="A19" i="12"/>
  <c r="A18" i="12"/>
  <c r="A17" i="12"/>
  <c r="A16" i="12"/>
  <c r="A15" i="12"/>
  <c r="A14" i="12"/>
  <c r="A13" i="12"/>
  <c r="A12" i="12"/>
  <c r="A11" i="12"/>
  <c r="A10" i="12"/>
  <c r="G3" i="12" a="1"/>
  <c r="G2" i="12" a="1"/>
  <c r="G3" i="9" a="1"/>
  <c r="G3" i="9" s="1"/>
  <c r="K3" i="9"/>
  <c r="L3" i="9"/>
  <c r="M3" i="9"/>
  <c r="N3" i="9"/>
  <c r="O3" i="9"/>
  <c r="P3" i="9"/>
  <c r="Q3" i="9"/>
  <c r="R3" i="9"/>
  <c r="W3" i="9"/>
  <c r="X3" i="9"/>
  <c r="Y3" i="9"/>
  <c r="Z3" i="9"/>
  <c r="AA3" i="9"/>
  <c r="AB3" i="9"/>
  <c r="AC3" i="9"/>
  <c r="AD3" i="9"/>
  <c r="AI3" i="9"/>
  <c r="AJ3" i="9"/>
  <c r="AK3" i="9"/>
  <c r="AL3" i="9"/>
  <c r="AM3" i="9"/>
  <c r="AN3" i="9"/>
  <c r="AO3" i="9"/>
  <c r="AP3" i="9"/>
  <c r="AT3" i="9"/>
  <c r="AU3" i="9"/>
  <c r="AV3" i="9"/>
  <c r="AW3" i="9"/>
  <c r="AX3" i="9"/>
  <c r="AY3" i="9"/>
  <c r="AZ3" i="9"/>
  <c r="BA3" i="9"/>
  <c r="A16" i="9"/>
  <c r="A15" i="9"/>
  <c r="A14" i="9"/>
  <c r="A13" i="9"/>
  <c r="A12" i="9"/>
  <c r="A11" i="9"/>
  <c r="A10" i="9"/>
  <c r="A9" i="9"/>
  <c r="A8" i="9"/>
  <c r="A7" i="9"/>
  <c r="A6" i="9"/>
  <c r="N94" i="12" s="1"/>
  <c r="B16" i="9"/>
  <c r="B15" i="9"/>
  <c r="B14" i="9"/>
  <c r="B13" i="9"/>
  <c r="B12" i="9"/>
  <c r="B11" i="9"/>
  <c r="B10" i="9"/>
  <c r="B9" i="9"/>
  <c r="B8" i="9"/>
  <c r="B7" i="9"/>
  <c r="B6" i="9"/>
  <c r="AT95" i="12" l="1"/>
  <c r="AX85" i="12"/>
  <c r="AZ95" i="12"/>
  <c r="I91" i="12"/>
  <c r="AA91" i="12"/>
  <c r="AQ86" i="12"/>
  <c r="AE95" i="12"/>
  <c r="O87" i="12"/>
  <c r="AW86" i="12"/>
  <c r="N93" i="12"/>
  <c r="G85" i="12"/>
  <c r="AC95" i="12"/>
  <c r="AW85" i="12"/>
  <c r="K89" i="12"/>
  <c r="AT85" i="12"/>
  <c r="Z95" i="12"/>
  <c r="T90" i="12"/>
  <c r="AK90" i="12"/>
  <c r="Q86" i="12"/>
  <c r="O91" i="12"/>
  <c r="AU94" i="12"/>
  <c r="AD92" i="12"/>
  <c r="K93" i="12"/>
  <c r="N95" i="12"/>
  <c r="P90" i="12"/>
  <c r="AO94" i="12"/>
  <c r="N85" i="12"/>
  <c r="AZ90" i="12"/>
  <c r="AP91" i="12"/>
  <c r="AI87" i="12"/>
  <c r="AF94" i="12"/>
  <c r="AS86" i="12"/>
  <c r="H92" i="12"/>
  <c r="AF85" i="12"/>
  <c r="AZ93" i="12"/>
  <c r="Y85" i="12"/>
  <c r="AG95" i="12"/>
  <c r="AQ89" i="12"/>
  <c r="AC93" i="12"/>
  <c r="AA94" i="12"/>
  <c r="S89" i="12"/>
  <c r="X95" i="12"/>
  <c r="T91" i="12"/>
  <c r="N90" i="12"/>
  <c r="AD89" i="12"/>
  <c r="AD93" i="12"/>
  <c r="AW89" i="12"/>
  <c r="AY90" i="12"/>
  <c r="AS94" i="12"/>
  <c r="AJ94" i="12"/>
  <c r="O86" i="12"/>
  <c r="H72" i="12"/>
  <c r="G72" i="12"/>
  <c r="M78" i="12"/>
  <c r="H78" i="12"/>
  <c r="AT72" i="12"/>
  <c r="AT71" i="12"/>
  <c r="Q78" i="12"/>
  <c r="AI72" i="12"/>
  <c r="L72" i="12"/>
  <c r="AU73" i="12"/>
  <c r="S74" i="12"/>
  <c r="AR78" i="12"/>
  <c r="AB78" i="12"/>
  <c r="J78" i="12"/>
  <c r="AO77" i="12"/>
  <c r="U77" i="12"/>
  <c r="AX76" i="12"/>
  <c r="AI76" i="12"/>
  <c r="R76" i="12"/>
  <c r="AP74" i="12"/>
  <c r="AW74" i="12"/>
  <c r="AW72" i="12"/>
  <c r="AY71" i="12"/>
  <c r="AB71" i="12"/>
  <c r="AU71" i="12"/>
  <c r="AK70" i="12"/>
  <c r="N70" i="12"/>
  <c r="AX71" i="12"/>
  <c r="AA71" i="12"/>
  <c r="BA70" i="12"/>
  <c r="M70" i="12"/>
  <c r="J74" i="12"/>
  <c r="AP78" i="12"/>
  <c r="G78" i="12"/>
  <c r="S77" i="12"/>
  <c r="AG76" i="12"/>
  <c r="AN74" i="12"/>
  <c r="AR73" i="12"/>
  <c r="AW71" i="12"/>
  <c r="AI70" i="12"/>
  <c r="AJ74" i="12"/>
  <c r="H79" i="12"/>
  <c r="X78" i="12"/>
  <c r="AJ77" i="12"/>
  <c r="AU76" i="12"/>
  <c r="K76" i="12"/>
  <c r="AJ72" i="12"/>
  <c r="Y71" i="12"/>
  <c r="G80" i="12"/>
  <c r="U74" i="12"/>
  <c r="AD74" i="12"/>
  <c r="AG75" i="12"/>
  <c r="AC79" i="12"/>
  <c r="AN78" i="12"/>
  <c r="W78" i="12"/>
  <c r="Q77" i="12"/>
  <c r="AS76" i="12"/>
  <c r="AL74" i="12"/>
  <c r="AC73" i="12"/>
  <c r="AH72" i="12"/>
  <c r="AX70" i="12"/>
  <c r="J70" i="12"/>
  <c r="I73" i="12"/>
  <c r="AZ78" i="12"/>
  <c r="U78" i="12"/>
  <c r="AF77" i="12"/>
  <c r="AR76" i="12"/>
  <c r="AA76" i="12"/>
  <c r="AG74" i="12"/>
  <c r="AB73" i="12"/>
  <c r="AN71" i="12"/>
  <c r="AW70" i="12"/>
  <c r="AT70" i="12"/>
  <c r="AT73" i="12"/>
  <c r="P74" i="12"/>
  <c r="AY78" i="12"/>
  <c r="AK78" i="12"/>
  <c r="T78" i="12"/>
  <c r="AW77" i="12"/>
  <c r="AE77" i="12"/>
  <c r="AQ76" i="12"/>
  <c r="X72" i="12"/>
  <c r="AM71" i="12"/>
  <c r="Z70" i="12"/>
  <c r="AY76" i="12"/>
  <c r="I71" i="12"/>
  <c r="AW78" i="12"/>
  <c r="AJ78" i="12"/>
  <c r="AU77" i="12"/>
  <c r="AF75" i="12"/>
  <c r="X74" i="12"/>
  <c r="AV75" i="12"/>
  <c r="G79" i="12"/>
  <c r="M75" i="12"/>
  <c r="G75" i="12"/>
  <c r="AD80" i="12"/>
  <c r="AQ78" i="12"/>
  <c r="AA78" i="12"/>
  <c r="I78" i="12"/>
  <c r="AN77" i="12"/>
  <c r="T77" i="12"/>
  <c r="AW76" i="12"/>
  <c r="AH76" i="12"/>
  <c r="O76" i="12"/>
  <c r="AO74" i="12"/>
  <c r="AS73" i="12"/>
  <c r="AV72" i="12"/>
  <c r="AJ70" i="12"/>
  <c r="P78" i="12"/>
  <c r="T74" i="12"/>
  <c r="AS74" i="12"/>
  <c r="BA79" i="12"/>
  <c r="Z78" i="12"/>
  <c r="AK77" i="12"/>
  <c r="AV76" i="12"/>
  <c r="L76" i="12"/>
  <c r="AK72" i="12"/>
  <c r="Z71" i="12"/>
  <c r="AZ70" i="12"/>
  <c r="L70" i="12"/>
  <c r="AY73" i="12"/>
  <c r="Q75" i="12"/>
  <c r="AD79" i="12"/>
  <c r="AO78" i="12"/>
  <c r="AX78" i="12"/>
  <c r="R77" i="12"/>
  <c r="AF76" i="12"/>
  <c r="AM74" i="12"/>
  <c r="AQ73" i="12"/>
  <c r="AV71" i="12"/>
  <c r="AY70" i="12"/>
  <c r="AC70" i="12"/>
  <c r="K70" i="12"/>
  <c r="AY77" i="12"/>
  <c r="AI77" i="12"/>
  <c r="AB76" i="12"/>
  <c r="J76" i="12"/>
  <c r="AO71" i="12"/>
  <c r="X71" i="12"/>
  <c r="AB70" i="12"/>
  <c r="W74" i="12"/>
  <c r="H75" i="12"/>
  <c r="L74" i="12"/>
  <c r="AM78" i="12"/>
  <c r="AX77" i="12"/>
  <c r="N77" i="12"/>
  <c r="I76" i="12"/>
  <c r="Z72" i="12"/>
  <c r="W71" i="12"/>
  <c r="AA70" i="12"/>
  <c r="AK74" i="12"/>
  <c r="G76" i="12"/>
  <c r="L77" i="12"/>
  <c r="Z76" i="12"/>
  <c r="AN76" i="12"/>
  <c r="Z74" i="12"/>
  <c r="AA73" i="12"/>
  <c r="Q71" i="12"/>
  <c r="AV70" i="12"/>
  <c r="I75" i="12"/>
  <c r="AI74" i="12"/>
  <c r="S78" i="12"/>
  <c r="AD77" i="12"/>
  <c r="K77" i="12"/>
  <c r="AP76" i="12"/>
  <c r="W76" i="12"/>
  <c r="AT76" i="12"/>
  <c r="AX74" i="12"/>
  <c r="R78" i="12"/>
  <c r="J77" i="12"/>
  <c r="AY74" i="12"/>
  <c r="AX72" i="12"/>
  <c r="O71" i="12"/>
  <c r="P70" i="12"/>
  <c r="O70" i="12"/>
  <c r="R74" i="12"/>
  <c r="AM77" i="12"/>
  <c r="M71" i="12"/>
  <c r="K78" i="12"/>
  <c r="AZ76" i="12"/>
  <c r="K71" i="12"/>
  <c r="I72" i="12"/>
  <c r="AS77" i="12"/>
  <c r="AO76" i="12"/>
  <c r="BA71" i="12"/>
  <c r="AU78" i="12"/>
  <c r="AR77" i="12"/>
  <c r="AL76" i="12"/>
  <c r="AZ71" i="12"/>
  <c r="AT78" i="12"/>
  <c r="AK76" i="12"/>
  <c r="AL71" i="12"/>
  <c r="AP77" i="12"/>
  <c r="AJ76" i="12"/>
  <c r="H74" i="12"/>
  <c r="AK71" i="12"/>
  <c r="AM70" i="12"/>
  <c r="AI78" i="12"/>
  <c r="AB77" i="12"/>
  <c r="AJ71" i="12"/>
  <c r="AL70" i="12"/>
  <c r="AV73" i="12"/>
  <c r="AF78" i="12"/>
  <c r="AA77" i="12"/>
  <c r="AI71" i="12"/>
  <c r="Y70" i="12"/>
  <c r="AE78" i="12"/>
  <c r="T76" i="12"/>
  <c r="AZ72" i="12"/>
  <c r="X70" i="12"/>
  <c r="AD78" i="12"/>
  <c r="X77" i="12"/>
  <c r="AY72" i="12"/>
  <c r="M74" i="12"/>
  <c r="Q74" i="12"/>
  <c r="N78" i="12"/>
  <c r="I77" i="12"/>
  <c r="AT74" i="12"/>
  <c r="W72" i="12"/>
  <c r="N71" i="12"/>
  <c r="L71" i="12"/>
  <c r="L78" i="12"/>
  <c r="AR74" i="12"/>
  <c r="V72" i="12"/>
  <c r="N75" i="12"/>
  <c r="N74" i="12"/>
  <c r="AQ74" i="12"/>
  <c r="U72" i="12"/>
  <c r="AV78" i="12"/>
  <c r="O74" i="12"/>
  <c r="AU70" i="12"/>
  <c r="AD72" i="12"/>
  <c r="K74" i="12"/>
  <c r="AO70" i="12"/>
  <c r="J72" i="12"/>
  <c r="AQ77" i="12"/>
  <c r="I74" i="12"/>
  <c r="AN70" i="12"/>
  <c r="AI75" i="12"/>
  <c r="AS78" i="12"/>
  <c r="AD75" i="12"/>
  <c r="V76" i="12"/>
  <c r="T73" i="12"/>
  <c r="U76" i="12"/>
  <c r="S73" i="12"/>
  <c r="P75" i="12"/>
  <c r="Z77" i="12"/>
  <c r="AC71" i="12"/>
  <c r="AF74" i="12"/>
  <c r="S76" i="12"/>
  <c r="P71" i="12"/>
  <c r="W70" i="12"/>
  <c r="AO75" i="12"/>
  <c r="AX75" i="12"/>
  <c r="AZ80" i="12"/>
  <c r="L80" i="12"/>
  <c r="AV79" i="12"/>
  <c r="Y79" i="12"/>
  <c r="AR75" i="12"/>
  <c r="AI73" i="12"/>
  <c r="I79" i="12"/>
  <c r="AG73" i="12"/>
  <c r="K72" i="12"/>
  <c r="X75" i="12"/>
  <c r="U80" i="12"/>
  <c r="AO72" i="12"/>
  <c r="AQ70" i="12"/>
  <c r="AD70" i="12"/>
  <c r="AU74" i="12"/>
  <c r="V71" i="12"/>
  <c r="V75" i="12"/>
  <c r="AJ75" i="12"/>
  <c r="AN80" i="12"/>
  <c r="X80" i="12"/>
  <c r="X79" i="12"/>
  <c r="AJ79" i="12"/>
  <c r="AG79" i="12"/>
  <c r="U73" i="12"/>
  <c r="AH79" i="12"/>
  <c r="W75" i="12"/>
  <c r="AS72" i="12"/>
  <c r="AW75" i="12"/>
  <c r="AS80" i="12"/>
  <c r="R73" i="12"/>
  <c r="S71" i="12"/>
  <c r="R71" i="12"/>
  <c r="U70" i="12"/>
  <c r="AH71" i="12"/>
  <c r="AB74" i="12"/>
  <c r="P80" i="12"/>
  <c r="AN79" i="12"/>
  <c r="AY79" i="12"/>
  <c r="J73" i="12"/>
  <c r="O72" i="12"/>
  <c r="AT79" i="12"/>
  <c r="G70" i="12"/>
  <c r="AM76" i="12"/>
  <c r="V78" i="12"/>
  <c r="AK75" i="12"/>
  <c r="AM80" i="12"/>
  <c r="AM79" i="12"/>
  <c r="AX73" i="12"/>
  <c r="AQ72" i="12"/>
  <c r="AM72" i="12"/>
  <c r="W80" i="12"/>
  <c r="AF70" i="12"/>
  <c r="AN75" i="12"/>
  <c r="BA80" i="12"/>
  <c r="AB80" i="12"/>
  <c r="AE80" i="12"/>
  <c r="K79" i="12"/>
  <c r="AU79" i="12"/>
  <c r="I80" i="12"/>
  <c r="AL73" i="12"/>
  <c r="J80" i="12"/>
  <c r="AU75" i="12"/>
  <c r="AF72" i="12"/>
  <c r="S79" i="12"/>
  <c r="S72" i="12"/>
  <c r="AP73" i="12"/>
  <c r="AQ71" i="12"/>
  <c r="AD71" i="12"/>
  <c r="AG70" i="12"/>
  <c r="G74" i="12"/>
  <c r="U75" i="12"/>
  <c r="AO80" i="12"/>
  <c r="O80" i="12"/>
  <c r="AP75" i="12"/>
  <c r="W79" i="12"/>
  <c r="AI79" i="12"/>
  <c r="AH80" i="12"/>
  <c r="K73" i="12"/>
  <c r="AI80" i="12"/>
  <c r="R79" i="12"/>
  <c r="Q72" i="12"/>
  <c r="AQ79" i="12"/>
  <c r="AN72" i="12"/>
  <c r="AB75" i="12"/>
  <c r="T70" i="12"/>
  <c r="AP71" i="12"/>
  <c r="U71" i="12"/>
  <c r="X76" i="12"/>
  <c r="AZ75" i="12"/>
  <c r="AC80" i="12"/>
  <c r="AY80" i="12"/>
  <c r="AZ79" i="12"/>
  <c r="J79" i="12"/>
  <c r="AE79" i="12"/>
  <c r="AM73" i="12"/>
  <c r="AK73" i="12"/>
  <c r="AF73" i="12"/>
  <c r="AP79" i="12"/>
  <c r="AC72" i="12"/>
  <c r="T80" i="12"/>
  <c r="Q73" i="12"/>
  <c r="V79" i="12"/>
  <c r="AR70" i="12"/>
  <c r="AE71" i="12"/>
  <c r="W77" i="12"/>
  <c r="S75" i="12"/>
  <c r="AA80" i="12"/>
  <c r="AF80" i="12"/>
  <c r="Z73" i="12"/>
  <c r="O75" i="12"/>
  <c r="S80" i="12"/>
  <c r="AR80" i="12"/>
  <c r="AO73" i="12"/>
  <c r="H70" i="12"/>
  <c r="X62" i="12"/>
  <c r="N80" i="12"/>
  <c r="AB79" i="12"/>
  <c r="J75" i="12"/>
  <c r="L73" i="12"/>
  <c r="AT75" i="12"/>
  <c r="AQ80" i="12"/>
  <c r="AA75" i="12"/>
  <c r="AS70" i="12"/>
  <c r="V77" i="12"/>
  <c r="AL78" i="12"/>
  <c r="S61" i="12"/>
  <c r="R75" i="12"/>
  <c r="Z80" i="12"/>
  <c r="AX80" i="12"/>
  <c r="O79" i="12"/>
  <c r="AA79" i="12"/>
  <c r="AQ75" i="12"/>
  <c r="V73" i="12"/>
  <c r="P79" i="12"/>
  <c r="AU72" i="12"/>
  <c r="X73" i="12"/>
  <c r="AY75" i="12"/>
  <c r="AK79" i="12"/>
  <c r="H73" i="12"/>
  <c r="AR72" i="12"/>
  <c r="U79" i="12"/>
  <c r="AS71" i="12"/>
  <c r="J71" i="12"/>
  <c r="AJ60" i="12"/>
  <c r="N79" i="12"/>
  <c r="AP72" i="12"/>
  <c r="AL77" i="12"/>
  <c r="AX79" i="12"/>
  <c r="AE73" i="12"/>
  <c r="AA72" i="12"/>
  <c r="AT80" i="12"/>
  <c r="I59" i="12"/>
  <c r="Z79" i="12"/>
  <c r="AL72" i="12"/>
  <c r="T71" i="12"/>
  <c r="M79" i="12"/>
  <c r="O73" i="12"/>
  <c r="AF71" i="12"/>
  <c r="AF79" i="12"/>
  <c r="AH73" i="12"/>
  <c r="R70" i="12"/>
  <c r="M80" i="12"/>
  <c r="R80" i="12"/>
  <c r="AP70" i="12"/>
  <c r="AW80" i="12"/>
  <c r="AP80" i="12"/>
  <c r="S70" i="12"/>
  <c r="AZ77" i="12"/>
  <c r="Y80" i="12"/>
  <c r="N73" i="12"/>
  <c r="AE70" i="12"/>
  <c r="I70" i="12"/>
  <c r="AM75" i="12"/>
  <c r="AL79" i="12"/>
  <c r="W73" i="12"/>
  <c r="T79" i="12"/>
  <c r="H71" i="12"/>
  <c r="V70" i="12"/>
  <c r="T75" i="12"/>
  <c r="AW79" i="12"/>
  <c r="R72" i="12"/>
  <c r="AR79" i="12"/>
  <c r="AG71" i="12"/>
  <c r="AH70" i="12"/>
  <c r="R61" i="12"/>
  <c r="AL75" i="12"/>
  <c r="L79" i="12"/>
  <c r="AW73" i="12"/>
  <c r="AB72" i="12"/>
  <c r="AS79" i="12"/>
  <c r="AV74" i="12"/>
  <c r="AK80" i="12"/>
  <c r="G73" i="12"/>
  <c r="V80" i="12"/>
  <c r="AV59" i="12"/>
  <c r="AV80" i="12"/>
  <c r="G71" i="12"/>
  <c r="AJ80" i="12"/>
  <c r="L75" i="12"/>
  <c r="T72" i="12"/>
  <c r="K80" i="12"/>
  <c r="AS75" i="12"/>
  <c r="AU80" i="12"/>
  <c r="AL80" i="12"/>
  <c r="AO79" i="12"/>
  <c r="AR71" i="12"/>
  <c r="H80" i="12"/>
  <c r="P73" i="12"/>
  <c r="AA74" i="12"/>
  <c r="AG80" i="12"/>
  <c r="AN73" i="12"/>
  <c r="K75" i="12"/>
  <c r="Z75" i="12"/>
  <c r="AG72" i="12"/>
  <c r="AJ73" i="12"/>
  <c r="AW59" i="12"/>
  <c r="R55" i="12"/>
  <c r="AI55" i="12"/>
  <c r="T62" i="12"/>
  <c r="W62" i="12"/>
  <c r="AX61" i="12"/>
  <c r="AN55" i="12"/>
  <c r="AC55" i="12"/>
  <c r="I62" i="12"/>
  <c r="AB62" i="12"/>
  <c r="T60" i="12"/>
  <c r="AX62" i="12"/>
  <c r="K62" i="12"/>
  <c r="Q62" i="12"/>
  <c r="AR56" i="12"/>
  <c r="AU56" i="12"/>
  <c r="L56" i="12"/>
  <c r="AA65" i="12"/>
  <c r="AG65" i="12"/>
  <c r="AQ65" i="12"/>
  <c r="AY64" i="12"/>
  <c r="AG64" i="12"/>
  <c r="K64" i="12"/>
  <c r="V56" i="12"/>
  <c r="AW57" i="12"/>
  <c r="AS57" i="12"/>
  <c r="Q58" i="12"/>
  <c r="AC58" i="12"/>
  <c r="Y56" i="12"/>
  <c r="H58" i="12"/>
  <c r="AN60" i="12"/>
  <c r="AT60" i="12"/>
  <c r="V59" i="12"/>
  <c r="AS63" i="12"/>
  <c r="AL62" i="12"/>
  <c r="AR64" i="12"/>
  <c r="AC57" i="12"/>
  <c r="N58" i="12"/>
  <c r="AK64" i="12"/>
  <c r="AS55" i="12"/>
  <c r="L60" i="12"/>
  <c r="AW55" i="12"/>
  <c r="W57" i="12"/>
  <c r="M55" i="12"/>
  <c r="J55" i="12"/>
  <c r="AZ61" i="12"/>
  <c r="R60" i="12"/>
  <c r="AU63" i="12"/>
  <c r="I61" i="12"/>
  <c r="AT63" i="12"/>
  <c r="P56" i="12"/>
  <c r="BA65" i="12"/>
  <c r="AU65" i="12"/>
  <c r="AC64" i="12"/>
  <c r="R57" i="12"/>
  <c r="S58" i="12"/>
  <c r="AN58" i="12"/>
  <c r="J60" i="12"/>
  <c r="AF60" i="12"/>
  <c r="AJ58" i="12"/>
  <c r="AL60" i="12"/>
  <c r="AF62" i="12"/>
  <c r="AK60" i="12"/>
  <c r="O61" i="12"/>
  <c r="G56" i="12"/>
  <c r="AQ56" i="12"/>
  <c r="AI65" i="12"/>
  <c r="AF65" i="12"/>
  <c r="N64" i="12"/>
  <c r="J64" i="12"/>
  <c r="V65" i="12"/>
  <c r="AV57" i="12"/>
  <c r="AX57" i="12"/>
  <c r="AX58" i="12"/>
  <c r="AI64" i="12"/>
  <c r="AK56" i="12"/>
  <c r="AY60" i="12"/>
  <c r="AL63" i="12"/>
  <c r="AT59" i="12"/>
  <c r="AV61" i="12"/>
  <c r="O59" i="12"/>
  <c r="R63" i="12"/>
  <c r="AP62" i="12"/>
  <c r="AD55" i="12"/>
  <c r="AP60" i="12"/>
  <c r="L62" i="12"/>
  <c r="U61" i="12"/>
  <c r="AH61" i="12"/>
  <c r="AW56" i="12"/>
  <c r="AX64" i="12"/>
  <c r="Y64" i="12"/>
  <c r="W64" i="12"/>
  <c r="V57" i="12"/>
  <c r="H55" i="12"/>
  <c r="V63" i="12"/>
  <c r="AY62" i="12"/>
  <c r="S63" i="12"/>
  <c r="N55" i="12"/>
  <c r="AL61" i="12"/>
  <c r="AQ63" i="12"/>
  <c r="V61" i="12"/>
  <c r="AS62" i="12"/>
  <c r="S62" i="12"/>
  <c r="O56" i="12"/>
  <c r="AW65" i="12"/>
  <c r="S56" i="12"/>
  <c r="AF64" i="12"/>
  <c r="AP64" i="12"/>
  <c r="AZ57" i="12"/>
  <c r="Q57" i="12"/>
  <c r="P58" i="12"/>
  <c r="AI56" i="12"/>
  <c r="W60" i="12"/>
  <c r="T64" i="12"/>
  <c r="Z62" i="12"/>
  <c r="AY63" i="12"/>
  <c r="AZ63" i="12"/>
  <c r="W55" i="12"/>
  <c r="AM63" i="12"/>
  <c r="AJ61" i="12"/>
  <c r="AT55" i="12"/>
  <c r="J63" i="12"/>
  <c r="AL57" i="12"/>
  <c r="AF61" i="12"/>
  <c r="AB63" i="12"/>
  <c r="AR62" i="12"/>
  <c r="AW62" i="12"/>
  <c r="AF56" i="12"/>
  <c r="AD56" i="12"/>
  <c r="BA64" i="12"/>
  <c r="N65" i="12"/>
  <c r="R65" i="12"/>
  <c r="I65" i="12"/>
  <c r="AM64" i="12"/>
  <c r="R64" i="12"/>
  <c r="BA56" i="12"/>
  <c r="AH57" i="12"/>
  <c r="AI58" i="12"/>
  <c r="S57" i="12"/>
  <c r="X60" i="12"/>
  <c r="AU60" i="12"/>
  <c r="V58" i="12"/>
  <c r="G63" i="12"/>
  <c r="BA55" i="12"/>
  <c r="AP63" i="12"/>
  <c r="AS61" i="12"/>
  <c r="T56" i="12"/>
  <c r="AX65" i="12"/>
  <c r="AX56" i="12"/>
  <c r="AA64" i="12"/>
  <c r="AQ64" i="12"/>
  <c r="V64" i="12"/>
  <c r="AR57" i="12"/>
  <c r="AS58" i="12"/>
  <c r="AL65" i="12"/>
  <c r="AG55" i="12"/>
  <c r="AX63" i="12"/>
  <c r="T61" i="12"/>
  <c r="AO55" i="12"/>
  <c r="AN63" i="12"/>
  <c r="AA61" i="12"/>
  <c r="AQ61" i="12"/>
  <c r="AO65" i="12"/>
  <c r="H64" i="12"/>
  <c r="I64" i="12"/>
  <c r="AB58" i="12"/>
  <c r="U55" i="12"/>
  <c r="AK57" i="12"/>
  <c r="X55" i="12"/>
  <c r="AM62" i="12"/>
  <c r="Z63" i="12"/>
  <c r="AD62" i="12"/>
  <c r="AC56" i="12"/>
  <c r="AC65" i="12"/>
  <c r="T65" i="12"/>
  <c r="M65" i="12"/>
  <c r="K56" i="12"/>
  <c r="AU64" i="12"/>
  <c r="W56" i="12"/>
  <c r="AG57" i="12"/>
  <c r="AH58" i="12"/>
  <c r="L58" i="12"/>
  <c r="AJ65" i="12"/>
  <c r="AM60" i="12"/>
  <c r="N59" i="12"/>
  <c r="Z59" i="12"/>
  <c r="AY59" i="12"/>
  <c r="Y55" i="12"/>
  <c r="K55" i="12"/>
  <c r="AK58" i="12"/>
  <c r="U58" i="12"/>
  <c r="AH56" i="12"/>
  <c r="P65" i="12"/>
  <c r="AT65" i="12"/>
  <c r="AL64" i="12"/>
  <c r="W65" i="12"/>
  <c r="AP58" i="12"/>
  <c r="T58" i="12"/>
  <c r="AU59" i="12"/>
  <c r="AY55" i="12"/>
  <c r="AJ57" i="12"/>
  <c r="N63" i="12"/>
  <c r="AV55" i="12"/>
  <c r="AD59" i="12"/>
  <c r="AK62" i="12"/>
  <c r="AP55" i="12"/>
  <c r="AQ60" i="12"/>
  <c r="U60" i="12"/>
  <c r="W63" i="12"/>
  <c r="R56" i="12"/>
  <c r="AZ65" i="12"/>
  <c r="AE65" i="12"/>
  <c r="Z64" i="12"/>
  <c r="AM56" i="12"/>
  <c r="AB57" i="12"/>
  <c r="AO58" i="12"/>
  <c r="T57" i="12"/>
  <c r="V60" i="12"/>
  <c r="AX55" i="12"/>
  <c r="AW60" i="12"/>
  <c r="AN65" i="12"/>
  <c r="J56" i="12"/>
  <c r="J58" i="12"/>
  <c r="AW63" i="12"/>
  <c r="W61" i="12"/>
  <c r="X58" i="12"/>
  <c r="AK61" i="12"/>
  <c r="AG61" i="12"/>
  <c r="AE56" i="12"/>
  <c r="AB65" i="12"/>
  <c r="AW64" i="12"/>
  <c r="AA57" i="12"/>
  <c r="AA60" i="12"/>
  <c r="V62" i="12"/>
  <c r="AA55" i="12"/>
  <c r="AA62" i="12"/>
  <c r="N62" i="12"/>
  <c r="O65" i="12"/>
  <c r="H65" i="12"/>
  <c r="AM61" i="12"/>
  <c r="X63" i="12"/>
  <c r="AY65" i="12"/>
  <c r="K65" i="12"/>
  <c r="S64" i="12"/>
  <c r="U64" i="12"/>
  <c r="AF57" i="12"/>
  <c r="AM59" i="12"/>
  <c r="P55" i="12"/>
  <c r="AN59" i="12"/>
  <c r="AQ55" i="12"/>
  <c r="M56" i="12"/>
  <c r="AM65" i="12"/>
  <c r="AV64" i="12"/>
  <c r="O57" i="12"/>
  <c r="AV58" i="12"/>
  <c r="U57" i="12"/>
  <c r="AA59" i="12"/>
  <c r="AU55" i="12"/>
  <c r="S60" i="12"/>
  <c r="AH65" i="12"/>
  <c r="AN57" i="12"/>
  <c r="AA58" i="12"/>
  <c r="AR55" i="12"/>
  <c r="AG59" i="12"/>
  <c r="I63" i="12"/>
  <c r="AO61" i="12"/>
  <c r="AD63" i="12"/>
  <c r="AL56" i="12"/>
  <c r="Z57" i="12"/>
  <c r="AS56" i="12"/>
  <c r="AR65" i="12"/>
  <c r="AE64" i="12"/>
  <c r="AF58" i="12"/>
  <c r="Z58" i="12"/>
  <c r="T55" i="12"/>
  <c r="AR59" i="12"/>
  <c r="AM55" i="12"/>
  <c r="AE55" i="12"/>
  <c r="AQ62" i="12"/>
  <c r="AO56" i="12"/>
  <c r="AN64" i="12"/>
  <c r="AM57" i="12"/>
  <c r="Z60" i="12"/>
  <c r="H59" i="12"/>
  <c r="AI61" i="12"/>
  <c r="AR63" i="12"/>
  <c r="O60" i="12"/>
  <c r="Y65" i="12"/>
  <c r="AS64" i="12"/>
  <c r="X57" i="12"/>
  <c r="AQ58" i="12"/>
  <c r="K60" i="12"/>
  <c r="V55" i="12"/>
  <c r="X59" i="12"/>
  <c r="AQ59" i="12"/>
  <c r="H56" i="12"/>
  <c r="AV65" i="12"/>
  <c r="AD64" i="12"/>
  <c r="X65" i="12"/>
  <c r="AZ60" i="12"/>
  <c r="AP59" i="12"/>
  <c r="AK55" i="12"/>
  <c r="K59" i="12"/>
  <c r="Z55" i="12"/>
  <c r="AW61" i="12"/>
  <c r="AN61" i="12"/>
  <c r="L61" i="12"/>
  <c r="J61" i="12"/>
  <c r="AV56" i="12"/>
  <c r="L65" i="12"/>
  <c r="M64" i="12"/>
  <c r="AQ57" i="12"/>
  <c r="G58" i="12"/>
  <c r="AR60" i="12"/>
  <c r="AZ55" i="12"/>
  <c r="AN62" i="12"/>
  <c r="AX60" i="12"/>
  <c r="AB61" i="12"/>
  <c r="AS65" i="12"/>
  <c r="AY56" i="12"/>
  <c r="AW58" i="12"/>
  <c r="AJ64" i="12"/>
  <c r="AK63" i="12"/>
  <c r="AO57" i="12"/>
  <c r="AF63" i="12"/>
  <c r="L55" i="12"/>
  <c r="AU61" i="12"/>
  <c r="Q56" i="12"/>
  <c r="AD65" i="12"/>
  <c r="AH64" i="12"/>
  <c r="AU57" i="12"/>
  <c r="AG58" i="12"/>
  <c r="AK65" i="12"/>
  <c r="AS60" i="12"/>
  <c r="U63" i="12"/>
  <c r="L63" i="12"/>
  <c r="S55" i="12"/>
  <c r="AI63" i="12"/>
  <c r="AB55" i="12"/>
  <c r="R62" i="12"/>
  <c r="AA56" i="12"/>
  <c r="O58" i="12"/>
  <c r="AJ56" i="12"/>
  <c r="AV63" i="12"/>
  <c r="AO62" i="12"/>
  <c r="AP61" i="12"/>
  <c r="AI62" i="12"/>
  <c r="K61" i="12"/>
  <c r="J65" i="12"/>
  <c r="U65" i="12"/>
  <c r="AB60" i="12"/>
  <c r="AJ63" i="12"/>
  <c r="W58" i="12"/>
  <c r="AZ62" i="12"/>
  <c r="X61" i="12"/>
  <c r="AJ62" i="12"/>
  <c r="AP56" i="12"/>
  <c r="AZ56" i="12"/>
  <c r="P64" i="12"/>
  <c r="X56" i="12"/>
  <c r="AO64" i="12"/>
  <c r="T63" i="12"/>
  <c r="AE63" i="12"/>
  <c r="AO63" i="12"/>
  <c r="AR61" i="12"/>
  <c r="AB56" i="12"/>
  <c r="S65" i="12"/>
  <c r="AT64" i="12"/>
  <c r="AR58" i="12"/>
  <c r="K58" i="12"/>
  <c r="AP65" i="12"/>
  <c r="AF55" i="12"/>
  <c r="AA63" i="12"/>
  <c r="AH55" i="12"/>
  <c r="G59" i="12"/>
  <c r="AL55" i="12"/>
  <c r="O55" i="12"/>
  <c r="AE62" i="12"/>
  <c r="J62" i="12"/>
  <c r="N56" i="12"/>
  <c r="AZ64" i="12"/>
  <c r="AY57" i="12"/>
  <c r="AO60" i="12"/>
  <c r="K63" i="12"/>
  <c r="U62" i="12"/>
  <c r="AU62" i="12"/>
  <c r="AG56" i="12"/>
  <c r="Z65" i="12"/>
  <c r="L64" i="12"/>
  <c r="R58" i="12"/>
  <c r="AM58" i="12"/>
  <c r="G55" i="12"/>
  <c r="M59" i="12"/>
  <c r="AO59" i="12"/>
  <c r="AL58" i="12"/>
  <c r="U56" i="12"/>
  <c r="AN56" i="12"/>
  <c r="AB64" i="12"/>
  <c r="X64" i="12"/>
  <c r="AL59" i="12"/>
  <c r="I55" i="12"/>
  <c r="AB59" i="12"/>
  <c r="AP57" i="12"/>
  <c r="Z61" i="12"/>
  <c r="Z56" i="12"/>
  <c r="O64" i="12"/>
  <c r="K57" i="12"/>
  <c r="AE58" i="12"/>
  <c r="AJ55" i="12"/>
  <c r="W48" i="12"/>
  <c r="S48" i="12"/>
  <c r="AW46" i="12"/>
  <c r="AK47" i="12"/>
  <c r="AE28" i="12"/>
  <c r="AJ27" i="12"/>
  <c r="AN47" i="12"/>
  <c r="AD33" i="12"/>
  <c r="AG45" i="12"/>
  <c r="AS41" i="12"/>
  <c r="I42" i="12"/>
  <c r="AN33" i="12"/>
  <c r="H25" i="12"/>
  <c r="AV40" i="12"/>
  <c r="AF44" i="12"/>
  <c r="W44" i="12"/>
  <c r="L43" i="12"/>
  <c r="R41" i="12"/>
  <c r="Z48" i="12"/>
  <c r="L47" i="12"/>
  <c r="AJ45" i="12"/>
  <c r="AQ43" i="12"/>
  <c r="AN42" i="12"/>
  <c r="V42" i="12"/>
  <c r="AB50" i="12"/>
  <c r="AX40" i="12"/>
  <c r="AM49" i="12"/>
  <c r="AJ40" i="12"/>
  <c r="X49" i="12"/>
  <c r="AW41" i="12"/>
  <c r="AR50" i="12"/>
  <c r="AS50" i="12"/>
  <c r="AI43" i="12"/>
  <c r="AC40" i="12"/>
  <c r="X45" i="12"/>
  <c r="AT49" i="12"/>
  <c r="AN43" i="12"/>
  <c r="AA48" i="12"/>
  <c r="X41" i="12"/>
  <c r="AO43" i="12"/>
  <c r="AW50" i="12"/>
  <c r="I44" i="12"/>
  <c r="AX50" i="12"/>
  <c r="AZ29" i="12"/>
  <c r="AE32" i="12"/>
  <c r="AA31" i="12"/>
  <c r="AU31" i="12"/>
  <c r="AP30" i="12"/>
  <c r="AI31" i="12"/>
  <c r="J31" i="12"/>
  <c r="AO30" i="12"/>
  <c r="AB25" i="12"/>
  <c r="AV27" i="12"/>
  <c r="AJ34" i="12"/>
  <c r="Y34" i="12"/>
  <c r="G26" i="12"/>
  <c r="N25" i="12"/>
  <c r="V25" i="12"/>
  <c r="AN25" i="12"/>
  <c r="AS33" i="12"/>
  <c r="BA35" i="12"/>
  <c r="L35" i="12"/>
  <c r="N35" i="12"/>
  <c r="AS27" i="12"/>
  <c r="AN27" i="12"/>
  <c r="N26" i="12"/>
  <c r="J26" i="12"/>
  <c r="AF26" i="12"/>
  <c r="AN26" i="12"/>
  <c r="AP25" i="12"/>
  <c r="V30" i="12"/>
  <c r="T32" i="12"/>
  <c r="AV28" i="12"/>
  <c r="AL32" i="12"/>
  <c r="Z27" i="12"/>
  <c r="AG26" i="12"/>
  <c r="U27" i="12"/>
  <c r="W27" i="12"/>
  <c r="AL30" i="12"/>
  <c r="AJ32" i="12"/>
  <c r="AP41" i="12"/>
  <c r="AR42" i="12"/>
  <c r="AL28" i="12"/>
  <c r="G45" i="12"/>
  <c r="AO28" i="12"/>
  <c r="W42" i="12"/>
  <c r="AP44" i="12"/>
  <c r="S46" i="12"/>
  <c r="AS45" i="12"/>
  <c r="AF46" i="12"/>
  <c r="AR43" i="12"/>
  <c r="AY50" i="12"/>
  <c r="N49" i="12"/>
  <c r="I50" i="12"/>
  <c r="Y41" i="12"/>
  <c r="AB40" i="12"/>
  <c r="H41" i="12"/>
  <c r="AF50" i="12"/>
  <c r="P49" i="12"/>
  <c r="J45" i="12"/>
  <c r="AF40" i="12"/>
  <c r="V47" i="12"/>
  <c r="AI32" i="12"/>
  <c r="AT29" i="12"/>
  <c r="BA26" i="12"/>
  <c r="Z33" i="12"/>
  <c r="S43" i="12"/>
  <c r="X47" i="12"/>
  <c r="AQ41" i="12"/>
  <c r="AD42" i="12"/>
  <c r="M45" i="12"/>
  <c r="AX46" i="12"/>
  <c r="N28" i="12"/>
  <c r="AH40" i="12"/>
  <c r="AU40" i="12"/>
  <c r="X42" i="12"/>
  <c r="M44" i="12"/>
  <c r="AK44" i="12"/>
  <c r="AX43" i="12"/>
  <c r="T45" i="12"/>
  <c r="N45" i="12"/>
  <c r="AS47" i="12"/>
  <c r="K46" i="12"/>
  <c r="AK45" i="12"/>
  <c r="P43" i="12"/>
  <c r="Q43" i="12"/>
  <c r="O50" i="12"/>
  <c r="AL40" i="12"/>
  <c r="AA49" i="12"/>
  <c r="AZ40" i="12"/>
  <c r="AP49" i="12"/>
  <c r="AK41" i="12"/>
  <c r="J40" i="12"/>
  <c r="K40" i="12"/>
  <c r="V43" i="12"/>
  <c r="AQ40" i="12"/>
  <c r="I45" i="12"/>
  <c r="M50" i="12"/>
  <c r="AB45" i="12"/>
  <c r="AS48" i="12"/>
  <c r="AN41" i="12"/>
  <c r="H44" i="12"/>
  <c r="R40" i="12"/>
  <c r="K45" i="12"/>
  <c r="W46" i="12"/>
  <c r="AB33" i="12"/>
  <c r="T25" i="12"/>
  <c r="K33" i="12"/>
  <c r="AB26" i="12"/>
  <c r="L31" i="12"/>
  <c r="AP32" i="12"/>
  <c r="S30" i="12"/>
  <c r="K30" i="12"/>
  <c r="AC25" i="12"/>
  <c r="AZ34" i="12"/>
  <c r="K34" i="12"/>
  <c r="L34" i="12"/>
  <c r="I29" i="12"/>
  <c r="AX25" i="12"/>
  <c r="AS25" i="12"/>
  <c r="Q26" i="12"/>
  <c r="AV33" i="12"/>
  <c r="AO35" i="12"/>
  <c r="AV35" i="12"/>
  <c r="AX35" i="12"/>
  <c r="R27" i="12"/>
  <c r="AK26" i="12"/>
  <c r="S26" i="12"/>
  <c r="I30" i="12"/>
  <c r="AM48" i="12"/>
  <c r="Z47" i="12"/>
  <c r="AF43" i="12"/>
  <c r="AO47" i="12"/>
  <c r="L42" i="12"/>
  <c r="AZ42" i="12"/>
  <c r="V44" i="12"/>
  <c r="Z46" i="12"/>
  <c r="AC41" i="12"/>
  <c r="L46" i="12"/>
  <c r="R46" i="12"/>
  <c r="Z40" i="12"/>
  <c r="W49" i="12"/>
  <c r="Y40" i="12"/>
  <c r="AH43" i="12"/>
  <c r="AO45" i="12"/>
  <c r="AV45" i="12"/>
  <c r="AT42" i="12"/>
  <c r="AF45" i="12"/>
  <c r="AD30" i="12"/>
  <c r="AW44" i="12"/>
  <c r="AF34" i="12"/>
  <c r="AW28" i="12"/>
  <c r="AA28" i="12"/>
  <c r="AP48" i="12"/>
  <c r="AK46" i="12"/>
  <c r="M42" i="12"/>
  <c r="I47" i="12"/>
  <c r="L48" i="12"/>
  <c r="AG44" i="12"/>
  <c r="U44" i="12"/>
  <c r="O45" i="12"/>
  <c r="J46" i="12"/>
  <c r="Z45" i="12"/>
  <c r="AE48" i="12"/>
  <c r="AF41" i="12"/>
  <c r="T47" i="12"/>
  <c r="AK50" i="12"/>
  <c r="O49" i="12"/>
  <c r="H50" i="12"/>
  <c r="AN40" i="12"/>
  <c r="J50" i="12"/>
  <c r="G41" i="12"/>
  <c r="AS49" i="12"/>
  <c r="L44" i="12"/>
  <c r="O40" i="12"/>
  <c r="AK48" i="12"/>
  <c r="AS40" i="12"/>
  <c r="AW45" i="12"/>
  <c r="AA42" i="12"/>
  <c r="T50" i="12"/>
  <c r="AM33" i="12"/>
  <c r="U35" i="12"/>
  <c r="I31" i="12"/>
  <c r="AH31" i="12"/>
  <c r="R31" i="12"/>
  <c r="S31" i="12"/>
  <c r="AS32" i="12"/>
  <c r="R25" i="12"/>
  <c r="AI34" i="12"/>
  <c r="AT34" i="12"/>
  <c r="AH27" i="12"/>
  <c r="M25" i="12"/>
  <c r="AH25" i="12"/>
  <c r="AJ33" i="12"/>
  <c r="AZ35" i="12"/>
  <c r="W35" i="12"/>
  <c r="AQ35" i="12"/>
  <c r="AB27" i="12"/>
  <c r="M26" i="12"/>
  <c r="T26" i="12"/>
  <c r="L29" i="12"/>
  <c r="AY26" i="12"/>
  <c r="AS28" i="12"/>
  <c r="AX32" i="12"/>
  <c r="AZ30" i="12"/>
  <c r="AO31" i="12"/>
  <c r="AG43" i="12"/>
  <c r="AC43" i="12"/>
  <c r="AB43" i="12"/>
  <c r="AM28" i="12"/>
  <c r="AW32" i="12"/>
  <c r="N42" i="12"/>
  <c r="K48" i="12"/>
  <c r="AZ48" i="12"/>
  <c r="AQ44" i="12"/>
  <c r="AI44" i="12"/>
  <c r="AT45" i="12"/>
  <c r="AR46" i="12"/>
  <c r="AB46" i="12"/>
  <c r="AE41" i="12"/>
  <c r="U42" i="12"/>
  <c r="J48" i="12"/>
  <c r="AY40" i="12"/>
  <c r="AY49" i="12"/>
  <c r="X50" i="12"/>
  <c r="AX41" i="12"/>
  <c r="Z50" i="12"/>
  <c r="U41" i="12"/>
  <c r="L50" i="12"/>
  <c r="AP45" i="12"/>
  <c r="AD40" i="12"/>
  <c r="U48" i="12"/>
  <c r="J41" i="12"/>
  <c r="AB48" i="12"/>
  <c r="AQ42" i="12"/>
  <c r="AI50" i="12"/>
  <c r="BA30" i="12"/>
  <c r="AP31" i="12"/>
  <c r="AJ30" i="12"/>
  <c r="AW31" i="12"/>
  <c r="AJ31" i="12"/>
  <c r="AL31" i="12"/>
  <c r="AB30" i="12"/>
  <c r="AU27" i="12"/>
  <c r="W34" i="12"/>
  <c r="AG34" i="12"/>
  <c r="T34" i="12"/>
  <c r="X25" i="12"/>
  <c r="U25" i="12"/>
  <c r="T33" i="12"/>
  <c r="AB35" i="12"/>
  <c r="AT35" i="12"/>
  <c r="AT27" i="12"/>
  <c r="K27" i="12"/>
  <c r="AI26" i="12"/>
  <c r="AV26" i="12"/>
  <c r="AU29" i="12"/>
  <c r="AK27" i="12"/>
  <c r="T28" i="12"/>
  <c r="S28" i="12"/>
  <c r="J28" i="12"/>
  <c r="AZ47" i="12"/>
  <c r="L41" i="12"/>
  <c r="AM46" i="12"/>
  <c r="AU46" i="12"/>
  <c r="S47" i="12"/>
  <c r="V49" i="12"/>
  <c r="S41" i="12"/>
  <c r="J49" i="12"/>
  <c r="V45" i="12"/>
  <c r="R42" i="12"/>
  <c r="I48" i="12"/>
  <c r="AF32" i="12"/>
  <c r="AV31" i="12"/>
  <c r="AB31" i="12"/>
  <c r="AA30" i="12"/>
  <c r="AO25" i="12"/>
  <c r="Z34" i="12"/>
  <c r="AY27" i="12"/>
  <c r="Y25" i="12"/>
  <c r="N33" i="12"/>
  <c r="AL35" i="12"/>
  <c r="AR34" i="12"/>
  <c r="I33" i="12"/>
  <c r="AJ28" i="12"/>
  <c r="W31" i="12"/>
  <c r="AJ42" i="12"/>
  <c r="AA47" i="12"/>
  <c r="AM45" i="12"/>
  <c r="AQ47" i="12"/>
  <c r="U47" i="12"/>
  <c r="AB42" i="12"/>
  <c r="AP46" i="12"/>
  <c r="R47" i="12"/>
  <c r="AN50" i="12"/>
  <c r="AK49" i="12"/>
  <c r="AG41" i="12"/>
  <c r="J43" i="12"/>
  <c r="X43" i="12"/>
  <c r="Z42" i="12"/>
  <c r="AD48" i="12"/>
  <c r="R35" i="12"/>
  <c r="U32" i="12"/>
  <c r="N30" i="12"/>
  <c r="AQ25" i="12"/>
  <c r="N34" i="12"/>
  <c r="M34" i="12"/>
  <c r="L25" i="12"/>
  <c r="Z35" i="12"/>
  <c r="Y26" i="12"/>
  <c r="O26" i="12"/>
  <c r="V32" i="12"/>
  <c r="AU42" i="12"/>
  <c r="AR41" i="12"/>
  <c r="T40" i="12"/>
  <c r="AY42" i="12"/>
  <c r="X44" i="12"/>
  <c r="I46" i="12"/>
  <c r="K47" i="12"/>
  <c r="AM27" i="12"/>
  <c r="Z28" i="12"/>
  <c r="U50" i="12"/>
  <c r="AM31" i="12"/>
  <c r="AN48" i="12"/>
  <c r="AL46" i="12"/>
  <c r="AA33" i="12"/>
  <c r="AY48" i="12"/>
  <c r="Q28" i="12"/>
  <c r="AB44" i="12"/>
  <c r="S44" i="12"/>
  <c r="AN46" i="12"/>
  <c r="R45" i="12"/>
  <c r="N47" i="12"/>
  <c r="T42" i="12"/>
  <c r="AL45" i="12"/>
  <c r="BA50" i="12"/>
  <c r="AM40" i="12"/>
  <c r="AX49" i="12"/>
  <c r="AP50" i="12"/>
  <c r="AL41" i="12"/>
  <c r="AO40" i="12"/>
  <c r="AI41" i="12"/>
  <c r="AE50" i="12"/>
  <c r="W45" i="12"/>
  <c r="AR40" i="12"/>
  <c r="AV48" i="12"/>
  <c r="AG42" i="12"/>
  <c r="AT48" i="12"/>
  <c r="K43" i="12"/>
  <c r="AL47" i="12"/>
  <c r="R32" i="12"/>
  <c r="AY33" i="12"/>
  <c r="O30" i="12"/>
  <c r="W32" i="12"/>
  <c r="AZ32" i="12"/>
  <c r="I32" i="12"/>
  <c r="V31" i="12"/>
  <c r="AN34" i="12"/>
  <c r="AH34" i="12"/>
  <c r="AW27" i="12"/>
  <c r="BA34" i="12"/>
  <c r="AU25" i="12"/>
  <c r="AX33" i="12"/>
  <c r="AU33" i="12"/>
  <c r="O35" i="12"/>
  <c r="V35" i="12"/>
  <c r="AG27" i="12"/>
  <c r="AR27" i="12"/>
  <c r="AH26" i="12"/>
  <c r="AJ26" i="12"/>
  <c r="H34" i="12"/>
  <c r="AC34" i="12"/>
  <c r="AX30" i="12"/>
  <c r="AG28" i="12"/>
  <c r="W28" i="12"/>
  <c r="AP33" i="12"/>
  <c r="AQ32" i="12"/>
  <c r="AR32" i="12"/>
  <c r="O34" i="12"/>
  <c r="AX27" i="12"/>
  <c r="S33" i="12"/>
  <c r="Y35" i="12"/>
  <c r="I26" i="12"/>
  <c r="L26" i="12"/>
  <c r="AZ26" i="12"/>
  <c r="AH28" i="12"/>
  <c r="AZ28" i="12"/>
  <c r="T46" i="12"/>
  <c r="AW42" i="12"/>
  <c r="P28" i="12"/>
  <c r="AN44" i="12"/>
  <c r="AB47" i="12"/>
  <c r="X46" i="12"/>
  <c r="AG46" i="12"/>
  <c r="AV46" i="12"/>
  <c r="M40" i="12"/>
  <c r="AV41" i="12"/>
  <c r="AJ43" i="12"/>
  <c r="AF42" i="12"/>
  <c r="AX45" i="12"/>
  <c r="AR35" i="12"/>
  <c r="Q32" i="12"/>
  <c r="AF30" i="12"/>
  <c r="AE35" i="12"/>
  <c r="AE25" i="12"/>
  <c r="AY34" i="12"/>
  <c r="AL34" i="12"/>
  <c r="AP34" i="12"/>
  <c r="AK25" i="12"/>
  <c r="R33" i="12"/>
  <c r="J35" i="12"/>
  <c r="AA35" i="12"/>
  <c r="AC27" i="12"/>
  <c r="AU26" i="12"/>
  <c r="P34" i="12"/>
  <c r="I28" i="12"/>
  <c r="BA28" i="12"/>
  <c r="AO48" i="12"/>
  <c r="AQ48" i="12"/>
  <c r="AQ45" i="12"/>
  <c r="AZ50" i="12"/>
  <c r="U40" i="12"/>
  <c r="BA40" i="12"/>
  <c r="W43" i="12"/>
  <c r="AJ41" i="12"/>
  <c r="G43" i="12"/>
  <c r="AU49" i="12"/>
  <c r="AE33" i="12"/>
  <c r="L27" i="12"/>
  <c r="AW26" i="12"/>
  <c r="AT26" i="12"/>
  <c r="AZ41" i="12"/>
  <c r="AZ33" i="12"/>
  <c r="AJ25" i="12"/>
  <c r="L33" i="12"/>
  <c r="AN35" i="12"/>
  <c r="AO27" i="12"/>
  <c r="AQ33" i="12"/>
  <c r="AR28" i="12"/>
  <c r="AD44" i="12"/>
  <c r="AS46" i="12"/>
  <c r="AH42" i="12"/>
  <c r="AB28" i="12"/>
  <c r="AV44" i="12"/>
  <c r="AC42" i="12"/>
  <c r="Z31" i="12"/>
  <c r="AY32" i="12"/>
  <c r="AG40" i="12"/>
  <c r="AS43" i="12"/>
  <c r="AX28" i="12"/>
  <c r="AO44" i="12"/>
  <c r="T44" i="12"/>
  <c r="S45" i="12"/>
  <c r="V46" i="12"/>
  <c r="AE47" i="12"/>
  <c r="AM42" i="12"/>
  <c r="O46" i="12"/>
  <c r="AO50" i="12"/>
  <c r="AA40" i="12"/>
  <c r="AL49" i="12"/>
  <c r="H40" i="12"/>
  <c r="Z41" i="12"/>
  <c r="T41" i="12"/>
  <c r="AY41" i="12"/>
  <c r="AT50" i="12"/>
  <c r="H45" i="12"/>
  <c r="W41" i="12"/>
  <c r="AJ48" i="12"/>
  <c r="S42" i="12"/>
  <c r="R49" i="12"/>
  <c r="AA43" i="12"/>
  <c r="AP35" i="12"/>
  <c r="S32" i="12"/>
  <c r="AR31" i="12"/>
  <c r="AK30" i="12"/>
  <c r="AO32" i="12"/>
  <c r="Z32" i="12"/>
  <c r="AA32" i="12"/>
  <c r="K32" i="12"/>
  <c r="AB34" i="12"/>
  <c r="I34" i="12"/>
  <c r="AE26" i="12"/>
  <c r="AY25" i="12"/>
  <c r="W25" i="12"/>
  <c r="AL33" i="12"/>
  <c r="AI33" i="12"/>
  <c r="AW35" i="12"/>
  <c r="AY35" i="12"/>
  <c r="S27" i="12"/>
  <c r="AD27" i="12"/>
  <c r="AS26" i="12"/>
  <c r="X26" i="12"/>
  <c r="AM26" i="12"/>
  <c r="O25" i="12"/>
  <c r="H28" i="12"/>
  <c r="G28" i="12"/>
  <c r="AK28" i="12"/>
  <c r="BA49" i="12"/>
  <c r="AY28" i="12"/>
  <c r="AY44" i="12"/>
  <c r="AE43" i="12"/>
  <c r="AD34" i="12"/>
  <c r="S40" i="12"/>
  <c r="K42" i="12"/>
  <c r="N43" i="12"/>
  <c r="AD28" i="12"/>
  <c r="AA44" i="12"/>
  <c r="X28" i="12"/>
  <c r="AO46" i="12"/>
  <c r="AY45" i="12"/>
  <c r="AU47" i="12"/>
  <c r="O43" i="12"/>
  <c r="AH46" i="12"/>
  <c r="AC50" i="12"/>
  <c r="N40" i="12"/>
  <c r="Z49" i="12"/>
  <c r="W40" i="12"/>
  <c r="N41" i="12"/>
  <c r="AH41" i="12"/>
  <c r="AV43" i="12"/>
  <c r="L40" i="12"/>
  <c r="AZ45" i="12"/>
  <c r="AM41" i="12"/>
  <c r="T48" i="12"/>
  <c r="AS42" i="12"/>
  <c r="AG49" i="12"/>
  <c r="AP43" i="12"/>
  <c r="AD35" i="12"/>
  <c r="AQ31" i="12"/>
  <c r="K31" i="12"/>
  <c r="T35" i="12"/>
  <c r="AD25" i="12"/>
  <c r="AX34" i="12"/>
  <c r="AM25" i="12"/>
  <c r="AW25" i="12"/>
  <c r="V33" i="12"/>
  <c r="AM35" i="12"/>
  <c r="O27" i="12"/>
  <c r="Q27" i="12"/>
  <c r="V27" i="12"/>
  <c r="U28" i="12"/>
  <c r="J30" i="12"/>
  <c r="AG35" i="12"/>
  <c r="K28" i="12"/>
  <c r="AJ46" i="12"/>
  <c r="L28" i="12"/>
  <c r="AW43" i="12"/>
  <c r="AD32" i="12"/>
  <c r="AD41" i="12"/>
  <c r="P50" i="12"/>
  <c r="M49" i="12"/>
  <c r="AK40" i="12"/>
  <c r="M41" i="12"/>
  <c r="V41" i="12"/>
  <c r="AN45" i="12"/>
  <c r="BA41" i="12"/>
  <c r="AF49" i="12"/>
  <c r="AV49" i="12"/>
  <c r="S25" i="12"/>
  <c r="AG31" i="12"/>
  <c r="AW30" i="12"/>
  <c r="AA25" i="12"/>
  <c r="AF33" i="12"/>
  <c r="AP27" i="12"/>
  <c r="H26" i="12"/>
  <c r="AL27" i="12"/>
  <c r="AI28" i="12"/>
  <c r="Z30" i="12"/>
  <c r="AJ50" i="12"/>
  <c r="R43" i="12"/>
  <c r="AN28" i="12"/>
  <c r="AQ28" i="12"/>
  <c r="Z44" i="12"/>
  <c r="AB41" i="12"/>
  <c r="Q42" i="12"/>
  <c r="S50" i="12"/>
  <c r="AY30" i="12"/>
  <c r="W33" i="12"/>
  <c r="AS31" i="12"/>
  <c r="AM34" i="12"/>
  <c r="Z25" i="12"/>
  <c r="AH35" i="12"/>
  <c r="AZ27" i="12"/>
  <c r="AU28" i="12"/>
  <c r="AU30" i="12"/>
  <c r="Q41" i="12"/>
  <c r="J33" i="12"/>
  <c r="AE34" i="12"/>
  <c r="AM44" i="12"/>
  <c r="U45" i="12"/>
  <c r="AL42" i="12"/>
  <c r="AJ47" i="12"/>
  <c r="AI40" i="12"/>
  <c r="H49" i="12"/>
  <c r="AC49" i="12"/>
  <c r="AA45" i="12"/>
  <c r="R50" i="12"/>
  <c r="AH50" i="12"/>
  <c r="AY29" i="12"/>
  <c r="AF31" i="12"/>
  <c r="AT30" i="12"/>
  <c r="AQ34" i="12"/>
  <c r="AR33" i="12"/>
  <c r="T27" i="12"/>
  <c r="V26" i="12"/>
  <c r="W30" i="12"/>
  <c r="G40" i="12"/>
  <c r="AI45" i="12"/>
  <c r="AR48" i="12"/>
  <c r="N48" i="12"/>
  <c r="W47" i="12"/>
  <c r="BA25" i="12"/>
  <c r="AD26" i="12"/>
  <c r="T49" i="12"/>
  <c r="AR47" i="12"/>
  <c r="AJ49" i="12"/>
  <c r="V40" i="12"/>
  <c r="AD50" i="12"/>
  <c r="AE49" i="12"/>
  <c r="Z43" i="12"/>
  <c r="AD29" i="12"/>
  <c r="AC26" i="12"/>
  <c r="J32" i="12"/>
  <c r="AU34" i="12"/>
  <c r="AI25" i="12"/>
  <c r="K35" i="12"/>
  <c r="AL26" i="12"/>
  <c r="S34" i="12"/>
  <c r="X30" i="12"/>
  <c r="AU32" i="12"/>
  <c r="L32" i="12"/>
  <c r="AX44" i="12"/>
  <c r="AA46" i="12"/>
  <c r="AI46" i="12"/>
  <c r="AO49" i="12"/>
  <c r="AP40" i="12"/>
  <c r="AU50" i="12"/>
  <c r="AD45" i="12"/>
  <c r="BA29" i="12"/>
  <c r="R30" i="12"/>
  <c r="AB32" i="12"/>
  <c r="J34" i="12"/>
  <c r="J25" i="12"/>
  <c r="AU35" i="12"/>
  <c r="Z26" i="12"/>
  <c r="R26" i="12"/>
  <c r="AN30" i="12"/>
  <c r="Y49" i="12"/>
  <c r="V34" i="12"/>
  <c r="AG25" i="12"/>
  <c r="AF27" i="12"/>
  <c r="AK31" i="12"/>
  <c r="N44" i="12"/>
  <c r="AA34" i="12"/>
  <c r="P35" i="12"/>
  <c r="AV29" i="12"/>
  <c r="L45" i="12"/>
  <c r="AR49" i="12"/>
  <c r="H29" i="12"/>
  <c r="AW34" i="12"/>
  <c r="AO34" i="12"/>
  <c r="AO26" i="12"/>
  <c r="J47" i="12"/>
  <c r="AI48" i="12"/>
  <c r="H30" i="12"/>
  <c r="AK34" i="12"/>
  <c r="X35" i="12"/>
  <c r="AC28" i="12"/>
  <c r="N32" i="12"/>
  <c r="AR44" i="12"/>
  <c r="AK42" i="12"/>
  <c r="AM50" i="12"/>
  <c r="Y50" i="12"/>
  <c r="T43" i="12"/>
  <c r="AX48" i="12"/>
  <c r="AT40" i="12"/>
  <c r="AQ26" i="12"/>
  <c r="AQ30" i="12"/>
  <c r="AR25" i="12"/>
  <c r="R34" i="12"/>
  <c r="AW33" i="12"/>
  <c r="M35" i="12"/>
  <c r="W26" i="12"/>
  <c r="H35" i="12"/>
  <c r="AW47" i="12"/>
  <c r="AW48" i="12"/>
  <c r="AM32" i="12"/>
  <c r="AR30" i="12"/>
  <c r="AP26" i="12"/>
  <c r="I35" i="12"/>
  <c r="AF28" i="12"/>
  <c r="O28" i="12"/>
  <c r="AI47" i="12"/>
  <c r="AU41" i="12"/>
  <c r="U43" i="12"/>
  <c r="AU48" i="12"/>
  <c r="AZ31" i="12"/>
  <c r="AT25" i="12"/>
  <c r="AA27" i="12"/>
  <c r="AW29" i="12"/>
  <c r="AU44" i="12"/>
  <c r="U49" i="12"/>
  <c r="AM43" i="12"/>
  <c r="AV50" i="12"/>
  <c r="AV30" i="12"/>
  <c r="I25" i="12"/>
  <c r="U34" i="12"/>
  <c r="U31" i="12"/>
  <c r="AM47" i="12"/>
  <c r="AR45" i="12"/>
  <c r="P40" i="12"/>
  <c r="AF35" i="12"/>
  <c r="AK43" i="12"/>
  <c r="AI49" i="12"/>
  <c r="AQ49" i="12"/>
  <c r="AE40" i="12"/>
  <c r="L30" i="12"/>
  <c r="AX31" i="12"/>
  <c r="AD47" i="12"/>
  <c r="W50" i="12"/>
  <c r="AP42" i="12"/>
  <c r="AN32" i="12"/>
  <c r="AJ35" i="12"/>
  <c r="U46" i="12"/>
  <c r="K50" i="12"/>
  <c r="H43" i="12"/>
  <c r="S35" i="12"/>
  <c r="K25" i="12"/>
  <c r="X27" i="12"/>
  <c r="O41" i="12"/>
  <c r="AZ46" i="12"/>
  <c r="G44" i="12"/>
  <c r="Q47" i="12"/>
  <c r="AA50" i="12"/>
  <c r="AQ50" i="12"/>
  <c r="AL43" i="12"/>
  <c r="AL48" i="12"/>
  <c r="K41" i="12"/>
  <c r="AK32" i="12"/>
  <c r="O31" i="12"/>
  <c r="P25" i="12"/>
  <c r="AS34" i="12"/>
  <c r="AK33" i="12"/>
  <c r="AK35" i="12"/>
  <c r="K26" i="12"/>
  <c r="AS35" i="12"/>
  <c r="P41" i="12"/>
  <c r="AP47" i="12"/>
  <c r="AL44" i="12"/>
  <c r="AF47" i="12"/>
  <c r="N50" i="12"/>
  <c r="I40" i="12"/>
  <c r="K49" i="12"/>
  <c r="V48" i="12"/>
  <c r="AA41" i="12"/>
  <c r="AA26" i="12"/>
  <c r="T30" i="12"/>
  <c r="AZ25" i="12"/>
  <c r="P26" i="12"/>
  <c r="U33" i="12"/>
  <c r="AI35" i="12"/>
  <c r="U26" i="12"/>
  <c r="R28" i="12"/>
  <c r="AV42" i="12"/>
  <c r="AO42" i="12"/>
  <c r="AJ44" i="12"/>
  <c r="V50" i="12"/>
  <c r="X40" i="12"/>
  <c r="AD49" i="12"/>
  <c r="AO41" i="12"/>
  <c r="AF25" i="12"/>
  <c r="AT33" i="12"/>
  <c r="AR26" i="12"/>
  <c r="AT44" i="12"/>
  <c r="R48" i="12"/>
  <c r="AW40" i="12"/>
  <c r="AG50" i="12"/>
  <c r="X33" i="12"/>
  <c r="AV34" i="12"/>
  <c r="AO33" i="12"/>
  <c r="AM30" i="12"/>
  <c r="AP28" i="12"/>
  <c r="AX47" i="12"/>
  <c r="AZ49" i="12"/>
  <c r="I49" i="12"/>
  <c r="S49" i="12"/>
  <c r="X32" i="12"/>
  <c r="X34" i="12"/>
  <c r="I27" i="12"/>
  <c r="N29" i="12"/>
  <c r="AX42" i="12"/>
  <c r="AF48" i="12"/>
  <c r="AN49" i="12"/>
  <c r="O44" i="12"/>
  <c r="AH49" i="12"/>
  <c r="U30" i="12"/>
  <c r="AC35" i="12"/>
  <c r="O29" i="12"/>
  <c r="X48" i="12"/>
  <c r="AQ46" i="12"/>
  <c r="AB49" i="12"/>
  <c r="AW49" i="12"/>
  <c r="AS30" i="12"/>
  <c r="AL25" i="12"/>
  <c r="AQ27" i="12"/>
  <c r="X31" i="12"/>
  <c r="AY47" i="12"/>
  <c r="AU45" i="12"/>
  <c r="T31" i="12"/>
  <c r="AV25" i="12"/>
  <c r="AT28" i="12"/>
  <c r="O42" i="12"/>
  <c r="AL50" i="12"/>
  <c r="L49" i="12"/>
  <c r="AN31" i="12"/>
  <c r="AX26" i="12"/>
  <c r="V28" i="12"/>
  <c r="AX87" i="12"/>
  <c r="S94" i="12"/>
  <c r="G92" i="12"/>
  <c r="M93" i="12"/>
  <c r="P95" i="12"/>
  <c r="L87" i="12"/>
  <c r="K90" i="12"/>
  <c r="AM85" i="12"/>
  <c r="N86" i="12"/>
  <c r="AB92" i="12"/>
  <c r="AM87" i="12"/>
  <c r="AL88" i="12"/>
  <c r="AC88" i="12"/>
  <c r="W86" i="12"/>
  <c r="AU93" i="12"/>
  <c r="X88" i="12"/>
  <c r="AG86" i="12"/>
  <c r="AF95" i="12"/>
  <c r="J85" i="12"/>
  <c r="Y91" i="12"/>
  <c r="M86" i="12"/>
  <c r="S92" i="12"/>
  <c r="AJ90" i="12"/>
  <c r="AQ95" i="12"/>
  <c r="AY87" i="12"/>
  <c r="AQ93" i="12"/>
  <c r="T92" i="12"/>
  <c r="AY93" i="12"/>
  <c r="P89" i="12"/>
  <c r="AW95" i="12"/>
  <c r="AS90" i="12"/>
  <c r="AV90" i="12"/>
  <c r="AH85" i="12"/>
  <c r="T94" i="12"/>
  <c r="G93" i="12"/>
  <c r="O93" i="12"/>
  <c r="R95" i="12"/>
  <c r="I88" i="12"/>
  <c r="Y90" i="12"/>
  <c r="AB94" i="12"/>
  <c r="K86" i="12"/>
  <c r="AW87" i="12"/>
  <c r="AS93" i="12"/>
  <c r="AK88" i="12"/>
  <c r="BA94" i="12"/>
  <c r="K88" i="12"/>
  <c r="V89" i="12"/>
  <c r="AQ94" i="12"/>
  <c r="AA88" i="12"/>
  <c r="AO89" i="12"/>
  <c r="AA89" i="12"/>
  <c r="AO95" i="12"/>
  <c r="Z86" i="12"/>
  <c r="AF92" i="12"/>
  <c r="AQ91" i="12"/>
  <c r="AE87" i="12"/>
  <c r="W87" i="12"/>
  <c r="AP93" i="12"/>
  <c r="AE93" i="12"/>
  <c r="AS89" i="12"/>
  <c r="AC89" i="12"/>
  <c r="AV95" i="12"/>
  <c r="U90" i="12"/>
  <c r="BA85" i="12"/>
  <c r="P85" i="12"/>
  <c r="X91" i="12"/>
  <c r="AO91" i="12"/>
  <c r="W95" i="12"/>
  <c r="AJ86" i="12"/>
  <c r="L91" i="12"/>
  <c r="AK89" i="12"/>
  <c r="T88" i="12"/>
  <c r="R88" i="12"/>
  <c r="AI94" i="12"/>
  <c r="AS88" i="12"/>
  <c r="AS95" i="12"/>
  <c r="AE86" i="12"/>
  <c r="AT94" i="12"/>
  <c r="AD90" i="12"/>
  <c r="AU89" i="12"/>
  <c r="AP86" i="12"/>
  <c r="L86" i="12"/>
  <c r="R92" i="12"/>
  <c r="AK92" i="12"/>
  <c r="S87" i="12"/>
  <c r="I87" i="12"/>
  <c r="AB93" i="12"/>
  <c r="AX93" i="12"/>
  <c r="AG89" i="12"/>
  <c r="O89" i="12"/>
  <c r="AH95" i="12"/>
  <c r="AO85" i="12"/>
  <c r="X85" i="12"/>
  <c r="H91" i="12"/>
  <c r="M85" i="12"/>
  <c r="AV91" i="12"/>
  <c r="X90" i="12"/>
  <c r="H88" i="12"/>
  <c r="AP88" i="12"/>
  <c r="U94" i="12"/>
  <c r="Q93" i="12"/>
  <c r="Q91" i="12"/>
  <c r="W85" i="12"/>
  <c r="AV87" i="12"/>
  <c r="AJ88" i="12"/>
  <c r="AD86" i="12"/>
  <c r="AS92" i="12"/>
  <c r="AW93" i="12"/>
  <c r="Y95" i="12"/>
  <c r="U89" i="12"/>
  <c r="AY95" i="12"/>
  <c r="AO90" i="12"/>
  <c r="AC85" i="12"/>
  <c r="AK95" i="12"/>
  <c r="AK91" i="12"/>
  <c r="AR85" i="12"/>
  <c r="AV85" i="12"/>
  <c r="Q89" i="12"/>
  <c r="AN92" i="12"/>
  <c r="AP90" i="12"/>
  <c r="AQ88" i="12"/>
  <c r="AV88" i="12"/>
  <c r="AC91" i="12"/>
  <c r="J94" i="12"/>
  <c r="T93" i="12"/>
  <c r="R93" i="12"/>
  <c r="H95" i="12"/>
  <c r="AK85" i="12"/>
  <c r="V87" i="12"/>
  <c r="AH94" i="12"/>
  <c r="AC87" i="12"/>
  <c r="T85" i="12"/>
  <c r="S91" i="12"/>
  <c r="AE92" i="12"/>
  <c r="AK93" i="12"/>
  <c r="AR95" i="12"/>
  <c r="AM95" i="12"/>
  <c r="AA90" i="12"/>
  <c r="U91" i="12"/>
  <c r="AI86" i="12"/>
  <c r="AD91" i="12"/>
  <c r="X94" i="12"/>
  <c r="V94" i="12"/>
  <c r="AU95" i="12"/>
  <c r="AE91" i="12"/>
  <c r="I86" i="12"/>
  <c r="AL93" i="12"/>
  <c r="AY94" i="12"/>
  <c r="AZ92" i="12"/>
  <c r="J89" i="12"/>
  <c r="AN95" i="12"/>
  <c r="Q92" i="12"/>
  <c r="AD87" i="12"/>
  <c r="AZ86" i="12"/>
  <c r="AR89" i="12"/>
  <c r="BA95" i="12"/>
  <c r="AI91" i="12"/>
  <c r="N89" i="12"/>
  <c r="AI85" i="12"/>
  <c r="AN94" i="12"/>
  <c r="O94" i="12"/>
  <c r="K95" i="12"/>
  <c r="W93" i="12"/>
  <c r="G90" i="12"/>
  <c r="G86" i="12"/>
  <c r="X86" i="12"/>
  <c r="AR94" i="12"/>
  <c r="Z85" i="12"/>
  <c r="AU92" i="12"/>
  <c r="R87" i="12"/>
  <c r="AO87" i="12"/>
  <c r="AX95" i="12"/>
  <c r="AN85" i="12"/>
  <c r="AX89" i="12"/>
  <c r="V92" i="12"/>
  <c r="U88" i="12"/>
  <c r="L94" i="12"/>
  <c r="U95" i="12"/>
  <c r="AB88" i="12"/>
  <c r="I92" i="12"/>
  <c r="AT87" i="12"/>
  <c r="O88" i="12"/>
  <c r="P87" i="12"/>
  <c r="AF86" i="12"/>
  <c r="AB89" i="12"/>
  <c r="AC86" i="12"/>
  <c r="AU85" i="12"/>
  <c r="AJ93" i="12"/>
  <c r="AI89" i="12"/>
  <c r="T89" i="12"/>
  <c r="Z90" i="12"/>
  <c r="AB85" i="12"/>
  <c r="AJ91" i="12"/>
  <c r="S90" i="12"/>
  <c r="AO92" i="12"/>
  <c r="AX94" i="12"/>
  <c r="AI88" i="12"/>
  <c r="M94" i="12"/>
  <c r="M95" i="12"/>
  <c r="V95" i="12"/>
  <c r="AM88" i="12"/>
  <c r="AU86" i="12"/>
  <c r="AV86" i="12"/>
  <c r="I94" i="12"/>
  <c r="S93" i="12"/>
  <c r="P93" i="12"/>
  <c r="G95" i="12"/>
  <c r="J88" i="12"/>
  <c r="AJ85" i="12"/>
  <c r="AQ90" i="12"/>
  <c r="AR86" i="12"/>
  <c r="AB87" i="12"/>
  <c r="AO93" i="12"/>
  <c r="Q88" i="12"/>
  <c r="I90" i="12"/>
  <c r="K85" i="12"/>
  <c r="Y87" i="12"/>
  <c r="AH88" i="12"/>
  <c r="H93" i="12"/>
  <c r="S95" i="12"/>
  <c r="H90" i="12"/>
  <c r="J86" i="12"/>
  <c r="AN93" i="12"/>
  <c r="AZ94" i="12"/>
  <c r="AA92" i="12"/>
  <c r="Y86" i="12"/>
  <c r="AG87" i="12"/>
  <c r="AR90" i="12"/>
  <c r="I85" i="12"/>
  <c r="AF90" i="12"/>
  <c r="AJ92" i="12"/>
  <c r="AP95" i="12"/>
  <c r="G87" i="12"/>
  <c r="AG85" i="12"/>
  <c r="W89" i="12"/>
  <c r="AB90" i="12"/>
  <c r="R91" i="12"/>
  <c r="AM86" i="12"/>
  <c r="AM93" i="12"/>
  <c r="P88" i="12"/>
  <c r="AI93" i="12"/>
  <c r="Y88" i="12"/>
  <c r="AP85" i="12"/>
  <c r="R86" i="12"/>
  <c r="X92" i="12"/>
  <c r="AD85" i="12"/>
  <c r="AP87" i="12"/>
  <c r="T86" i="12"/>
  <c r="I89" i="12"/>
  <c r="AM89" i="12"/>
  <c r="Q85" i="12"/>
  <c r="AU91" i="12"/>
  <c r="L89" i="12"/>
  <c r="AY89" i="12"/>
  <c r="S85" i="12"/>
  <c r="AE88" i="12"/>
  <c r="AC94" i="12"/>
  <c r="I93" i="12"/>
  <c r="T95" i="12"/>
  <c r="AC90" i="12"/>
  <c r="AL85" i="12"/>
  <c r="AU87" i="12"/>
  <c r="AY88" i="12"/>
  <c r="AD94" i="12"/>
  <c r="W88" i="12"/>
  <c r="AU90" i="12"/>
  <c r="BA86" i="12"/>
  <c r="L92" i="12"/>
  <c r="S86" i="12"/>
  <c r="Y93" i="12"/>
  <c r="U86" i="12"/>
  <c r="AA95" i="12"/>
  <c r="M90" i="12"/>
  <c r="AZ85" i="12"/>
  <c r="G91" i="12"/>
  <c r="AV89" i="12"/>
  <c r="AL90" i="12"/>
  <c r="AW91" i="12"/>
  <c r="S88" i="12"/>
  <c r="K94" i="12"/>
  <c r="U93" i="12"/>
  <c r="I95" i="12"/>
  <c r="W94" i="12"/>
  <c r="AQ92" i="12"/>
  <c r="U87" i="12"/>
  <c r="AG88" i="12"/>
  <c r="AG94" i="12"/>
  <c r="AL89" i="12"/>
  <c r="U85" i="12"/>
  <c r="Z89" i="12"/>
  <c r="AO86" i="12"/>
  <c r="L85" i="12"/>
  <c r="AY86" i="12"/>
  <c r="AV93" i="12"/>
  <c r="H87" i="12"/>
  <c r="AF89" i="12"/>
  <c r="AN89" i="12"/>
  <c r="AN90" i="12"/>
  <c r="W91" i="12"/>
  <c r="AX91" i="12"/>
  <c r="AA85" i="12"/>
  <c r="AB91" i="12"/>
  <c r="AY85" i="12"/>
  <c r="G88" i="12"/>
  <c r="P94" i="12"/>
  <c r="J93" i="12"/>
  <c r="L95" i="12"/>
  <c r="Z93" i="12"/>
  <c r="AG91" i="12"/>
  <c r="Y92" i="12"/>
  <c r="AV94" i="12"/>
  <c r="AX92" i="12"/>
  <c r="V85" i="12"/>
  <c r="AP89" i="12"/>
  <c r="AI92" i="12"/>
  <c r="AH89" i="12"/>
  <c r="AZ87" i="12"/>
  <c r="AR87" i="12"/>
  <c r="AL95" i="12"/>
  <c r="AT90" i="12"/>
  <c r="K91" i="12"/>
  <c r="P86" i="12"/>
  <c r="O85" i="12"/>
  <c r="V86" i="12"/>
  <c r="Q94" i="12"/>
  <c r="V93" i="12"/>
  <c r="P91" i="12"/>
  <c r="AP92" i="12"/>
  <c r="R94" i="12"/>
  <c r="G94" i="12"/>
  <c r="J92" i="12"/>
  <c r="L93" i="12"/>
  <c r="O95" i="12"/>
  <c r="H85" i="12"/>
  <c r="AD95" i="12"/>
  <c r="AO88" i="12"/>
  <c r="AT86" i="12"/>
  <c r="AC92" i="12"/>
  <c r="Q87" i="12"/>
  <c r="Z92" i="12"/>
  <c r="AU88" i="12"/>
  <c r="AE94" i="12"/>
  <c r="AR92" i="12"/>
  <c r="AF87" i="12"/>
  <c r="AW88" i="12"/>
  <c r="AS87" i="12"/>
  <c r="AL92" i="12"/>
  <c r="AL91" i="12"/>
  <c r="Y89" i="12"/>
  <c r="AT89" i="12"/>
  <c r="AR93" i="12"/>
  <c r="M89" i="12"/>
  <c r="AI90" i="12"/>
  <c r="Z88" i="12"/>
  <c r="AD88" i="12"/>
  <c r="AF91" i="12"/>
  <c r="H94" i="12"/>
  <c r="Y94" i="12"/>
  <c r="AA87" i="12"/>
  <c r="AR91" i="12"/>
  <c r="AZ91" i="12"/>
  <c r="L90" i="12"/>
  <c r="H89" i="12"/>
  <c r="X93" i="12"/>
  <c r="AH86" i="12"/>
  <c r="Q90" i="12"/>
  <c r="AH87" i="12"/>
  <c r="AX88" i="12"/>
  <c r="AN88" i="12"/>
  <c r="AM90" i="12"/>
  <c r="AG15" i="12"/>
  <c r="I10" i="12"/>
  <c r="V10" i="12"/>
  <c r="AH10" i="12"/>
  <c r="AT10" i="12"/>
  <c r="J10" i="12"/>
  <c r="W10" i="12"/>
  <c r="AI10" i="12"/>
  <c r="AU10" i="12"/>
  <c r="K10" i="12"/>
  <c r="X10" i="12"/>
  <c r="AJ10" i="12"/>
  <c r="AV10" i="12"/>
  <c r="L10" i="12"/>
  <c r="Y10" i="12"/>
  <c r="AK10" i="12"/>
  <c r="AW10" i="12"/>
  <c r="M10" i="12"/>
  <c r="Z10" i="12"/>
  <c r="AL10" i="12"/>
  <c r="AX10" i="12"/>
  <c r="N10" i="12"/>
  <c r="AA10" i="12"/>
  <c r="AM10" i="12"/>
  <c r="AY10" i="12"/>
  <c r="O10" i="12"/>
  <c r="AB10" i="12"/>
  <c r="AN10" i="12"/>
  <c r="AZ10" i="12"/>
  <c r="P10" i="12"/>
  <c r="AC10" i="12"/>
  <c r="AO10" i="12"/>
  <c r="BA10" i="12"/>
  <c r="R10" i="12"/>
  <c r="AD10" i="12"/>
  <c r="AP10" i="12"/>
  <c r="S10" i="12"/>
  <c r="AE10" i="12"/>
  <c r="AQ10" i="12"/>
  <c r="G10" i="12"/>
  <c r="T10" i="12"/>
  <c r="U10" i="12"/>
  <c r="AF10" i="12"/>
  <c r="AR10" i="12"/>
  <c r="AS10" i="12"/>
  <c r="AG10" i="12"/>
  <c r="AG14" i="12"/>
  <c r="I14" i="12"/>
  <c r="AW16" i="12"/>
  <c r="AK16" i="12"/>
  <c r="W16" i="12"/>
  <c r="K16" i="12"/>
  <c r="V16" i="12"/>
  <c r="J16" i="12"/>
  <c r="AV16" i="12"/>
  <c r="AJ16" i="12"/>
  <c r="X16" i="12"/>
  <c r="L16" i="12"/>
  <c r="AU16" i="12"/>
  <c r="AI16" i="12"/>
  <c r="AH16" i="12"/>
  <c r="AO16" i="12"/>
  <c r="U16" i="12"/>
  <c r="AL16" i="12"/>
  <c r="AG16" i="12"/>
  <c r="AN16" i="12"/>
  <c r="T16" i="12"/>
  <c r="AM16" i="12"/>
  <c r="S16" i="12"/>
  <c r="R16" i="12"/>
  <c r="AZ16" i="12"/>
  <c r="AF16" i="12"/>
  <c r="O16" i="12"/>
  <c r="AX16" i="12"/>
  <c r="AS16" i="12"/>
  <c r="I16" i="12"/>
  <c r="AR16" i="12"/>
  <c r="AQ16" i="12"/>
  <c r="AP16" i="12"/>
  <c r="AA16" i="12"/>
  <c r="AB16" i="12"/>
  <c r="Z16" i="12"/>
  <c r="AR11" i="12"/>
  <c r="AF11" i="12"/>
  <c r="T11" i="12"/>
  <c r="H11" i="12"/>
  <c r="AP11" i="12"/>
  <c r="R11" i="12"/>
  <c r="BA11" i="12"/>
  <c r="AQ11" i="12"/>
  <c r="AE11" i="12"/>
  <c r="S11" i="12"/>
  <c r="G11" i="12"/>
  <c r="AD11" i="12"/>
  <c r="AO11" i="12"/>
  <c r="AN11" i="12"/>
  <c r="Y11" i="12"/>
  <c r="J11" i="12"/>
  <c r="AM11" i="12"/>
  <c r="X11" i="12"/>
  <c r="I11" i="12"/>
  <c r="AZ11" i="12"/>
  <c r="AL11" i="12"/>
  <c r="W11" i="12"/>
  <c r="AK11" i="12"/>
  <c r="V11" i="12"/>
  <c r="AJ11" i="12"/>
  <c r="U11" i="12"/>
  <c r="AG11" i="12"/>
  <c r="AC11" i="12"/>
  <c r="AB11" i="12"/>
  <c r="AY11" i="12"/>
  <c r="Q11" i="12"/>
  <c r="AV11" i="12"/>
  <c r="O11" i="12"/>
  <c r="AT11" i="12"/>
  <c r="N11" i="12"/>
  <c r="AS11" i="12"/>
  <c r="M11" i="12"/>
  <c r="AI11" i="12"/>
  <c r="AA11" i="12"/>
  <c r="AX11" i="12"/>
  <c r="Z11" i="12"/>
  <c r="AW11" i="12"/>
  <c r="P11" i="12"/>
  <c r="AU11" i="12"/>
  <c r="L11" i="12"/>
  <c r="AH11" i="12"/>
  <c r="K11" i="12"/>
  <c r="AX17" i="12"/>
  <c r="AL17" i="12"/>
  <c r="Z17" i="12"/>
  <c r="N17" i="12"/>
  <c r="AJ17" i="12"/>
  <c r="L17" i="12"/>
  <c r="AI17" i="12"/>
  <c r="W17" i="12"/>
  <c r="AW17" i="12"/>
  <c r="AK17" i="12"/>
  <c r="X17" i="12"/>
  <c r="AU17" i="12"/>
  <c r="K17" i="12"/>
  <c r="AD17" i="12"/>
  <c r="J17" i="12"/>
  <c r="AR17" i="12"/>
  <c r="AA17" i="12"/>
  <c r="V17" i="12"/>
  <c r="AS17" i="12"/>
  <c r="I17" i="12"/>
  <c r="AB17" i="12"/>
  <c r="AQ17" i="12"/>
  <c r="AP17" i="12"/>
  <c r="AO17" i="12"/>
  <c r="U17" i="12"/>
  <c r="AN17" i="12"/>
  <c r="AM17" i="12"/>
  <c r="AF17" i="12"/>
  <c r="AE17" i="12"/>
  <c r="T17" i="12"/>
  <c r="S17" i="12"/>
  <c r="Q17" i="12"/>
  <c r="AZ17" i="12"/>
  <c r="AY17" i="12"/>
  <c r="R17" i="12"/>
  <c r="AS12" i="12"/>
  <c r="AG12" i="12"/>
  <c r="U12" i="12"/>
  <c r="I12" i="12"/>
  <c r="AQ12" i="12"/>
  <c r="S12" i="12"/>
  <c r="AP12" i="12"/>
  <c r="AR12" i="12"/>
  <c r="AF12" i="12"/>
  <c r="T12" i="12"/>
  <c r="AD12" i="12"/>
  <c r="R12" i="12"/>
  <c r="AW12" i="12"/>
  <c r="AC12" i="12"/>
  <c r="AB12" i="12"/>
  <c r="AU12" i="12"/>
  <c r="Z12" i="12"/>
  <c r="AV12" i="12"/>
  <c r="L12" i="12"/>
  <c r="AA12" i="12"/>
  <c r="K12" i="12"/>
  <c r="AT12" i="12"/>
  <c r="AO12" i="12"/>
  <c r="AX12" i="12"/>
  <c r="AN12" i="12"/>
  <c r="O12" i="12"/>
  <c r="AM12" i="12"/>
  <c r="AL12" i="12"/>
  <c r="AJ12" i="12"/>
  <c r="X12" i="12"/>
  <c r="AZ12" i="12"/>
  <c r="Q12" i="12"/>
  <c r="AK12" i="12"/>
  <c r="AH12" i="12"/>
  <c r="W12" i="12"/>
  <c r="V12" i="12"/>
  <c r="AY12" i="12"/>
  <c r="AY18" i="12"/>
  <c r="AM18" i="12"/>
  <c r="AA18" i="12"/>
  <c r="AW18" i="12"/>
  <c r="AV18" i="12"/>
  <c r="L18" i="12"/>
  <c r="AX18" i="12"/>
  <c r="AL18" i="12"/>
  <c r="Z18" i="12"/>
  <c r="N18" i="12"/>
  <c r="AK18" i="12"/>
  <c r="AJ18" i="12"/>
  <c r="X18" i="12"/>
  <c r="AI18" i="12"/>
  <c r="S18" i="12"/>
  <c r="K18" i="12"/>
  <c r="R18" i="12"/>
  <c r="AZ18" i="12"/>
  <c r="AF18" i="12"/>
  <c r="AU18" i="12"/>
  <c r="AE18" i="12"/>
  <c r="AT18" i="12"/>
  <c r="AD18" i="12"/>
  <c r="J18" i="12"/>
  <c r="AB18" i="12"/>
  <c r="W18" i="12"/>
  <c r="V18" i="12"/>
  <c r="U18" i="12"/>
  <c r="T18" i="12"/>
  <c r="AS18" i="12"/>
  <c r="I18" i="12"/>
  <c r="AR18" i="12"/>
  <c r="AQ18" i="12"/>
  <c r="AP18" i="12"/>
  <c r="AO18" i="12"/>
  <c r="AN18" i="12"/>
  <c r="AT13" i="12"/>
  <c r="AH13" i="12"/>
  <c r="V13" i="12"/>
  <c r="J13" i="12"/>
  <c r="AR13" i="12"/>
  <c r="T13" i="12"/>
  <c r="H13" i="12"/>
  <c r="AQ13" i="12"/>
  <c r="AE13" i="12"/>
  <c r="AS13" i="12"/>
  <c r="AG13" i="12"/>
  <c r="U13" i="12"/>
  <c r="I13" i="12"/>
  <c r="AF13" i="12"/>
  <c r="S13" i="12"/>
  <c r="G13" i="12"/>
  <c r="AL13" i="12"/>
  <c r="R13" i="12"/>
  <c r="Q13" i="12"/>
  <c r="AJ13" i="12"/>
  <c r="O13" i="12"/>
  <c r="N13" i="12"/>
  <c r="AK13" i="12"/>
  <c r="P13" i="12"/>
  <c r="AY13" i="12"/>
  <c r="AI13" i="12"/>
  <c r="AX13" i="12"/>
  <c r="AB13" i="12"/>
  <c r="AA13" i="12"/>
  <c r="Z13" i="12"/>
  <c r="AV13" i="12"/>
  <c r="AU13" i="12"/>
  <c r="AO13" i="12"/>
  <c r="K13" i="12"/>
  <c r="AN13" i="12"/>
  <c r="AW13" i="12"/>
  <c r="X13" i="12"/>
  <c r="W13" i="12"/>
  <c r="AP13" i="12"/>
  <c r="L13" i="12"/>
  <c r="AM13" i="12"/>
  <c r="AC13" i="12"/>
  <c r="AZ19" i="12"/>
  <c r="AN19" i="12"/>
  <c r="AB19" i="12"/>
  <c r="P19" i="12"/>
  <c r="AL19" i="12"/>
  <c r="Z19" i="12"/>
  <c r="AK19" i="12"/>
  <c r="Y19" i="12"/>
  <c r="AY19" i="12"/>
  <c r="AM19" i="12"/>
  <c r="AA19" i="12"/>
  <c r="O19" i="12"/>
  <c r="AX19" i="12"/>
  <c r="N19" i="12"/>
  <c r="AW19" i="12"/>
  <c r="M19" i="12"/>
  <c r="AR19" i="12"/>
  <c r="X19" i="12"/>
  <c r="H19" i="12"/>
  <c r="AP19" i="12"/>
  <c r="V19" i="12"/>
  <c r="AO19" i="12"/>
  <c r="AJ19" i="12"/>
  <c r="S19" i="12"/>
  <c r="AQ19" i="12"/>
  <c r="W19" i="12"/>
  <c r="U19" i="12"/>
  <c r="T19" i="12"/>
  <c r="AI19" i="12"/>
  <c r="R19" i="12"/>
  <c r="BA19" i="12"/>
  <c r="AV19" i="12"/>
  <c r="L19" i="12"/>
  <c r="AU19" i="12"/>
  <c r="AT19" i="12"/>
  <c r="J19" i="12"/>
  <c r="AS19" i="12"/>
  <c r="I19" i="12"/>
  <c r="AH19" i="12"/>
  <c r="AG19" i="12"/>
  <c r="AF19" i="12"/>
  <c r="AD19" i="12"/>
  <c r="AC19" i="12"/>
  <c r="K19" i="12"/>
  <c r="AE19" i="12"/>
  <c r="AU14" i="12"/>
  <c r="AI14" i="12"/>
  <c r="W14" i="12"/>
  <c r="AR14" i="12"/>
  <c r="AT14" i="12"/>
  <c r="V14" i="12"/>
  <c r="AQ14" i="12"/>
  <c r="AA14" i="12"/>
  <c r="AO14" i="12"/>
  <c r="S14" i="12"/>
  <c r="AP14" i="12"/>
  <c r="Z14" i="12"/>
  <c r="AN14" i="12"/>
  <c r="X14" i="12"/>
  <c r="AM14" i="12"/>
  <c r="AW14" i="12"/>
  <c r="O14" i="12"/>
  <c r="AV14" i="12"/>
  <c r="N14" i="12"/>
  <c r="AL14" i="12"/>
  <c r="AK14" i="12"/>
  <c r="L14" i="12"/>
  <c r="AJ14" i="12"/>
  <c r="AB14" i="12"/>
  <c r="AD14" i="12"/>
  <c r="AY14" i="12"/>
  <c r="BA20" i="12"/>
  <c r="AO20" i="12"/>
  <c r="AC20" i="12"/>
  <c r="AM20" i="12"/>
  <c r="O20" i="12"/>
  <c r="Z20" i="12"/>
  <c r="AZ20" i="12"/>
  <c r="AN20" i="12"/>
  <c r="AB20" i="12"/>
  <c r="P20" i="12"/>
  <c r="AY20" i="12"/>
  <c r="AA20" i="12"/>
  <c r="AX20" i="12"/>
  <c r="AL20" i="12"/>
  <c r="N20" i="12"/>
  <c r="AW20" i="12"/>
  <c r="AG20" i="12"/>
  <c r="M20" i="12"/>
  <c r="AU20" i="12"/>
  <c r="K20" i="12"/>
  <c r="AT20" i="12"/>
  <c r="J20" i="12"/>
  <c r="Y20" i="12"/>
  <c r="H20" i="12"/>
  <c r="AV20" i="12"/>
  <c r="AF20" i="12"/>
  <c r="L20" i="12"/>
  <c r="AE20" i="12"/>
  <c r="AD20" i="12"/>
  <c r="AS20" i="12"/>
  <c r="I20" i="12"/>
  <c r="AR20" i="12"/>
  <c r="X20" i="12"/>
  <c r="AQ20" i="12"/>
  <c r="AP20" i="12"/>
  <c r="AK20" i="12"/>
  <c r="AJ20" i="12"/>
  <c r="V20" i="12"/>
  <c r="AI20" i="12"/>
  <c r="AH20" i="12"/>
  <c r="W20" i="12"/>
  <c r="U20" i="12"/>
  <c r="T20" i="12"/>
  <c r="S20" i="12"/>
  <c r="R20" i="12"/>
  <c r="AV15" i="12"/>
  <c r="AJ15" i="12"/>
  <c r="X15" i="12"/>
  <c r="L15" i="12"/>
  <c r="AT15" i="12"/>
  <c r="V15" i="12"/>
  <c r="AS15" i="12"/>
  <c r="U15" i="12"/>
  <c r="AU15" i="12"/>
  <c r="AI15" i="12"/>
  <c r="W15" i="12"/>
  <c r="K15" i="12"/>
  <c r="J15" i="12"/>
  <c r="I15" i="12"/>
  <c r="AZ15" i="12"/>
  <c r="AF15" i="12"/>
  <c r="AD15" i="12"/>
  <c r="AQ15" i="12"/>
  <c r="AY15" i="12"/>
  <c r="O15" i="12"/>
  <c r="AX15" i="12"/>
  <c r="N15" i="12"/>
  <c r="AW15" i="12"/>
  <c r="AR15" i="12"/>
  <c r="AB15" i="12"/>
  <c r="AA15" i="12"/>
  <c r="Z15" i="12"/>
  <c r="R15" i="12"/>
  <c r="AP15" i="12"/>
  <c r="AN15" i="12"/>
  <c r="AM15" i="12"/>
  <c r="AL15" i="12"/>
  <c r="T15" i="12"/>
  <c r="S15" i="12"/>
  <c r="AO15" i="12"/>
  <c r="AK15" i="12"/>
  <c r="BA2" i="12"/>
  <c r="AO2" i="12"/>
  <c r="AC2" i="12"/>
  <c r="Q2" i="12"/>
  <c r="AZ2" i="12"/>
  <c r="AN2" i="12"/>
  <c r="AB2" i="12"/>
  <c r="P2" i="12"/>
  <c r="AY2" i="12"/>
  <c r="AM2" i="12"/>
  <c r="AA2" i="12"/>
  <c r="O2" i="12"/>
  <c r="AX2" i="12"/>
  <c r="AL2" i="12"/>
  <c r="Z2" i="12"/>
  <c r="N2" i="12"/>
  <c r="AW2" i="12"/>
  <c r="AK2" i="12"/>
  <c r="Y2" i="12"/>
  <c r="M2" i="12"/>
  <c r="AV2" i="12"/>
  <c r="AJ2" i="12"/>
  <c r="X2" i="12"/>
  <c r="L2" i="12"/>
  <c r="AU2" i="12"/>
  <c r="AI2" i="12"/>
  <c r="W2" i="12"/>
  <c r="K2" i="12"/>
  <c r="AT2" i="12"/>
  <c r="AH2" i="12"/>
  <c r="V2" i="12"/>
  <c r="J2" i="12"/>
  <c r="AS2" i="12"/>
  <c r="AG2" i="12"/>
  <c r="U2" i="12"/>
  <c r="I2" i="12"/>
  <c r="AR2" i="12"/>
  <c r="AF2" i="12"/>
  <c r="T2" i="12"/>
  <c r="H2" i="12"/>
  <c r="AQ2" i="12"/>
  <c r="G2" i="12"/>
  <c r="R2" i="12"/>
  <c r="S2" i="12"/>
  <c r="AD2" i="12"/>
  <c r="AE2" i="12"/>
  <c r="AP2" i="12"/>
  <c r="BA3" i="12"/>
  <c r="AO3" i="12"/>
  <c r="AC3" i="12"/>
  <c r="Q3" i="12"/>
  <c r="AZ3" i="12"/>
  <c r="AN3" i="12"/>
  <c r="AB3" i="12"/>
  <c r="P3" i="12"/>
  <c r="AY3" i="12"/>
  <c r="AM3" i="12"/>
  <c r="AA3" i="12"/>
  <c r="O3" i="12"/>
  <c r="AX3" i="12"/>
  <c r="AL3" i="12"/>
  <c r="Z3" i="12"/>
  <c r="N3" i="12"/>
  <c r="AW3" i="12"/>
  <c r="AK3" i="12"/>
  <c r="Y3" i="12"/>
  <c r="M3" i="12"/>
  <c r="AV3" i="12"/>
  <c r="AJ3" i="12"/>
  <c r="X3" i="12"/>
  <c r="L3" i="12"/>
  <c r="AU3" i="12"/>
  <c r="AI3" i="12"/>
  <c r="W3" i="12"/>
  <c r="K3" i="12"/>
  <c r="AT3" i="12"/>
  <c r="AH3" i="12"/>
  <c r="V3" i="12"/>
  <c r="J3" i="12"/>
  <c r="AS3" i="12"/>
  <c r="AG3" i="12"/>
  <c r="U3" i="12"/>
  <c r="I3" i="12"/>
  <c r="AR3" i="12"/>
  <c r="AF3" i="12"/>
  <c r="T3" i="12"/>
  <c r="H3" i="12"/>
  <c r="AQ3" i="12"/>
  <c r="AE3" i="12"/>
  <c r="S3" i="12"/>
  <c r="G3" i="12"/>
  <c r="R3" i="12"/>
  <c r="AD3" i="12"/>
  <c r="AP3" i="12"/>
  <c r="AH3" i="9"/>
  <c r="V3" i="9"/>
  <c r="J3" i="9"/>
  <c r="AS3" i="9"/>
  <c r="AG3" i="9"/>
  <c r="U3" i="9"/>
  <c r="I3" i="9"/>
  <c r="AR3" i="9"/>
  <c r="AF3" i="9"/>
  <c r="T3" i="9"/>
  <c r="H3" i="9"/>
  <c r="AQ3" i="9"/>
  <c r="AE3" i="9"/>
  <c r="S3" i="9"/>
  <c r="G2" i="9" a="1"/>
  <c r="G2" i="9" s="1"/>
  <c r="R2" i="9" l="1"/>
  <c r="BA2" i="9"/>
  <c r="AP2" i="9"/>
  <c r="AD2" i="9"/>
  <c r="AO2" i="9"/>
  <c r="AC2" i="9"/>
  <c r="Q2" i="9"/>
  <c r="AZ2" i="9"/>
  <c r="AN2" i="9"/>
  <c r="AB2" i="9"/>
  <c r="P2" i="9"/>
  <c r="AY2" i="9"/>
  <c r="AM2" i="9"/>
  <c r="AA2" i="9"/>
  <c r="O2" i="9"/>
  <c r="AX2" i="9"/>
  <c r="AL2" i="9"/>
  <c r="Z2" i="9"/>
  <c r="N2" i="9"/>
  <c r="AW2" i="9"/>
  <c r="AK2" i="9"/>
  <c r="Y2" i="9"/>
  <c r="M2" i="9"/>
  <c r="AV2" i="9"/>
  <c r="AJ2" i="9"/>
  <c r="X2" i="9"/>
  <c r="L2" i="9"/>
  <c r="AU2" i="9"/>
  <c r="AI2" i="9"/>
  <c r="W2" i="9"/>
  <c r="K2" i="9"/>
  <c r="AT2" i="9"/>
  <c r="AH2" i="9"/>
  <c r="V2" i="9"/>
  <c r="J2" i="9"/>
  <c r="AS2" i="9"/>
  <c r="AG2" i="9"/>
  <c r="U2" i="9"/>
  <c r="I2" i="9"/>
  <c r="AR2" i="9"/>
  <c r="AF2" i="9"/>
  <c r="T2" i="9"/>
  <c r="H2" i="9"/>
  <c r="AQ2" i="9"/>
  <c r="AE2" i="9"/>
  <c r="S2" i="9"/>
  <c r="BE11" i="10"/>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<sst xmlns="http://schemas.openxmlformats.org/spreadsheetml/2006/main" count="2894" uniqueCount="998">
  <si>
    <t>Dokumenteninformationen</t>
  </si>
  <si>
    <t>Status</t>
  </si>
  <si>
    <t>Version</t>
  </si>
  <si>
    <t>Herausgeber</t>
  </si>
  <si>
    <t>IFMA Schweiz</t>
  </si>
  <si>
    <t>Mit freundlicher Unterstützung von</t>
  </si>
  <si>
    <t>POM+</t>
  </si>
  <si>
    <t>Losinger Marazzi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</si>
  <si>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</si>
  <si>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</si>
  <si>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</si>
  <si>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</si>
  <si>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</si>
  <si>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</si>
  <si>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</si>
  <si>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</si>
  <si>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</si>
  <si>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</si>
  <si>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</si>
  <si>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</si>
  <si>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</si>
  <si>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</si>
  <si>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</si>
  <si>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</si>
  <si>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</si>
  <si>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</si>
  <si>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</si>
  <si>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</si>
  <si>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</si>
  <si>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</si>
  <si>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</si>
  <si>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</si>
  <si>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</si>
  <si>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</si>
  <si>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</si>
  <si>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</si>
  <si>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</si>
  <si>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</si>
  <si>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</si>
  <si>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</si>
  <si>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</si>
  <si>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</si>
  <si>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</si>
  <si>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</si>
  <si>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</si>
  <si>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</si>
  <si>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</si>
  <si>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</si>
  <si>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</si>
  <si>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</si>
  <si>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</si>
  <si>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</si>
  <si>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</si>
  <si>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</si>
  <si>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</si>
  <si>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</si>
  <si>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</si>
  <si>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</si>
  <si>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</si>
  <si>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</si>
  <si>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</si>
  <si>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</si>
  <si>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</si>
  <si>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</si>
  <si>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</si>
  <si>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</si>
  <si>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</si>
  <si>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</si>
  <si>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</si>
  <si>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</si>
  <si>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</si>
  <si>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</si>
  <si>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</si>
  <si>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</si>
  <si>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</si>
  <si>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</si>
  <si>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</si>
  <si>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</si>
  <si>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</si>
  <si>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</si>
  <si>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</si>
  <si>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</si>
  <si>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</si>
  <si>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</si>
  <si>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</si>
  <si>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</si>
  <si>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</si>
  <si>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</si>
  <si>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</si>
  <si>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</si>
  <si>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</si>
  <si>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</si>
  <si>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</si>
  <si>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</si>
  <si>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</si>
  <si>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</si>
  <si>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</si>
  <si>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</si>
  <si>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</si>
  <si>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</si>
  <si>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</si>
  <si>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</si>
  <si>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</si>
  <si>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</si>
  <si>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</si>
  <si>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</si>
  <si>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</si>
  <si>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</si>
  <si>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</si>
  <si>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</si>
  <si>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</si>
  <si>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</si>
  <si>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</si>
  <si>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</si>
  <si>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</si>
  <si>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</si>
  <si>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</si>
  <si>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</si>
  <si>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</si>
  <si>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</si>
  <si>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</si>
  <si>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</si>
  <si>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</si>
  <si>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</si>
  <si>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</si>
  <si>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</si>
  <si>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</si>
  <si>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</si>
  <si>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</si>
  <si>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</si>
  <si>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</si>
  <si>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</si>
  <si>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</si>
  <si>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</si>
  <si>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</si>
  <si>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</si>
  <si>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</si>
  <si>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</si>
  <si>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</si>
  <si>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</si>
  <si>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</si>
  <si>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</si>
  <si>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</si>
  <si>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</si>
  <si>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</si>
  <si>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</si>
  <si>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</si>
  <si>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</si>
  <si>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</si>
  <si>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</si>
  <si>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</si>
  <si>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</si>
  <si>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</si>
  <si>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</si>
  <si>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</si>
  <si>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</si>
  <si>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</si>
  <si>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</si>
  <si>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</si>
  <si>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</si>
  <si>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</si>
  <si>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</si>
  <si>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</si>
  <si>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</si>
  <si>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</si>
  <si>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</si>
  <si>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</si>
  <si>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</si>
  <si>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</si>
  <si>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</si>
  <si>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</si>
  <si>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</si>
  <si>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</si>
  <si>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</si>
  <si>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</si>
  <si>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</si>
  <si>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</si>
  <si>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</si>
  <si>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</si>
  <si>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</si>
  <si>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</si>
  <si>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</si>
  <si>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</si>
  <si>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</si>
  <si>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</si>
  <si>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</si>
  <si>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</si>
  <si>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</si>
  <si>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</si>
  <si>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</si>
  <si>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</si>
  <si>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</si>
  <si>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</si>
  <si>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</si>
  <si>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</si>
  <si>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</si>
  <si>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</si>
  <si>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</si>
  <si>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</si>
  <si>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</si>
  <si>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</si>
  <si>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</si>
  <si>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</si>
  <si>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</si>
  <si>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</si>
  <si>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</si>
  <si>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</si>
  <si>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</si>
  <si>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</si>
  <si>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</si>
  <si>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</si>
  <si>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</si>
  <si>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</si>
  <si>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</si>
  <si>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</si>
  <si>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</si>
  <si>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</si>
  <si>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</si>
  <si>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</si>
  <si>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</si>
  <si>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</si>
  <si>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</si>
  <si>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</si>
  <si>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</si>
  <si>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</si>
  <si>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</si>
  <si>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</si>
  <si>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</si>
  <si>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</si>
  <si>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</si>
  <si>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</si>
  <si>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</si>
  <si>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</si>
  <si>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</si>
  <si>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</si>
  <si>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</si>
  <si>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</si>
  <si>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</si>
  <si>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</si>
  <si>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</si>
  <si>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</si>
  <si>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</si>
  <si>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</si>
  <si>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</si>
  <si>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</si>
  <si>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</si>
  <si>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</si>
  <si>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</si>
  <si>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</si>
  <si>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</si>
  <si>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</si>
  <si>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</si>
  <si>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</si>
  <si>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</si>
  <si>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</si>
  <si>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</si>
  <si>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</si>
  <si>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RelatedDocumentItemReference</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</si>
  <si>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</si>
  <si>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</si>
  <si>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</si>
  <si>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</si>
  <si>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</si>
  <si>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</si>
  <si>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</si>
  <si>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</si>
  <si>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</si>
  <si>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</si>
  <si>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</si>
  <si>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</si>
  <si>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</si>
  <si>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</si>
  <si>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</si>
  <si>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</si>
  <si>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</si>
  <si>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</si>
  <si>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</si>
  <si>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</si>
  <si>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</si>
  <si>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</si>
  <si>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</si>
  <si>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</si>
  <si>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</si>
  <si>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</si>
  <si>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</si>
  <si>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</si>
  <si>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</si>
  <si>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</si>
  <si>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</si>
  <si>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</si>
  <si>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Spatial structure</t>
  </si>
  <si>
    <t>Räumliche Struktur</t>
  </si>
  <si>
    <t>Preview</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</si>
  <si>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</si>
  <si>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</si>
  <si>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</si>
  <si>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</si>
  <si>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</si>
  <si>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</si>
  <si>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</si>
  <si>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</si>
  <si>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</si>
  <si>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</si>
  <si>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</si>
  <si>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</si>
  <si>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</si>
  <si>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</si>
  <si>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</si>
  <si>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</si>
  <si>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Identification and classification</t>
  </si>
  <si>
    <t>STRING</t>
  </si>
  <si>
    <t>IfcLabel</t>
  </si>
  <si>
    <t>Operating conditions and limits</t>
  </si>
  <si>
    <t>Physical characteristics</t>
  </si>
  <si>
    <t>REAL</t>
  </si>
  <si>
    <t>BOOLEAN</t>
  </si>
  <si>
    <t>IfcBoolean</t>
  </si>
  <si>
    <t>Performance characteristics</t>
  </si>
  <si>
    <t>Thermal characteristics</t>
  </si>
  <si>
    <t>Geometric characteristics</t>
  </si>
  <si>
    <t>IfcLengthMeasure</t>
  </si>
  <si>
    <t>INTEGER</t>
  </si>
  <si>
    <t>IfcInteger</t>
  </si>
  <si>
    <t>Material and construction</t>
  </si>
  <si>
    <t>Manufacturer and product information</t>
  </si>
  <si>
    <t>Hydraulic / flow characteristics</t>
  </si>
  <si>
    <t>IfcReal</t>
  </si>
  <si>
    <t>Safety and protection characteristics</t>
  </si>
  <si>
    <t>IfcAreaMeasure</t>
  </si>
  <si>
    <t>Werteliste
(DE)</t>
  </si>
  <si>
    <t>Liste de valeurs
(FR)</t>
  </si>
  <si>
    <t>Lista valori
(IT)</t>
  </si>
  <si>
    <t>must use JSON-style list syntax, e.g. ["A", "B", "C"] or ["A", 1.5, "C"] for alphanumeric/numeric values</t>
  </si>
  <si>
    <t>DocumentItemReference</t>
  </si>
  <si>
    <t>DocumentItem (EN)</t>
  </si>
  <si>
    <t>DokumentElement (DE)</t>
  </si>
  <si>
    <t>DocumentÉlément (FR)</t>
  </si>
  <si>
    <t>DocumentoElemento (IT)</t>
  </si>
  <si>
    <t>Rules.ISG - Informationssicherheitsgesetz</t>
  </si>
  <si>
    <t>Rules.FAIR Prinzipien</t>
  </si>
  <si>
    <t>system-generated from DocumentName (EN)</t>
  </si>
  <si>
    <t>must match Rules.ISG - Informationssicherheitsgesetz</t>
  </si>
  <si>
    <t>must match Rules.FAIR Prinzipien</t>
  </si>
  <si>
    <t>nicht klassifiziert</t>
  </si>
  <si>
    <t>Zugänglich kostenpflichtig</t>
  </si>
  <si>
    <t>must start with &lt;OrganizationCode&gt;_; forbidden prefixes: Pset_, IFC_, CH_</t>
  </si>
  <si>
    <t>GoP</t>
  </si>
  <si>
    <t>DocumentName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</si>
  <si>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</si>
  <si>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</si>
  <si>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</si>
  <si>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</si>
  <si>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</si>
  <si>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</si>
  <si>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</si>
  <si>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</si>
  <si>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</si>
  <si>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</si>
  <si>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</si>
  <si>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</si>
  <si>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</si>
  <si>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</si>
  <si>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</si>
  <si>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</si>
  <si>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</si>
  <si>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</si>
  <si>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</si>
  <si>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</si>
  <si>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</si>
  <si>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</si>
  <si>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</si>
  <si>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</si>
  <si>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</si>
  <si>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</si>
  <si>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</si>
  <si>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</si>
  <si>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</si>
  <si>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</si>
  <si>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</si>
  <si>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</si>
  <si>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</si>
  <si>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</si>
  <si>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</si>
  <si>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</si>
  <si>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</si>
  <si>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</si>
  <si>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</si>
  <si>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</si>
  <si>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</si>
  <si>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</si>
  <si>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</si>
  <si>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</si>
  <si>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</si>
  <si>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</si>
  <si>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</si>
  <si>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</si>
  <si>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</si>
  <si>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</si>
  <si>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</si>
  <si>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</si>
  <si>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</si>
  <si>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</si>
  <si>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</si>
  <si>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</si>
  <si>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</si>
  <si>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</si>
  <si>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</si>
  <si>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</si>
  <si>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</si>
  <si>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</si>
  <si>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</si>
  <si>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Physical elements</t>
  </si>
  <si>
    <t>Physische Bauteile</t>
  </si>
  <si>
    <t>Éléments physiques</t>
  </si>
  <si>
    <t>Elementi fisici</t>
  </si>
  <si>
    <t>Identifikation und Klassifikation</t>
  </si>
  <si>
    <t>Identification et classification</t>
  </si>
  <si>
    <t>Identificazione e classificazione</t>
  </si>
  <si>
    <t>CHARACTER</t>
  </si>
  <si>
    <t>Active</t>
  </si>
  <si>
    <t>intern</t>
  </si>
  <si>
    <t>Zugänglich unentgeltlich</t>
  </si>
  <si>
    <t>Structure spatiale</t>
  </si>
  <si>
    <t>Struttura spaziale</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</si>
  <si>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</si>
  <si>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</si>
  <si>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</si>
  <si>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</si>
  <si>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</si>
  <si>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</si>
  <si>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</si>
  <si>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</si>
  <si>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</si>
  <si>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</si>
  <si>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</si>
  <si>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</si>
  <si>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</si>
  <si>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</si>
  <si>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</si>
  <si>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</si>
  <si>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</si>
  <si>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</si>
  <si>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</si>
  <si>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</si>
  <si>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</si>
  <si>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</si>
  <si>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Physikalische Eigenschaften</t>
  </si>
  <si>
    <t>Caractéristiques physiques</t>
  </si>
  <si>
    <t>Caratteristiche fisiche</t>
  </si>
  <si>
    <t>IfcDuration</t>
  </si>
  <si>
    <t>Retired</t>
  </si>
  <si>
    <t>Actors</t>
  </si>
  <si>
    <t>Akteure</t>
  </si>
  <si>
    <t>Acteurs</t>
  </si>
  <si>
    <t>Attori</t>
  </si>
  <si>
    <t>Material und Aufbau</t>
  </si>
  <si>
    <t>Matériau et constitution</t>
  </si>
  <si>
    <t>Materiale e struttura</t>
  </si>
  <si>
    <t>TIME</t>
  </si>
  <si>
    <t>IfcGloballyUniqueId</t>
  </si>
  <si>
    <t>Resources</t>
  </si>
  <si>
    <t>Ressourcen</t>
  </si>
  <si>
    <t>Ressources</t>
  </si>
  <si>
    <t>Risorse</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</si>
  <si>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</si>
  <si>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</si>
  <si>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</si>
  <si>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</si>
  <si>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</si>
  <si>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</si>
  <si>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</si>
  <si>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</si>
  <si>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</si>
  <si>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</si>
  <si>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Leistungs- und Funktionskennwerte</t>
  </si>
  <si>
    <t>Caractéristiques de performance et de fonctionnement</t>
  </si>
  <si>
    <t>Caratteristiche prestazionali e funzionali</t>
  </si>
  <si>
    <t>Superseded</t>
  </si>
  <si>
    <t>Hydraulische / strömungstechnische Kennwerte</t>
  </si>
  <si>
    <t>Caractéristiques hydrauliques / d’écoulement</t>
  </si>
  <si>
    <t>Caratteristiche idrauliche / di flusso</t>
  </si>
  <si>
    <t>Incomplete</t>
  </si>
  <si>
    <t>Thermische Kennwerte</t>
  </si>
  <si>
    <t>Caractéristiques thermiques</t>
  </si>
  <si>
    <t>Caratteristiche termiche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</si>
  <si>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</si>
  <si>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</si>
  <si>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</si>
  <si>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</si>
  <si>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</si>
  <si>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</si>
  <si>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</si>
  <si>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</si>
  <si>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</si>
  <si>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</si>
  <si>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</si>
  <si>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</si>
  <si>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</si>
  <si>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</si>
  <si>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</si>
  <si>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</si>
  <si>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</si>
  <si>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</si>
  <si>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</si>
  <si>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</si>
  <si>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</si>
  <si>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</si>
  <si>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</si>
  <si>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</si>
  <si>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</si>
  <si>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</si>
  <si>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</si>
  <si>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</si>
  <si>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</si>
  <si>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</si>
  <si>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</si>
  <si>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</si>
  <si>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</si>
  <si>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</si>
  <si>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</si>
  <si>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X</t>
  </si>
  <si>
    <t>RelatedDocumentName</t>
  </si>
  <si>
    <t>Referenz auf „DocumentItemReference“ im Reiter "Documents"</t>
  </si>
  <si>
    <t>Referenz auf „DocumentName“ im Reiter "Documents"</t>
  </si>
  <si>
    <t>Vorgabe einer minimalen Governance für die verschiedenen Kataloge (gültig für alle Reiter)</t>
  </si>
  <si>
    <t>Eindeutige Zurodnung zu einem spezifischen Kapitel, Absatz, Code eines Dokuments (sprachneutral)</t>
  </si>
  <si>
    <t>Eindeutige Name des spezifischen Kapitels, Absatzes, Codes eines Dokuments. EN = zwingend &amp; mind. eine weitere Sprache (DE, FR, IT)</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</si>
  <si>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</si>
  <si>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</si>
  <si>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</si>
  <si>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</si>
  <si>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</si>
  <si>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</si>
  <si>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</si>
  <si>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</si>
  <si>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</si>
  <si>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</si>
  <si>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</si>
  <si>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</si>
  <si>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</si>
  <si>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</si>
  <si>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REQUIRED WHEN USED</t>
  </si>
  <si>
    <t>dct:description@de</t>
  </si>
  <si>
    <t>dct:description@fr</t>
  </si>
  <si>
    <t>dct:description@en</t>
  </si>
  <si>
    <t>dct:description@it</t>
  </si>
  <si>
    <t>IFMA_C_31010000</t>
  </si>
  <si>
    <t>Storey</t>
  </si>
  <si>
    <t>Geschoss</t>
  </si>
  <si>
    <t>The physical floor level or storey level of a building.</t>
  </si>
  <si>
    <t>Virtuelles Objekt ohne eigene Darstellung, welches die Geschossinformationen trägt.</t>
  </si>
  <si>
    <t>IFMA_C_31010001</t>
  </si>
  <si>
    <t>Site area</t>
  </si>
  <si>
    <t>Grundstückfläche</t>
  </si>
  <si>
    <t>Site area (plot area according to SIA 416)</t>
  </si>
  <si>
    <t>Volumenkörper für die Darstellung der Grundstückfläche (GSF gemäss SIA 416:2003 Kap. 1).</t>
  </si>
  <si>
    <t>IFMA_C_31010002</t>
  </si>
  <si>
    <t>Surrounding area</t>
  </si>
  <si>
    <t>Umgebungsfläche</t>
  </si>
  <si>
    <t>Surrounding area according to SIA 416</t>
  </si>
  <si>
    <t>Volumenkörper für die Darstellung einer Umgebungsfläche (UF gemäss SIA 416 Kap.1). Unterteilung in UUF und BUF, sowie auch Einteilung der Nutzungsart "10.1 aussenliegende Fahrzeugabstellfäche" gemäss SIA D 0165 möglich.</t>
  </si>
  <si>
    <t>IFMA_C_31010003</t>
  </si>
  <si>
    <t>Gross floor area</t>
  </si>
  <si>
    <t>Geschossvolumen</t>
  </si>
  <si>
    <t>Volumetric representation of gross floor areas and storey volumes according to SIA 416</t>
  </si>
  <si>
    <t>Volumenkörper für die Darstellung der Geschossvolumen, Geschossflächen und Aussen-Geschossflächen (GV, GF und AGF gemäss SIA 416:2003 Kap. 2, 3 und 5) sowie Dachflächen.</t>
  </si>
  <si>
    <t>IFMA_C_31010004</t>
  </si>
  <si>
    <t>Internal room</t>
  </si>
  <si>
    <t>Innenraum</t>
  </si>
  <si>
    <t>Internal spaces (net floor areas according to SIA 416)</t>
  </si>
  <si>
    <t>Volumenkörper für die Darstellung eines Innenraumes (Nettogeschossflächen NGF mit Unterteilung nach HNF, NNF, VF oder FF gemäss SIA 416:2003 Kap. 2).</t>
  </si>
  <si>
    <t>IFMA_C_31010005</t>
  </si>
  <si>
    <t>External room</t>
  </si>
  <si>
    <t>Aussenraum</t>
  </si>
  <si>
    <t>External spaces (external net floor areas according to SIA 416)</t>
  </si>
  <si>
    <t>Volumenkörper für die Darstellung eines Aussenraums (Aussen-Nettogeschossflächen ANGF mit Unterteilung nach ANF, AVF oder AFF gemäss SIA 416:2003 Kap. 3).</t>
  </si>
  <si>
    <t>IFMA_C_31010006</t>
  </si>
  <si>
    <t>Parking space</t>
  </si>
  <si>
    <t>Einzelparkplatz</t>
  </si>
  <si>
    <t>Parking spaces such as car parking spaces, moped parking, bicycle parking, fire service access/parking bays</t>
  </si>
  <si>
    <t>Volumenkörper für die Darstellung eines einzelnen Parkplatzes wie z.B. Autoparkplatz, Mofa-Parkplatz, Velostellplatz und ggbfs. Feuerwehrstellplatz</t>
  </si>
  <si>
    <t>IFMA_C_31010007</t>
  </si>
  <si>
    <t>Rentable area</t>
  </si>
  <si>
    <t>Vermietbare Fläche</t>
  </si>
  <si>
    <t>Geometric representation of lettable area where this differs from net floor areas</t>
  </si>
  <si>
    <t>Geometrische Darstellung der anrechenbare Fläche einer Miet- oder Verkaufseinheit (vermietbare Fläche VMF gemäss SIA D 0165:2000 Abschnitt 3.1.2). Diese Darstellung erübricht sich wenn die übliche Netto- oder Bruttofläche gemäss SIA 416:2003 angewendet wird. Zuordnung nach Eigenmietfläche EMF, Drittmietfläche DMF und Zuschlagsfläche ZF gemäss SIA D 0165:2000 möglich.</t>
  </si>
  <si>
    <t>IFMA_C_31010008</t>
  </si>
  <si>
    <t>Usage unit</t>
  </si>
  <si>
    <t>Nutzungseinheit</t>
  </si>
  <si>
    <t>Grouping of Spaces and SpatialZones belong to the same Unit</t>
  </si>
  <si>
    <t>Virtuelles Objekte ohne eigene Darstellung für die Gruppierung von Räumen (Innen und Aussen) und ggbfs. Einzelparkplätze und/oder Vermietbare Flächen, welche zu einer Nutzungseinheit gehören.</t>
  </si>
  <si>
    <t>IFMA_C_31010009</t>
  </si>
  <si>
    <t>Site</t>
  </si>
  <si>
    <t>Grundstück</t>
  </si>
  <si>
    <t>Virtuelles Objekt ohne eigene Darstellung, welches die Grundstück- bzw. Parzellen- oder Baufeldinformationen trägt.</t>
  </si>
  <si>
    <t>IFMA_C_31010010</t>
  </si>
  <si>
    <t>Building</t>
  </si>
  <si>
    <t>Gebäude</t>
  </si>
  <si>
    <t>Virtuelles Objekt ohne eigene Darstellung, welches die Gebäude- bzw. Bauobjektinformationen trägt.</t>
  </si>
  <si>
    <t>IfcBuildingStorey</t>
  </si>
  <si>
    <t>IfcSpace</t>
  </si>
  <si>
    <t>IfcSpaceType</t>
  </si>
  <si>
    <t>USERDEFINED</t>
  </si>
  <si>
    <t>SITE_AREA</t>
  </si>
  <si>
    <t>SURROUNDING_AREA</t>
  </si>
  <si>
    <t>GFA</t>
  </si>
  <si>
    <t>ROOM</t>
  </si>
  <si>
    <t>EXTERNAL_ROOM</t>
  </si>
  <si>
    <t>PARKING</t>
  </si>
  <si>
    <t>IfcSpatialZone</t>
  </si>
  <si>
    <t>IfcSpatialZoneType</t>
  </si>
  <si>
    <t>OCCUPANCY</t>
  </si>
  <si>
    <t>IfcZone</t>
  </si>
  <si>
    <t>n/a</t>
  </si>
  <si>
    <t>USAGE_UNIT</t>
  </si>
  <si>
    <t>IfcSite</t>
  </si>
  <si>
    <t>IfcBuilding</t>
  </si>
  <si>
    <t>https://identifier.buildingsmart.org/uri/buildingsmart/ifc/4.3/class/IfcBuildingStorey</t>
  </si>
  <si>
    <t>https://identifier.buildingsmart.org/uri/buildingsmart/ifc/4.3/class/IfcSpace</t>
  </si>
  <si>
    <t>https://identifier.buildingsmart.org/uri/buildingsmart/ifc/4.3/class/IfcSpaceGFA</t>
  </si>
  <si>
    <t>https://identifier.buildingsmart.org/uri/buildingsmart/ifc/4.3/class/IfcSpatialZone</t>
  </si>
  <si>
    <t>https://identifier.buildingsmart.org/uri/buildingsmart/ifc/4.3/class/IfcZone</t>
  </si>
  <si>
    <t>https://identifier.buildingsmart.org/uri/buildingsmart/ifc/4.3/class/IfcSite</t>
  </si>
  <si>
    <t>https://identifier.buildingsmart.org/uri/buildingsmart/ifc/4.3/class/IfcBuilding</t>
  </si>
  <si>
    <t>2026-07-09T10:30+02:00</t>
  </si>
  <si>
    <t>IFMA</t>
  </si>
  <si>
    <t>IFMA_P_31020002</t>
  </si>
  <si>
    <t>Name</t>
  </si>
  <si>
    <t>Unique room number or floor number according to numbering scheme</t>
  </si>
  <si>
    <t>Attribut um das Objekt zu benennen. 
Im Rahmen der räumlichen Struktur ist hier eine eindeutige Nummer zu vergeben (Geschossnummer, Wohnungsnummer, Raumnummer, Türnummer…)</t>
  </si>
  <si>
    <t>IFMA_P_31020003</t>
  </si>
  <si>
    <t>LongName</t>
  </si>
  <si>
    <t>Langer Name</t>
  </si>
  <si>
    <t>Designation</t>
  </si>
  <si>
    <t>Attribut um das Objekt zu bezeichnen.
Im Fall von Räumen erscheint hier die Raumbezeichnung.</t>
  </si>
  <si>
    <t>IFMA_P_31020004</t>
  </si>
  <si>
    <t>SIA_416_2003</t>
  </si>
  <si>
    <t>Classification according to SIA 416:2003</t>
  </si>
  <si>
    <t>Klassifizierung gemäss SIA 416:2003</t>
  </si>
  <si>
    <t>area_type_sia_416_code_enum</t>
  </si>
  <si>
    <t>IFMA_P_31020007</t>
  </si>
  <si>
    <t>SIA_380_2015</t>
  </si>
  <si>
    <t>Classification according to SIA 380:2015</t>
  </si>
  <si>
    <t>Klassifizierung gemäss SIA 380:2015</t>
  </si>
  <si>
    <t>room_designation_sia_380_label_enum</t>
  </si>
  <si>
    <t>IFMA_P_31020008</t>
  </si>
  <si>
    <t>SIA_2024_2021</t>
  </si>
  <si>
    <t>Classification according to SIA 2024:2021</t>
  </si>
  <si>
    <t>Klassifizierung gemäss SIA 2024:2021</t>
  </si>
  <si>
    <t>room_usage_sia_2024_code_enum</t>
  </si>
  <si>
    <t>IFMA_P_31020010</t>
  </si>
  <si>
    <t>SIA_d0165_2000</t>
  </si>
  <si>
    <t>SIA_d0165_2001</t>
  </si>
  <si>
    <t>Classification according to SIA D 0165:2000/2001</t>
  </si>
  <si>
    <t>Klassifizierung gemäss SIA D 0165:2000/2001</t>
  </si>
  <si>
    <t>area_type_d0165_code_enum</t>
  </si>
  <si>
    <t>IFMA_P_31020012</t>
  </si>
  <si>
    <t>RoomUsage</t>
  </si>
  <si>
    <t>Raumnutzung</t>
  </si>
  <si>
    <t>Room usage e.g. according to room programme</t>
  </si>
  <si>
    <t>Raumnutzung z.B. gemäss Raumprogramm</t>
  </si>
  <si>
    <t>IFMA_P_31020013</t>
  </si>
  <si>
    <t>RoomType</t>
  </si>
  <si>
    <t>Raumtyp</t>
  </si>
  <si>
    <t>Room type (functional type) e.g. according to room catalogue (room data sheets)</t>
  </si>
  <si>
    <t>Raumtyp (Funktionstyp) z.B. gemäss Raumkatalog (Raumdatenblätter)</t>
  </si>
  <si>
    <t>IFMA_P_31020014</t>
  </si>
  <si>
    <t>UnitType</t>
  </si>
  <si>
    <t>Einheitstyp</t>
  </si>
  <si>
    <t>Unit type, in particular dwelling type (e.g. 3.5-room flat)</t>
  </si>
  <si>
    <t>Einheitstyp, insb. Wohnungstyp
z.B. 3.5-Zi</t>
  </si>
  <si>
    <t>IFMA_P_31020015</t>
  </si>
  <si>
    <t>UnitID</t>
  </si>
  <si>
    <t>Einheitsnummer</t>
  </si>
  <si>
    <t>Unique unit number (ID) according to numbering scheme for sale or rental units (e.g. apartment number)</t>
  </si>
  <si>
    <t>Eindeutige Einheitsnummer (ID) gemäss Nummerierungskonzept für Verkaufs- bzw. Mieteinheiten, z.B. Wohnungsnummer. Sie wird ab den Namen der Nutzungseinheit vererbt.</t>
  </si>
  <si>
    <t>IFMA_P_31020016</t>
  </si>
  <si>
    <t>CAFM_ID</t>
  </si>
  <si>
    <t>Object ID in CAFM-System</t>
  </si>
  <si>
    <t>Objekt-ID im Betriebssystem</t>
  </si>
  <si>
    <t>IFMA_P_31020017</t>
  </si>
  <si>
    <t>RoomSignalLabel</t>
  </si>
  <si>
    <t>Raumbeschriftung</t>
  </si>
  <si>
    <t>Room labelled</t>
  </si>
  <si>
    <t>Beschriftung vom Raum</t>
  </si>
  <si>
    <t>IFMA_P_31020018</t>
  </si>
  <si>
    <t>CleaningGroup</t>
  </si>
  <si>
    <t>Reinigungsgruppe</t>
  </si>
  <si>
    <t>Cleaning group</t>
  </si>
  <si>
    <t>IFMA_P_31020019</t>
  </si>
  <si>
    <t>AreaLoad</t>
  </si>
  <si>
    <t>Flächenlast</t>
  </si>
  <si>
    <t>Maximum Area load</t>
  </si>
  <si>
    <t>Maximale Flächenlast nach Nutzungsvereinbarung</t>
  </si>
  <si>
    <t>IfcPlanarForceMeasure</t>
  </si>
  <si>
    <t>IFMA_P_31020020</t>
  </si>
  <si>
    <t>PointLoad</t>
  </si>
  <si>
    <t>Punktlast</t>
  </si>
  <si>
    <t>Maximum Point load</t>
  </si>
  <si>
    <t>Maximale Punktlast nach Nutzungsvereinbarung</t>
  </si>
  <si>
    <t>IfcForceMeasure</t>
  </si>
  <si>
    <t>IFMA_P_31020021</t>
  </si>
  <si>
    <t>EnergyReferenceArea</t>
  </si>
  <si>
    <t>Energiebezugsfläche</t>
  </si>
  <si>
    <t>States if the space object accounts for the "Energy Reference Area"</t>
  </si>
  <si>
    <t>Präzisiert, ob der Volumenkörper zur Energiebezugsfläche gehört.</t>
  </si>
  <si>
    <t>IFMA_P_31020022</t>
  </si>
  <si>
    <t>WindowsCleaningArea</t>
  </si>
  <si>
    <t>Fensterfläche</t>
  </si>
  <si>
    <t>Window area of the room</t>
  </si>
  <si>
    <t>Fensterfläche im Raum</t>
  </si>
  <si>
    <t>IFMA_P_31020023</t>
  </si>
  <si>
    <t>WindowsOpenable</t>
  </si>
  <si>
    <t>Fenster öffenbar</t>
  </si>
  <si>
    <t>States if the Room hast openable windows.</t>
  </si>
  <si>
    <t>Präzisiert, ob es im Raum öffenbare Fenster gibt.</t>
  </si>
  <si>
    <t>IFMA_P_31020024</t>
  </si>
  <si>
    <t>Occupant</t>
  </si>
  <si>
    <t>Raumnutzer</t>
  </si>
  <si>
    <t>Room occupant</t>
  </si>
  <si>
    <t>Raumnutzer.in.</t>
  </si>
  <si>
    <t>IFMA_P_31020025</t>
  </si>
  <si>
    <t>Shading</t>
  </si>
  <si>
    <t>Sonnenschutz</t>
  </si>
  <si>
    <t>Solar shading</t>
  </si>
  <si>
    <t>Präzisiert, ob der Raum Sonnenschutz hat.</t>
  </si>
  <si>
    <t>IFMA_P_31020026</t>
  </si>
  <si>
    <t>IsHumidified</t>
  </si>
  <si>
    <t>Befeuchtet</t>
  </si>
  <si>
    <t>Humidified</t>
  </si>
  <si>
    <t>Präzisiert, ob der Raum befeuchtet ist.</t>
  </si>
  <si>
    <t>IFMA_P_31020027</t>
  </si>
  <si>
    <t>IsDehumidified</t>
  </si>
  <si>
    <t>Entfeuchtet</t>
  </si>
  <si>
    <t>Dehumidified</t>
  </si>
  <si>
    <t>Präzisiert, ob der Raum entfeuchtet ist.</t>
  </si>
  <si>
    <t>IFMA_P_31020028</t>
  </si>
  <si>
    <t>IsRentable</t>
  </si>
  <si>
    <t>Vermietbarkeit</t>
  </si>
  <si>
    <t>Letting suitability</t>
  </si>
  <si>
    <t>IFMA_P_31020029</t>
  </si>
  <si>
    <t>IsExternal</t>
  </si>
  <si>
    <t>Indicates whether the element is intended for outdoor use (TRUE) or not (FALSE). If set to (TRUE), the element is an external element that forms the outer boundary of a building.</t>
  </si>
  <si>
    <t>Angabe, ob das Element für die Verwendung im Aussenbereich vorgesehen ist (TRUE) oder nicht (FALSE). Bei (TRUE) handelt es sich um ein Aussenelement, das ein Gebäude nach außen abschliesst.</t>
  </si>
  <si>
    <t>IFMA_P_31020030</t>
  </si>
  <si>
    <t>OccupancyType</t>
  </si>
  <si>
    <t>Nutzungsart</t>
  </si>
  <si>
    <t>Occupancy type for this object.; It is defined according to the presiding national building code.</t>
  </si>
  <si>
    <t>Nutzungsart dieses Objekts; sie wird gemäss den geltenden nationalen Bauvorschriften definiert.</t>
  </si>
  <si>
    <t>IFMA_P_31020031</t>
  </si>
  <si>
    <t>MinimumHeadroom</t>
  </si>
  <si>
    <t>Raumnutzhöhe</t>
  </si>
  <si>
    <t>Effective clear height</t>
  </si>
  <si>
    <t>Lichte Höhe</t>
  </si>
  <si>
    <t>IFMA_P_31020032</t>
  </si>
  <si>
    <t>OccupancyNumberPeak</t>
  </si>
  <si>
    <t>Personenbelegung geplant</t>
  </si>
  <si>
    <t>Maximal number of people required for the activity assigned to this space in peak time.</t>
  </si>
  <si>
    <t>Maximale Anzahl Personen für die zugewiesene Nutzung dieses Raums in Spitzenzeiten.</t>
  </si>
  <si>
    <t>IFMA_P_31020033</t>
  </si>
  <si>
    <t>OccupancyNumber</t>
  </si>
  <si>
    <t>Personenbelegung ist</t>
  </si>
  <si>
    <t>Number of people required for the activity assigned to this space.</t>
  </si>
  <si>
    <t>Anzahl Personen für die zugewiesene Nutzung dieses Raums.</t>
  </si>
  <si>
    <t>IFMA_P_31020034</t>
  </si>
  <si>
    <t>FloorCovering</t>
  </si>
  <si>
    <t>Bodenbelag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</si>
  <si>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</si>
  <si>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</si>
  <si>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IFMA_P_31020035</t>
  </si>
  <si>
    <t>WallCovering</t>
  </si>
  <si>
    <t>Wandbelag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</si>
  <si>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</si>
  <si>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</si>
  <si>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IFMA_P_31020036</t>
  </si>
  <si>
    <t>CeilingCovering</t>
  </si>
  <si>
    <t>Deckenmaterial</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</si>
  <si>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</si>
  <si>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</si>
  <si>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IFMA_P_31020037</t>
  </si>
  <si>
    <t>NaturalVentilation</t>
  </si>
  <si>
    <t>Natürliche Belüftung</t>
  </si>
  <si>
    <t>Indication whether the space is required to have natural ventilation (TRUE), or not (FALSE).</t>
  </si>
  <si>
    <t>Angabe, ob für den Raum natürliche Lüftung erforderlich ist (TRUE) oder nicht (FALSE).</t>
  </si>
  <si>
    <t>IFMA_P_31020038</t>
  </si>
  <si>
    <t>NaturalVentilationRate</t>
  </si>
  <si>
    <t>Natürliche Luftwechselrate</t>
  </si>
  <si>
    <t>Indication of the requirement of a particular natural air ventilation rate, given in air changes per hour.</t>
  </si>
  <si>
    <t>Angabe der erforderlichen natürlichen Luftwechselrate (in Luftwechseln pro Stunde).</t>
  </si>
  <si>
    <t>IfcVolumetricFlowRateMeasure</t>
  </si>
  <si>
    <t>IFMA_P_31020039</t>
  </si>
  <si>
    <t>MechanicalVentilation</t>
  </si>
  <si>
    <t>Mechanische Belüftung</t>
  </si>
  <si>
    <t>Indication whether the space is required to have mechanical ventilation (TRUE), or not (FALSE).</t>
  </si>
  <si>
    <t>Angabe, ob für den Raum mechanische Lüftung erforderlich ist (TRUE) oder nicht (FALSE).</t>
  </si>
  <si>
    <t>IFMA_P_31020040</t>
  </si>
  <si>
    <t>MechanicalVentilationRate</t>
  </si>
  <si>
    <t>Mechanische Luftwechselrate</t>
  </si>
  <si>
    <t>Indication of the requirement of a particular mechanical air ventilation rate, given in air changes per hour.</t>
  </si>
  <si>
    <t>Angabe der erforderlichen mechanischen Luftwechselrate (in Luftwechseln pro Stunde).</t>
  </si>
  <si>
    <t>IFMA_P_31020041</t>
  </si>
  <si>
    <t>AirConditioning</t>
  </si>
  <si>
    <t>Klimatisiert</t>
  </si>
  <si>
    <t>Indication whether this space requires air conditioning provided (TRUE) or not (FALSE).</t>
  </si>
  <si>
    <t>Angabe, ob für diesen Raum eine Klimatisierung erforderlich ist (TRUE) oder nicht (FALSE).</t>
  </si>
  <si>
    <t>IFMA_P_31020042</t>
  </si>
  <si>
    <t>TemperatureSetPoint</t>
  </si>
  <si>
    <t>Temperatur Ziel</t>
  </si>
  <si>
    <t>The temperature setpoint range and default setpoint.</t>
  </si>
  <si>
    <t>Temperatur-Sollwertbereich und Standard-Sollwert.</t>
  </si>
  <si>
    <t>IfcThermodynamicTemperatureMeasure</t>
  </si>
  <si>
    <t>IFMA_P_31020043</t>
  </si>
  <si>
    <t>HumiditySetPoint</t>
  </si>
  <si>
    <t>Luftfeuchtigkeit Ziel</t>
  </si>
  <si>
    <t>Humidity of the space or zone that is required from user/designer view point. If no summer or winter space humidity requirements are given, it applies all year, otherwise for the intermediate period. Provide this property, if no humidity range (Min-Max) is available.</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</si>
  <si>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</si>
  <si>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IFMA_P_31020044</t>
  </si>
  <si>
    <t>FireExit</t>
  </si>
  <si>
    <t>Fluchtweg</t>
  </si>
  <si>
    <t>Indication whether this object is designed to serve as an exit in the case of fire (TRUE) or not (FALSE).</t>
  </si>
  <si>
    <t>Angabe, ob dieses Objekt im Brandfall als Ausgang dient (TRUE) oder nicht (FALSE).</t>
  </si>
  <si>
    <t>IFMA_P_31020045</t>
  </si>
  <si>
    <t>GrossFloorArea</t>
  </si>
  <si>
    <t>Bruttofläche</t>
  </si>
  <si>
    <t>Sum of all gross floor areas within the spatial structure element</t>
  </si>
  <si>
    <t>Summe aller Bruttogrundflächen innerhalb des räumlichen Strukturelements.</t>
  </si>
  <si>
    <t>IFMA_P_31020046</t>
  </si>
  <si>
    <t>GrossVolume</t>
  </si>
  <si>
    <t>Bruttovolumen</t>
  </si>
  <si>
    <t>Total gross volume of the object. Openings, recesses, enclosed objects and projections are not taken into account.</t>
  </si>
  <si>
    <t>Gesamtes Bruttovolumen des Objekts. Öffnungen, Aussparungen, eingeschlossene Objekte und Vorsprünge werden nicht berücksichtigt.</t>
  </si>
  <si>
    <t>IfcVolumeMeasure</t>
  </si>
  <si>
    <t>IFMA_P_31020047</t>
  </si>
  <si>
    <t>NetFloorArea</t>
  </si>
  <si>
    <t>Nettofläche</t>
  </si>
  <si>
    <t>Sum of all net usable floor areas.</t>
  </si>
  <si>
    <t>Summe aller Nettogrundflächen.</t>
  </si>
  <si>
    <t>IFMA_P_31020048</t>
  </si>
  <si>
    <t>NetVolume</t>
  </si>
  <si>
    <t>Nettovolumen</t>
  </si>
  <si>
    <t>Total net volume of the object, taking into account possible processing features (cut-out's, etc.) or openings and recesses.</t>
  </si>
  <si>
    <t>Gesamtes Nettovolumen des Objekts unter Berücksichtigung von Bearbeitungen (z. B. Ausschnitte) sowie Öffnungen und Aussparungen.</t>
  </si>
  <si>
    <t>IFMA_P_31020049</t>
  </si>
  <si>
    <t>NetWallArea</t>
  </si>
  <si>
    <t>Wandfläche netto</t>
  </si>
  <si>
    <t>Sum of all wall (and other vertically bounding elements, like columns) areas bounded by the space. It excludes the area covered by elements inside the wall area (doors, windows, other openings, etc.).</t>
  </si>
  <si>
    <t>Summe aller Wandflächen (und anderer vertikal begrenzender Elemente wie Stützen), die den Raum begrenzen. Flächenanteile von Einbauten innerhalb der Wand (Türen, Fenster, Öffnungen usw.) werden nicht berücksichtigt.</t>
  </si>
  <si>
    <t>IFMA_P_31020050</t>
  </si>
  <si>
    <t>Height</t>
  </si>
  <si>
    <t>Höhe</t>
  </si>
  <si>
    <t>Vertical extent or height of the element or space.</t>
  </si>
  <si>
    <t>Vertikale Ausdehnung bzw. Höhe des Elements oder Raums.</t>
  </si>
  <si>
    <t>IFMA_P_31020051</t>
  </si>
  <si>
    <t>AboveGround</t>
  </si>
  <si>
    <t>Oberirdisch</t>
  </si>
  <si>
    <t>Indication whether this object is fully above ground (TRUE), or below ground (FALSE), or partially above and below ground (UNKNOWN) - as in sloped terrain.</t>
  </si>
  <si>
    <t>Angabe, ob sich dieses Objekt vollständig über der Erde (TRUE), unter der Erde (FALSE) oder teilweise über und unter der Erde (UNKNOWN) befindet – beispielsweise bei abschüssigem Gelände.</t>
  </si>
  <si>
    <t>IFMA_P_31020052</t>
  </si>
  <si>
    <t>CostZone</t>
  </si>
  <si>
    <t>Kostenzone</t>
  </si>
  <si>
    <t>Cost zone: for cost allocation according to commercial use, investor and/or business line</t>
  </si>
  <si>
    <t>Kostenzone: für die Kostenaufteilung nach kommerzieller Nutzung bzw. Investor und/oder Verkaufsprodukt</t>
  </si>
  <si>
    <t>https://identifier.buildingsmart.org/uri/buildingsmart/ifc/4.3/prop/IsExternal</t>
  </si>
  <si>
    <t>https://identifier.buildingsmart.org/uri/buildingsmart/ifc/4.3/prop/OccupancyType</t>
  </si>
  <si>
    <t>https://identifier.buildingsmart.org/uri/buildingsmart/ifc/4.3/prop/OccupancyNumberPeak</t>
  </si>
  <si>
    <t>https://identifier.buildingsmart.org/uri/buildingsmart/ifc/4.3/prop/OccupancyNumber</t>
  </si>
  <si>
    <t>https://identifier.buildingsmart.org/uri/buildingsmart/ifc/4.3/prop/FloorCovering</t>
  </si>
  <si>
    <t>https://identifier.buildingsmart.org/uri/buildingsmart/ifc/4.3/prop/WallCovering</t>
  </si>
  <si>
    <t>https://identifier.buildingsmart.org/uri/buildingsmart/ifc/4.3/prop/CeilingCovering</t>
  </si>
  <si>
    <t>https://identifier.buildingsmart.org/uri/buildingsmart/ifc/4.3/prop/NaturalVentilation</t>
  </si>
  <si>
    <t>https://identifier.buildingsmart.org/uri/buildingsmart/ifc/4.3/prop/NaturalVentilationRate</t>
  </si>
  <si>
    <t>https://identifier.buildingsmart.org/uri/buildingsmart/ifc/4.3/prop/MechanicalVentilation</t>
  </si>
  <si>
    <t>https://identifier.buildingsmart.org/uri/buildingsmart/ifc/4.3/prop/MechanicalVentilationRate</t>
  </si>
  <si>
    <t>https://identifier.buildingsmart.org/uri/buildingsmart/ifc/4.3/prop/AirConditioning</t>
  </si>
  <si>
    <t>https://identifier.buildingsmart.org/uri/buildingsmart/ifc/4.3/prop/TemperatureSetPoint</t>
  </si>
  <si>
    <t>https://identifier.buildingsmart.org/uri/buildingsmart/ifc/4.3/prop/HumiditySetPoint</t>
  </si>
  <si>
    <t>https://identifier.buildingsmart.org/uri/buildingsmart/ifc/4.3/prop/FireExit</t>
  </si>
  <si>
    <t>https://identifier.buildingsmart.org/uri/buildingsmart/ifc/4.3/prop/GrossFloorArea</t>
  </si>
  <si>
    <t>https://identifier.buildingsmart.org/uri/buildingsmart/ifc/4.3/prop/GrossVolume</t>
  </si>
  <si>
    <t>https://identifier.buildingsmart.org/uri/buildingsmart/ifc/4.3/prop/NetFloorArea</t>
  </si>
  <si>
    <t>https://identifier.buildingsmart.org/uri/buildingsmart/ifc/4.3/prop/NetVolume</t>
  </si>
  <si>
    <t>https://identifier.buildingsmart.org/uri/buildingsmart/ifc/4.3/prop/Height</t>
  </si>
  <si>
    <t>https://identifier.buildingsmart.org/uri/buildingsmart/ifc/4.3/prop/Name</t>
  </si>
  <si>
    <t>https://identifier.buildingsmart.org/uri/buildingsmart/ifc/4.3/prop/LongName</t>
  </si>
  <si>
    <t>IFMA_AreaMgmt</t>
  </si>
  <si>
    <t/>
  </si>
  <si>
    <t>kN/m2</t>
  </si>
  <si>
    <t>kN</t>
  </si>
  <si>
    <t>m2</t>
  </si>
  <si>
    <t>Pset_SpaceCommon</t>
  </si>
  <si>
    <t>Pset_SpaceOccupancyRequirements</t>
  </si>
  <si>
    <t>m</t>
  </si>
  <si>
    <t>Pset_SpaceCoveringRequirements</t>
  </si>
  <si>
    <t>Pset_SpaceHVACDesign</t>
  </si>
  <si>
    <t>m3/h</t>
  </si>
  <si>
    <t>Pset_SpaceFireSafetyRequirements</t>
  </si>
  <si>
    <t>Qto_SpaceBaseQuantities</t>
  </si>
  <si>
    <t>m3</t>
  </si>
  <si>
    <t>https://identifier.buildingsmart.org/uri/buildingsmart/ifc/4.3/prop/MinimumHeadroom</t>
  </si>
  <si>
    <t>IFMA_V_31030000</t>
  </si>
  <si>
    <t>Vordefinierter Typ</t>
  </si>
  <si>
    <t>IFMA_V_31030001</t>
  </si>
  <si>
    <t>Objekttyp</t>
  </si>
  <si>
    <t>["SITE_AREA", "SURROUNDING_AREA", "ROOM", "EXTERNAL_ROOM", "USAGE_UNIT"]</t>
  </si>
  <si>
    <t>IFMA_V_31030004</t>
  </si>
  <si>
    <t>Area type SIA 416 code</t>
  </si>
  <si>
    <t>Flächenart SIA 416 Code</t>
  </si>
  <si>
    <t>["1", "1.1", "1.2", "1.2.1", "1.2.2", "2", "2.1", "2.1.1.1", "2.1.1.2", "2.1.3", "3", "3.1", "3.1.1", "3.1.2", "3.1.3", "5", "AIRSPACE"]</t>
  </si>
  <si>
    <t>["1_GSF", "1.1_GGF", "1.2_UF", "1.2.1_BUF", "1.2.2_UUF", "2_GF", "2.1_NGF", "2.1.1.1_HNF", "2.1.1.2_NNF", "2.1.2_VF", "2.1.3_FF", "3_AGF", "3.1_ANGF", "3.1.1_ANF", "3.1.2_AVF", "3.1.3_AFF", "5_GV", "LUFTRAUM"]</t>
  </si>
  <si>
    <t>["1_ST", "1.1_SB", "1.2_SA", "1.2.1_SAA", "1.2.2_SAN", "2_SP", "2.1.1.1_SUP", "2.1.1.2_SUS", "2.1.2_SD", "2.1.3_SI", "3_SEP", "3.1_SEN", "3.1.1_SEU", "3.1.2_SED", "3.1.3_SEI", "5_VB", "VIDE"]</t>
  </si>
  <si>
    <t>IFMA_V_31030007</t>
  </si>
  <si>
    <t>Room designation SIA 380 label</t>
  </si>
  <si>
    <t>Raumbezeichnung SIA 380 Bezeichnung</t>
  </si>
  <si>
    <t>["1", "2", "3", "4", "5", "6", "7", "8", "9", "10"]</t>
  </si>
  <si>
    <t>["HNF1", "HNF2", "HNF3", "HNF4", "HNF5", "HNF6", "NNF7", "FF8", "VF9", "BUF10"]</t>
  </si>
  <si>
    <t>["SUP1", "SUP2", "SUP3", "SUP4", "SUP5", "SUP6", "SUS7", "SI8", "SD9", "SAA10"]</t>
  </si>
  <si>
    <t>IFMA_V_31030008</t>
  </si>
  <si>
    <t>Room usage SIA 2024 code</t>
  </si>
  <si>
    <t>Raumnutzung SIA 2024 Code</t>
  </si>
  <si>
    <t>["1.01_HNF1", "1.02_HNF1", "2.01_HNF1", "2.02_HNF2", "3.01_HNF2", "3.02_HNF2", "3.03_HNF2", "3.04_HNF2", "4.01_HNF5", "4.02_HNF5", "4.03_HNF5", "4.04_HNF5", "4.05_HNF5", "5.01_HNF4", "5.02_HNF4", "5.03_HNF4", "6.01_HNF1", "6.02_HNF1", "6.03_HNF3", "6.04_HNF3", "7.01_HNF5", "7.02_HNF5", "7.03_HNF5", "8.01_HNF6", "8.02_HNF6", "8.03_HNF6", "9.01_HNF3", "9.02_HNF3", "9.03_HNF3", "10.01_HNF4", "11.01_HNF5", "11.02_HNF5", "11.03_HNF5", "12.01_VF9", "12.02_VF9", "12.03_VF9", "12.04_NNF7", "12.05_HNF1", "12.06_NNF7", "12.07_NNF7", "12.08_NNF7", "12.09_NNF7", "12.10_NNF7", "12.11_HNF4", "12.12_HNF2"]</t>
  </si>
  <si>
    <t>["1.01_Wohnen Mehrfamilienhaus", "1.02_Wohnen Einfamilienhaus", "2.01_Hotelzimmer", "2.02_Empfang, Lobby", "3.01_Einzel-, Gruppenbüro", "3.02_Grossraumbüro", "3.03_Sitzungszimmer", "3.04_Schalterhalle, Empfang", "4.01_Schulzimmer", "4.02_Lehrerzimmer", "4.03_Bibliothek", "4.04_Hörsaal", "4.05_Schulfachraum", "5.01_Lebensmittelverkauf", "5.02_Fachgeschäft", "5.03_Verkauf Möbel, Bau, 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Teeküche", "12.06_WC, Bad, Dusche", "12.07_WC", "12.08_Garderobe, Dusche", "12.09_Parkhaus", "12.10_Wasch- und Trockenraum", "12.11_Kühlraum", "12.12_Serverraum"]</t>
  </si>
  <si>
    <t>["1.01_Habitation immeuble collectif", "1.02_Habitation maison individuelle", "2.01_Chambre d’hôtel", "2.02_Réception, zone d’accueil", "3.01_Bureau individuel, collectif", "3.02_Bureau paysagé", "3.03_Salle de réunion", "3.04_Guichets, zone clientèle", "4.01_Salle d’école", "4.02_Salle des maîtres", "4.03_Bibliothèque", "4.04_Auditoire", "4.05_Local d’enseignement spécialisé", "5.01_Magasin d’alimentation", "5.02_Magasin spécialisé", "5.03_Magasin de meubles, bricolage et jardin", "6.01_Restaurant", "6.02_Restaurant self-service", "6.03_Cuisine de restaurant", "6.04_Cuisine de restaurant self-service", "7.01_Salle de spectacle", "7.02_Salle polyvalente", "11.03_Piscine couverte", "12.01_Surface de dégagement", "12.02_Surface de dégagement 24 h", "12.03_Cage d’escalier", "12.04_Local secondaire", "12.05_Cuisine, kitchenette", "12.06_WC, salle de bain, douche", "12.07_WC", "12.08_Vestiaire, douche", "12.09_Garage collectif", "12.10_Buanderie, séchoir", "12.11_Chambre froide", "12.12_Salle de serveurs"]</t>
  </si>
  <si>
    <t>IFMA_V_31030010</t>
  </si>
  <si>
    <t>Area type d0165 code</t>
  </si>
  <si>
    <t>Flächenart d0165 Code</t>
  </si>
  <si>
    <t>["1.1", "1.2", "1.3", "1.4", "1.5", "1.6", "2.1", "2.2", "2.3", "2.4", "2.5", "2.6", "2.7", "2.8", "3.1", "3.2", "3.3", "3.4", "3.5", "3.6", "3.7", "3.8", "4.1", "4.2", "4.3", "4.4", "4.5", "4.6"]</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</si>
  <si>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 physikalisch-technische, elektrotechnische Labors", "3.5_Chemische, bakteriologische morphologische Labors", "3.6_Räume für Tierhaltung", "3.7_Räume für Pflanzenzucht", "3.8_Küchen", "4.1_Lagerräume", "4.2_Archive, Sammlungsräume", "4.3_Kühlräume", "4.4_Annahme- und Ausgaberäume", "4.5_Verkaufsräume", "4.6_Ausstellungsräume"]</t>
  </si>
  <si>
    <t>IFMA_V_31030021</t>
  </si>
  <si>
    <t>Energy reference area</t>
  </si>
  <si>
    <t>["true", "false"]</t>
  </si>
  <si>
    <t>IFMA_V_31030023</t>
  </si>
  <si>
    <t>Window openable</t>
  </si>
  <si>
    <t>IFMA_V_31030025</t>
  </si>
  <si>
    <t>IFMA_V_31030026</t>
  </si>
  <si>
    <t>IFMA_V_31030027</t>
  </si>
  <si>
    <t>IFMA_V_31030028</t>
  </si>
  <si>
    <t>Rentable</t>
  </si>
  <si>
    <t>IFMA_V_31030029</t>
  </si>
  <si>
    <t>External space</t>
  </si>
  <si>
    <t>IFMA_V_31030037</t>
  </si>
  <si>
    <t>Natural ventilation</t>
  </si>
  <si>
    <t>IFMA_V_31030039</t>
  </si>
  <si>
    <t>Mechanical ventilation</t>
  </si>
  <si>
    <t>IFMA_V_31030041</t>
  </si>
  <si>
    <t>Air conditioning</t>
  </si>
  <si>
    <t>IFMA_V_31030044</t>
  </si>
  <si>
    <t>Fire exit</t>
  </si>
  <si>
    <t>SIA 416 - Areas and volumes of buildings</t>
  </si>
  <si>
    <t>SIA 416:2003 - Flächen und Volumen von Gebäuden</t>
  </si>
  <si>
    <t>SIA</t>
  </si>
  <si>
    <t>SIA 380 - Basic principles for energy calculations for buildings</t>
  </si>
  <si>
    <t>SIA 380:2015 - Grundlagen für energetische Berechnungen von Gebäuden</t>
  </si>
  <si>
    <t>SIA_D_0165_2000</t>
  </si>
  <si>
    <t>SIA D 1065 - Key performance indicators in property management</t>
  </si>
  <si>
    <t>SIA D 0165 - Kennzahlen im Immobilienmanagement</t>
  </si>
  <si>
    <t>SIA 2024 - Space utilisation for energy data and building technology</t>
  </si>
  <si>
    <t>SIA 2024 - Raumnutzungsdaten für die Energie- und Gebäudetechnik</t>
  </si>
  <si>
    <t>Includes all space- and area-related parameters for Project Development and Asset and Facility Management, in accordance with the relevant SIA standards.</t>
  </si>
  <si>
    <t>Enthält alle raum- und flächenbezogenen Merkmale für Projektentwicklung, -planung sowie Asset und Facility Management, in Übereinstimmung mit den relevanten SIA Standards.</t>
  </si>
  <si>
    <t>["1_GSF", "1_ST", "1_SF"]</t>
  </si>
  <si>
    <t>["1.2_UF", "1.2.1_BUF", "1.2.2_UUF", "1.2_SA", "1.2.1_SAA", "1.2.2_SAN",  "1.2_SLE", "1.2.1_SLES", "1.2.2_SLEN"]</t>
  </si>
  <si>
    <t>["NONE", "BUF10", "SAA10", "SLES10"]</t>
  </si>
  <si>
    <t>["NONE", "10.1_aussenliegende Fahrzeugabstellflächen"]</t>
  </si>
  <si>
    <t>["true"]</t>
  </si>
  <si>
    <t>["2_GF", "3_AGF", "5_GV", "ROOF_DACH", "2_SP", "3_SEP", "5_VB", "ROOF_TOIT", "2_SP", "3_SPE", "5_VE", "ROOF_TETTO"]</t>
  </si>
  <si>
    <t>["2.1.1_NF", "2.1.1.1_HNF", "2.1.1.2_NNF", "2.1.2_VF", "2.1.3_FF", "2.1.1_SU", "2.1.1.1_SUP", "2.1.1.2_SUS", "2.1.2_SD", "2.1.3_SI", "2.1.1_SU", "2.1.1.1_SUP", "2.1.1.2_SUS", "2.1.2_SCIR", "2.1.3_SI"]</t>
  </si>
  <si>
    <t>["HNF1", "HNF2", "HNF3", "HNF4", "HNF5", "HNF6", "NNF7", "FF8", "VF9", "SUP1", "SUP2", "SUP3", "SUP4", "SUP5", "SUP6", "SUS7", "SI8", "SD9", "SUP1", "SUP2", "SUP3", "SUP4", "SUP5", "SUP6", "SUS7", "SI8", "SCIR9"]</t>
  </si>
  <si>
    <t>["false"]</t>
  </si>
  <si>
    <t>["3.1_ANGF", "3.1.1_ANF", "3.1.2_AVF", "3.1.3_AFF", "3.1_SEN", "3.1.1_SEU", "3.1.2_SED", "3.1.3_SEI", "3.1_SNE", "3.1.1_SUE", "3.1.2_SCIRE", "3.1.3_SIE"]</t>
  </si>
  <si>
    <t>Class-Coode</t>
  </si>
  <si>
    <t>Use Case Flächenmanagement Betrieb</t>
  </si>
  <si>
    <t>Information aus dem Data Template für den Use Case nicht notwendig</t>
  </si>
  <si>
    <t xml:space="preserve">CHE.5539.01 </t>
  </si>
  <si>
    <t>Use Case LCC Kalkulation</t>
  </si>
  <si>
    <t>CHE.5539.06</t>
  </si>
  <si>
    <t>Use Case Volumenstudie</t>
  </si>
  <si>
    <t>CHE.5539.02</t>
  </si>
  <si>
    <t>CHE.5539.03</t>
  </si>
  <si>
    <t>Use Case Raumprogramm</t>
  </si>
  <si>
    <t>CHE.5539.04</t>
  </si>
  <si>
    <t>Use Case Vordimebsionierung Haustechnik</t>
  </si>
  <si>
    <t>CHE.5539.05</t>
  </si>
  <si>
    <t>GoP - Designation</t>
  </si>
  <si>
    <t>Property - Designation</t>
  </si>
  <si>
    <t>v1.0.0</t>
  </si>
  <si>
    <t>IFMA - Data Template - Flächenmanagment</t>
  </si>
  <si>
    <t>Freigegeben</t>
  </si>
  <si>
    <t>info@ifma.ch</t>
  </si>
  <si>
    <t>Das Data Template "Flächenmanagement" beschreibt ein durchgängiges, integriertes System zur modellbasierten Erfassung, Planung, Bewertung und Bewirtschaftung von Flächen, Räumen und Gebäudevolumen über den gesamten Lebenszyklus eines Gebäudes.</t>
  </si>
  <si>
    <t>The data template "Area Management" specifies a comprehensive, integrated system for the model-based recording, planning, assessment and management of areas, spaces and building volumes throughout a building’s entire life cycle.</t>
  </si>
  <si>
    <t>Il modello di dati “Gestione delle superfici” descrive un sistema coerente e integrato per la rilevazione, la pianificazione, la valutazione e la gestione basate su modelli di superfici, spazi e volumi edilizi lungo l'intero ciclo di vita di un edificio.</t>
  </si>
  <si>
    <t>Le modèle de données « Gestion des surfaces » décrit un système cohérent et intégré permettant la saisie, la planification, l'évaluation et la gestion, basées sur des modèles, des surfaces, des espaces et des volumes de bâtiments tout au long du cycle de vie d'un bâtiment.</t>
  </si>
  <si>
    <t>data_template_ifma_areamgmt</t>
  </si>
  <si>
    <t>data_template_ifma_flaechenmanagment</t>
  </si>
  <si>
    <t>data_template_ifma_gestiondessurfaces</t>
  </si>
  <si>
    <t>data_template_ifma_gestionedellesuperfic</t>
  </si>
  <si>
    <t>Objekt im Use Case nicht vorhanden</t>
  </si>
  <si>
    <t>["GFA", "PARKING", "SPACE", "OCCUPANCY", "USERDEFINED"]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</si>
</sst>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
      <b/>
      <sz val="12"/>
      <color theme="0"/>
      <name val="Arial"/>
      <family val="2"/>
    </font>
    <font>
      <sz val="11"/>
      <color theme="0"/>
      <name val="Arial"/>
      <family val="2"/>
    </font>
  </fonts>
  <fills count="21">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
      <patternFill patternType="solid">
        <fgColor theme="6"/>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top style="hair">
        <color auto="1"/>
      </top>
      <bottom/>
      <diagonal/>
    </border>
    <border>
      <left/>
      <right/>
      <top style="hair">
        <color auto="1"/>
      </top>
      <bottom/>
      <diagonal/>
    </border>
    <border>
      <left style="hair">
        <color auto="1"/>
      </left>
      <right/>
      <top/>
      <bottom style="hair">
        <color auto="1"/>
      </bottom>
      <diagonal/>
    </border>
    <border>
      <left/>
      <right/>
      <top/>
      <bottom style="hair">
        <color auto="1"/>
      </bottom>
      <diagonal/>
    </border>
    <border>
      <left/>
      <right style="hair">
        <color indexed="64"/>
      </right>
      <top style="hair">
        <color auto="1"/>
      </top>
      <bottom/>
      <diagonal/>
    </border>
    <border>
      <left/>
      <right style="hair">
        <color indexed="64"/>
      </right>
      <top/>
      <bottom/>
      <diagonal/>
    </border>
    <border>
      <left/>
      <right style="hair">
        <color indexed="64"/>
      </right>
      <top/>
      <bottom style="hair">
        <color auto="1"/>
      </bottom>
      <diagonal/>
    </border>
  </borders>
  <cellStyleXfs count="8">
    <xf numFmtId="0" fontId="0" fillId="0" borderId="0"/>
    <xf numFmtId="0" fontId="9" fillId="0" borderId="0"/>
    <xf numFmtId="0" fontId="11" fillId="0" borderId="7"/>
    <xf numFmtId="0" fontId="17" fillId="0" borderId="0"/>
    <xf numFmtId="0" fontId="22" fillId="0" borderId="0"/>
    <xf numFmtId="0" fontId="9" fillId="0" borderId="0"/>
    <xf numFmtId="0" fontId="28" fillId="10" borderId="0"/>
    <xf numFmtId="0" fontId="15" fillId="0" borderId="0"/>
  </cellStyleXfs>
  <cellXfs count="289">
    <xf numFmtId="0" fontId="0" fillId="0" borderId="0" xfId="0"/>
    <xf numFmtId="0" fontId="10" fillId="0" borderId="0" xfId="0" applyFont="1"/>
    <xf numFmtId="49" fontId="12" fillId="0" borderId="1" xfId="0" applyNumberFormat="1" applyFont="1" applyBorder="1" applyAlignment="1">
      <alignment vertical="center"/>
    </xf>
    <xf numFmtId="49" fontId="12" fillId="0" borderId="2" xfId="0" applyNumberFormat="1" applyFont="1" applyBorder="1" applyAlignment="1">
      <alignment vertical="center"/>
    </xf>
    <xf numFmtId="49" fontId="12" fillId="0" borderId="3" xfId="0" applyNumberFormat="1" applyFont="1" applyBorder="1" applyAlignment="1">
      <alignment vertical="center"/>
    </xf>
    <xf numFmtId="49" fontId="12" fillId="0" borderId="6" xfId="0" applyNumberFormat="1" applyFont="1" applyBorder="1" applyAlignment="1">
      <alignment vertical="center"/>
    </xf>
    <xf numFmtId="49" fontId="12" fillId="0" borderId="9" xfId="0" applyNumberFormat="1" applyFont="1" applyBorder="1" applyAlignment="1">
      <alignment vertical="center"/>
    </xf>
    <xf numFmtId="49" fontId="12" fillId="0" borderId="5" xfId="0" applyNumberFormat="1" applyFont="1" applyBorder="1" applyAlignment="1">
      <alignment vertical="center"/>
    </xf>
    <xf numFmtId="49" fontId="12" fillId="0" borderId="8" xfId="0" applyNumberFormat="1" applyFont="1" applyBorder="1" applyAlignment="1">
      <alignment vertical="center"/>
    </xf>
    <xf numFmtId="49" fontId="12" fillId="0" borderId="4"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6" xfId="0" applyNumberFormat="1" applyFont="1" applyBorder="1" applyAlignment="1">
      <alignment horizontal="center" vertical="center"/>
    </xf>
    <xf numFmtId="49" fontId="12" fillId="0" borderId="2" xfId="0" applyNumberFormat="1" applyFont="1" applyBorder="1" applyAlignment="1">
      <alignment horizontal="left" vertical="center"/>
    </xf>
    <xf numFmtId="49" fontId="12" fillId="0" borderId="3"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2" xfId="0" applyNumberFormat="1" applyFont="1" applyBorder="1" applyAlignment="1">
      <alignment horizontal="center"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6" xfId="0" applyFont="1" applyBorder="1" applyAlignment="1">
      <alignment horizontal="left" vertical="center"/>
    </xf>
    <xf numFmtId="49" fontId="12" fillId="0" borderId="1" xfId="0" applyNumberFormat="1" applyFont="1" applyBorder="1" applyAlignment="1">
      <alignment horizontal="right" vertical="center"/>
    </xf>
    <xf numFmtId="49" fontId="12" fillId="2" borderId="3" xfId="0" applyNumberFormat="1" applyFont="1" applyFill="1" applyBorder="1" applyAlignment="1">
      <alignment horizontal="left" vertical="center"/>
    </xf>
    <xf numFmtId="49" fontId="12" fillId="2" borderId="4" xfId="0" applyNumberFormat="1" applyFont="1" applyFill="1" applyBorder="1" applyAlignment="1">
      <alignment horizontal="center" vertical="center"/>
    </xf>
    <xf numFmtId="49" fontId="12" fillId="2" borderId="3" xfId="0" applyNumberFormat="1" applyFont="1" applyFill="1" applyBorder="1" applyAlignment="1">
      <alignment horizontal="center" vertical="center"/>
    </xf>
    <xf numFmtId="49" fontId="12" fillId="2" borderId="5" xfId="0" applyNumberFormat="1" applyFont="1" applyFill="1" applyBorder="1" applyAlignment="1">
      <alignment vertical="center"/>
    </xf>
    <xf numFmtId="49" fontId="12" fillId="0" borderId="5" xfId="0" applyNumberFormat="1" applyFont="1" applyBorder="1" applyAlignment="1">
      <alignment horizontal="right" vertical="center"/>
    </xf>
    <xf numFmtId="49" fontId="12" fillId="0" borderId="8" xfId="0" applyNumberFormat="1" applyFont="1" applyBorder="1" applyAlignment="1">
      <alignment horizontal="righ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2" borderId="4" xfId="0" applyNumberFormat="1" applyFont="1" applyFill="1" applyBorder="1" applyAlignment="1">
      <alignment horizontal="left" vertical="center"/>
    </xf>
    <xf numFmtId="49" fontId="12" fillId="0" borderId="10" xfId="0" applyNumberFormat="1" applyFont="1" applyBorder="1" applyAlignment="1">
      <alignment horizontal="left" vertical="center"/>
    </xf>
    <xf numFmtId="0" fontId="14" fillId="0" borderId="0" xfId="0" applyFont="1" applyAlignment="1">
      <alignment vertical="top"/>
    </xf>
    <xf numFmtId="0" fontId="7" fillId="0" borderId="0" xfId="0" applyFont="1" applyAlignment="1">
      <alignment vertical="top"/>
    </xf>
    <xf numFmtId="0" fontId="16" fillId="11" borderId="0" xfId="0" applyFont="1" applyFill="1" applyAlignment="1">
      <alignment vertical="top"/>
    </xf>
    <xf numFmtId="0" fontId="38" fillId="0" borderId="0" xfId="0" applyFont="1" applyAlignment="1">
      <alignment vertical="top"/>
    </xf>
    <xf numFmtId="0" fontId="6" fillId="11" borderId="0" xfId="0" applyFont="1" applyFill="1" applyAlignment="1">
      <alignment vertical="top"/>
    </xf>
    <xf numFmtId="0" fontId="6" fillId="11" borderId="0" xfId="0" applyFont="1" applyFill="1" applyAlignment="1">
      <alignment vertical="top" wrapText="1"/>
    </xf>
    <xf numFmtId="0" fontId="6" fillId="0" borderId="0" xfId="0" applyFont="1" applyAlignment="1">
      <alignment vertical="top"/>
    </xf>
    <xf numFmtId="0" fontId="13" fillId="0" borderId="0" xfId="0" applyFont="1"/>
    <xf numFmtId="0" fontId="13" fillId="0" borderId="0" xfId="0" applyFont="1" applyAlignment="1">
      <alignment horizontal="left" textRotation="90"/>
    </xf>
    <xf numFmtId="0" fontId="20" fillId="4" borderId="0" xfId="0" applyFont="1" applyFill="1" applyAlignment="1">
      <alignment horizontal="centerContinuous" vertical="center"/>
    </xf>
    <xf numFmtId="0" fontId="21" fillId="8" borderId="12" xfId="0" applyFont="1" applyFill="1" applyBorder="1" applyAlignment="1">
      <alignment horizontal="left" vertical="top" wrapText="1"/>
    </xf>
    <xf numFmtId="0" fontId="13" fillId="0" borderId="0" xfId="0" applyFont="1" applyAlignment="1">
      <alignment textRotation="90" wrapText="1"/>
    </xf>
    <xf numFmtId="0" fontId="15" fillId="0" borderId="12" xfId="0" applyFont="1" applyBorder="1" applyAlignment="1">
      <alignment horizontal="left" vertical="top" wrapText="1"/>
    </xf>
    <xf numFmtId="0" fontId="20" fillId="5" borderId="0" xfId="0" applyFont="1" applyFill="1" applyAlignment="1">
      <alignment horizontal="centerContinuous" vertical="center" wrapText="1"/>
    </xf>
    <xf numFmtId="0" fontId="21" fillId="7" borderId="12" xfId="0" applyFont="1" applyFill="1" applyBorder="1" applyAlignment="1">
      <alignment horizontal="left" textRotation="90" wrapText="1"/>
    </xf>
    <xf numFmtId="0" fontId="15" fillId="0" borderId="12" xfId="0" applyFont="1" applyBorder="1" applyAlignment="1">
      <alignment horizontal="left" textRotation="90"/>
    </xf>
    <xf numFmtId="0" fontId="13" fillId="0" borderId="0" xfId="0" applyFont="1" applyAlignment="1">
      <alignment horizontal="center" vertical="center"/>
    </xf>
    <xf numFmtId="0" fontId="13" fillId="0" borderId="0" xfId="0" applyFont="1" applyAlignment="1">
      <alignment horizontal="left" vertical="top"/>
    </xf>
    <xf numFmtId="0" fontId="13" fillId="0" borderId="0" xfId="0" applyFont="1" applyAlignment="1">
      <alignment horizontal="center" vertical="center" wrapText="1"/>
    </xf>
    <xf numFmtId="0" fontId="13" fillId="0" borderId="0" xfId="0" applyFont="1" applyAlignment="1">
      <alignment horizontal="center" wrapText="1"/>
    </xf>
    <xf numFmtId="0" fontId="13" fillId="0" borderId="0" xfId="0" applyFont="1" applyAlignment="1">
      <alignment wrapText="1"/>
    </xf>
    <xf numFmtId="0" fontId="13" fillId="0" borderId="0" xfId="0" applyFont="1" applyAlignment="1">
      <alignment horizontal="left" vertical="top" wrapText="1"/>
    </xf>
    <xf numFmtId="0" fontId="25" fillId="0" borderId="0" xfId="0" applyFont="1" applyAlignment="1">
      <alignment horizontal="left" vertical="top" wrapText="1"/>
    </xf>
    <xf numFmtId="0" fontId="13" fillId="0" borderId="0" xfId="0" applyFont="1" applyAlignment="1">
      <alignment vertical="top" wrapText="1"/>
    </xf>
    <xf numFmtId="0" fontId="15" fillId="0" borderId="12" xfId="0" applyFont="1" applyBorder="1" applyAlignment="1">
      <alignment vertical="top" wrapText="1"/>
    </xf>
    <xf numFmtId="0" fontId="0" fillId="0" borderId="0" xfId="0" applyAlignment="1">
      <alignment horizontal="center" vertical="center"/>
    </xf>
    <xf numFmtId="0" fontId="31" fillId="12" borderId="12" xfId="6" applyFont="1" applyFill="1" applyBorder="1" applyAlignment="1">
      <alignment horizontal="left" textRotation="90" wrapText="1"/>
    </xf>
    <xf numFmtId="0" fontId="21" fillId="6" borderId="12" xfId="6" applyFont="1" applyFill="1" applyBorder="1" applyAlignment="1">
      <alignment horizontal="left" textRotation="90" wrapText="1"/>
    </xf>
    <xf numFmtId="0" fontId="31" fillId="5" borderId="0" xfId="6" applyFont="1" applyFill="1" applyAlignment="1">
      <alignment horizontal="left" textRotation="90" wrapText="1"/>
    </xf>
    <xf numFmtId="0" fontId="31" fillId="13" borderId="11" xfId="6" applyFont="1" applyFill="1" applyBorder="1" applyAlignment="1">
      <alignment horizontal="left" textRotation="90" wrapText="1"/>
    </xf>
    <xf numFmtId="0" fontId="14" fillId="0" borderId="0" xfId="0" applyFont="1" applyAlignment="1">
      <alignment horizontal="left" vertical="center" textRotation="90"/>
    </xf>
    <xf numFmtId="0" fontId="37" fillId="0" borderId="0" xfId="0" applyFont="1" applyAlignment="1" applyProtection="1">
      <alignment horizontal="center" vertical="top"/>
      <protection locked="0"/>
    </xf>
    <xf numFmtId="0" fontId="30" fillId="11" borderId="12" xfId="0" applyFont="1" applyFill="1" applyBorder="1" applyAlignment="1">
      <alignment horizontal="left" vertical="center"/>
    </xf>
    <xf numFmtId="0" fontId="30" fillId="0" borderId="0" xfId="0" applyFont="1" applyAlignment="1" applyProtection="1">
      <alignment horizontal="center" vertical="top"/>
      <protection locked="0"/>
    </xf>
    <xf numFmtId="0" fontId="30" fillId="11" borderId="12" xfId="0" applyFont="1" applyFill="1" applyBorder="1" applyAlignment="1">
      <alignment horizontal="center" vertical="center"/>
    </xf>
    <xf numFmtId="0" fontId="21" fillId="0" borderId="0" xfId="6" applyFont="1" applyFill="1" applyAlignment="1">
      <alignment horizontal="left" textRotation="90" wrapText="1"/>
    </xf>
    <xf numFmtId="0" fontId="18" fillId="0" borderId="0" xfId="0" applyFont="1" applyAlignment="1" applyProtection="1">
      <alignment vertical="center"/>
      <protection locked="0"/>
    </xf>
    <xf numFmtId="0" fontId="13" fillId="0" borderId="0" xfId="0" applyFont="1" applyAlignment="1">
      <alignment vertical="center"/>
    </xf>
    <xf numFmtId="0" fontId="32" fillId="0" borderId="0" xfId="0" applyFont="1" applyAlignment="1">
      <alignment vertical="center"/>
    </xf>
    <xf numFmtId="0" fontId="32" fillId="11" borderId="12" xfId="0" applyFont="1" applyFill="1" applyBorder="1" applyAlignment="1">
      <alignment vertical="center"/>
    </xf>
    <xf numFmtId="0" fontId="37" fillId="0" borderId="0" xfId="0" applyFont="1" applyAlignment="1" applyProtection="1">
      <alignment horizontal="center" vertical="top" wrapText="1"/>
      <protection locked="0"/>
    </xf>
    <xf numFmtId="0" fontId="30" fillId="11" borderId="12" xfId="0" applyFont="1" applyFill="1" applyBorder="1" applyAlignment="1">
      <alignment horizontal="left" vertical="center" wrapText="1"/>
    </xf>
    <xf numFmtId="0" fontId="30" fillId="0" borderId="0" xfId="0" applyFont="1" applyAlignment="1" applyProtection="1">
      <alignment horizontal="center" vertical="top" wrapText="1"/>
      <protection locked="0"/>
    </xf>
    <xf numFmtId="0" fontId="30" fillId="11" borderId="12" xfId="0" applyFont="1" applyFill="1" applyBorder="1" applyAlignment="1">
      <alignment horizontal="center" vertical="center" wrapText="1"/>
    </xf>
    <xf numFmtId="0" fontId="37" fillId="0" borderId="0" xfId="0" applyFont="1" applyAlignment="1" applyProtection="1">
      <alignment horizontal="center"/>
      <protection locked="0"/>
    </xf>
    <xf numFmtId="0" fontId="13" fillId="0" borderId="0" xfId="0" applyFont="1" applyAlignment="1">
      <alignment vertical="center" wrapText="1"/>
    </xf>
    <xf numFmtId="0" fontId="32" fillId="0" borderId="0" xfId="0" applyFont="1" applyAlignment="1">
      <alignment vertical="center" wrapText="1"/>
    </xf>
    <xf numFmtId="0" fontId="14" fillId="0" borderId="0" xfId="0" applyFont="1" applyAlignment="1" applyProtection="1">
      <alignment horizontal="center" vertical="top" wrapText="1"/>
      <protection locked="0"/>
    </xf>
    <xf numFmtId="0" fontId="14" fillId="0" borderId="0" xfId="0" applyFont="1" applyAlignment="1" applyProtection="1">
      <alignment vertical="top" wrapText="1"/>
      <protection locked="0"/>
    </xf>
    <xf numFmtId="0" fontId="15" fillId="18" borderId="12" xfId="0" applyFont="1" applyFill="1" applyBorder="1" applyAlignment="1">
      <alignment vertical="top" wrapText="1"/>
    </xf>
    <xf numFmtId="0" fontId="15" fillId="0" borderId="12" xfId="0" applyFont="1" applyBorder="1" applyAlignment="1" applyProtection="1">
      <alignment vertical="top" wrapText="1"/>
      <protection locked="0"/>
    </xf>
    <xf numFmtId="0" fontId="15" fillId="17" borderId="12" xfId="0" applyFont="1" applyFill="1" applyBorder="1" applyAlignment="1" applyProtection="1">
      <alignment vertical="top" wrapText="1"/>
      <protection locked="0"/>
    </xf>
    <xf numFmtId="0" fontId="14" fillId="0" borderId="0" xfId="0" applyFont="1" applyAlignment="1" applyProtection="1">
      <alignment horizontal="center"/>
      <protection locked="0"/>
    </xf>
    <xf numFmtId="0" fontId="14" fillId="0" borderId="0" xfId="0" applyFont="1" applyAlignment="1" applyProtection="1">
      <alignment vertical="center" wrapText="1"/>
      <protection locked="0"/>
    </xf>
    <xf numFmtId="0" fontId="15" fillId="0" borderId="12" xfId="0" applyFont="1" applyBorder="1" applyAlignment="1" applyProtection="1">
      <alignment horizontal="left" vertical="top" wrapText="1"/>
      <protection locked="0"/>
    </xf>
    <xf numFmtId="0" fontId="15" fillId="17" borderId="12" xfId="0" applyFont="1" applyFill="1" applyBorder="1" applyAlignment="1" applyProtection="1">
      <alignment horizontal="left" vertical="top" wrapText="1"/>
      <protection locked="0"/>
    </xf>
    <xf numFmtId="0" fontId="27" fillId="0" borderId="0" xfId="0" applyFont="1" applyAlignment="1" applyProtection="1">
      <alignment horizontal="center"/>
      <protection locked="0"/>
    </xf>
    <xf numFmtId="0" fontId="14" fillId="0" borderId="0" xfId="0" applyFont="1" applyProtection="1">
      <protection locked="0"/>
    </xf>
    <xf numFmtId="0" fontId="13" fillId="0" borderId="0" xfId="0" applyFont="1" applyProtection="1">
      <protection locked="0"/>
    </xf>
    <xf numFmtId="0" fontId="13" fillId="0" borderId="0" xfId="0" applyFont="1" applyAlignment="1" applyProtection="1">
      <alignment vertical="center"/>
      <protection locked="0"/>
    </xf>
    <xf numFmtId="0" fontId="31" fillId="15" borderId="12" xfId="6" applyFont="1" applyFill="1" applyBorder="1" applyAlignment="1">
      <alignment horizontal="left" textRotation="90" wrapText="1"/>
    </xf>
    <xf numFmtId="0" fontId="21" fillId="6" borderId="17" xfId="6" applyFont="1" applyFill="1" applyBorder="1" applyAlignment="1">
      <alignment horizontal="left" textRotation="90" wrapText="1"/>
    </xf>
    <xf numFmtId="0" fontId="31" fillId="13" borderId="12" xfId="6" applyFont="1" applyFill="1" applyBorder="1" applyAlignment="1">
      <alignment horizontal="left" textRotation="90" wrapText="1"/>
    </xf>
    <xf numFmtId="0" fontId="8" fillId="0" borderId="0" xfId="0" applyFont="1" applyAlignment="1">
      <alignment horizontal="left" textRotation="90"/>
    </xf>
    <xf numFmtId="0" fontId="24" fillId="0" borderId="0" xfId="0" applyFont="1" applyAlignment="1" applyProtection="1">
      <alignment horizontal="left" vertical="top"/>
      <protection locked="0"/>
    </xf>
    <xf numFmtId="0" fontId="19" fillId="0" borderId="0" xfId="0" applyFont="1" applyAlignment="1" applyProtection="1">
      <alignment vertical="center"/>
      <protection locked="0"/>
    </xf>
    <xf numFmtId="0" fontId="24" fillId="0" borderId="0" xfId="0" applyFont="1" applyAlignment="1" applyProtection="1">
      <alignment horizontal="left" vertical="top" wrapText="1"/>
      <protection locked="0"/>
    </xf>
    <xf numFmtId="0" fontId="19" fillId="0" borderId="0" xfId="0" applyFont="1" applyAlignment="1">
      <alignment vertical="top" wrapText="1"/>
    </xf>
    <xf numFmtId="0" fontId="15" fillId="16" borderId="12" xfId="0" applyFont="1" applyFill="1" applyBorder="1" applyAlignment="1" applyProtection="1">
      <alignment horizontal="fill" vertical="top" wrapText="1"/>
      <protection locked="0"/>
    </xf>
    <xf numFmtId="0" fontId="13" fillId="0" borderId="0" xfId="0" applyFont="1" applyAlignment="1">
      <alignment horizontal="right" vertical="center"/>
    </xf>
    <xf numFmtId="0" fontId="31" fillId="5" borderId="12" xfId="6" applyFont="1" applyFill="1" applyBorder="1" applyAlignment="1">
      <alignment horizontal="left" textRotation="90" wrapText="1"/>
    </xf>
    <xf numFmtId="0" fontId="14" fillId="0" borderId="0" xfId="0" applyFont="1" applyAlignment="1" applyProtection="1">
      <alignment vertical="center"/>
      <protection locked="0"/>
    </xf>
    <xf numFmtId="0" fontId="14" fillId="16" borderId="12" xfId="0" applyFont="1" applyFill="1" applyBorder="1" applyAlignment="1" applyProtection="1">
      <alignment vertical="top" wrapText="1"/>
      <protection locked="0"/>
    </xf>
    <xf numFmtId="0" fontId="6" fillId="0" borderId="12" xfId="0" applyFont="1" applyBorder="1" applyAlignment="1" applyProtection="1">
      <alignment vertical="top" wrapText="1"/>
      <protection locked="0"/>
    </xf>
    <xf numFmtId="0" fontId="14" fillId="17" borderId="12" xfId="0" applyFont="1" applyFill="1" applyBorder="1" applyAlignment="1" applyProtection="1">
      <alignment vertical="top" wrapText="1"/>
      <protection locked="0"/>
    </xf>
    <xf numFmtId="0" fontId="21" fillId="0" borderId="17" xfId="6" applyFont="1" applyFill="1" applyBorder="1" applyAlignment="1">
      <alignment horizontal="left" textRotation="90" wrapText="1"/>
    </xf>
    <xf numFmtId="0" fontId="14" fillId="0" borderId="0" xfId="0" applyFont="1" applyAlignment="1">
      <alignment horizontal="left" vertical="center"/>
    </xf>
    <xf numFmtId="0" fontId="14" fillId="0" borderId="0" xfId="0" applyFont="1" applyAlignment="1" applyProtection="1">
      <alignment horizontal="center" vertical="top"/>
      <protection locked="0"/>
    </xf>
    <xf numFmtId="0" fontId="24" fillId="0" borderId="0" xfId="0" applyFont="1" applyAlignment="1" applyProtection="1">
      <alignment horizontal="center" vertical="top"/>
      <protection locked="0"/>
    </xf>
    <xf numFmtId="0" fontId="24"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7" fillId="0" borderId="0" xfId="0" applyFont="1" applyAlignment="1" applyProtection="1">
      <alignment vertical="top" wrapText="1"/>
      <protection locked="0"/>
    </xf>
    <xf numFmtId="0" fontId="29" fillId="0" borderId="12" xfId="4" applyFont="1" applyBorder="1" applyAlignment="1" applyProtection="1">
      <alignment horizontal="fill" vertical="top" wrapText="1"/>
      <protection locked="0"/>
    </xf>
    <xf numFmtId="0" fontId="15" fillId="8" borderId="12" xfId="0" applyFont="1" applyFill="1" applyBorder="1" applyAlignment="1">
      <alignment horizontal="left" vertical="top" wrapText="1"/>
    </xf>
    <xf numFmtId="0" fontId="13" fillId="0" borderId="0" xfId="0" applyFont="1" applyAlignment="1" applyProtection="1">
      <alignment vertical="top" wrapText="1"/>
      <protection locked="0"/>
    </xf>
    <xf numFmtId="0" fontId="13" fillId="0" borderId="0" xfId="0" applyFont="1" applyAlignment="1" applyProtection="1">
      <alignment wrapText="1"/>
      <protection locked="0"/>
    </xf>
    <xf numFmtId="0" fontId="9" fillId="0" borderId="0" xfId="0" applyFont="1"/>
    <xf numFmtId="0" fontId="21" fillId="4" borderId="12" xfId="6" applyFont="1" applyFill="1" applyBorder="1" applyAlignment="1">
      <alignment horizontal="left" textRotation="90" wrapText="1"/>
    </xf>
    <xf numFmtId="0" fontId="21" fillId="4" borderId="14" xfId="6" applyFont="1" applyFill="1" applyBorder="1" applyAlignment="1">
      <alignment horizontal="left" textRotation="90" wrapText="1"/>
    </xf>
    <xf numFmtId="0" fontId="21" fillId="4" borderId="15" xfId="6" applyFont="1" applyFill="1" applyBorder="1" applyAlignment="1">
      <alignment horizontal="left" textRotation="90" wrapText="1"/>
    </xf>
    <xf numFmtId="0" fontId="31" fillId="13" borderId="15" xfId="6" applyFont="1" applyFill="1" applyBorder="1" applyAlignment="1">
      <alignment horizontal="left" textRotation="90" wrapText="1"/>
    </xf>
    <xf numFmtId="0" fontId="31" fillId="5" borderId="15" xfId="6" applyFont="1" applyFill="1" applyBorder="1" applyAlignment="1">
      <alignment horizontal="left" textRotation="90" wrapText="1"/>
    </xf>
    <xf numFmtId="0" fontId="14" fillId="0" borderId="0" xfId="0" applyFont="1" applyAlignment="1" applyProtection="1">
      <alignment horizontal="left" vertical="center"/>
      <protection locked="0"/>
    </xf>
    <xf numFmtId="0" fontId="27" fillId="0" borderId="0" xfId="0" applyFont="1" applyAlignment="1" applyProtection="1">
      <alignment horizontal="center" vertical="top" wrapText="1"/>
      <protection locked="0"/>
    </xf>
    <xf numFmtId="0" fontId="27" fillId="0" borderId="0" xfId="0" applyFont="1" applyAlignment="1" applyProtection="1">
      <alignment horizontal="left" vertical="top" wrapText="1"/>
      <protection locked="0"/>
    </xf>
    <xf numFmtId="0" fontId="18" fillId="0" borderId="12" xfId="0" applyFont="1" applyBorder="1" applyAlignment="1" applyProtection="1">
      <alignment vertical="top" wrapText="1"/>
      <protection locked="0"/>
    </xf>
    <xf numFmtId="0" fontId="23" fillId="0" borderId="12" xfId="4" applyFont="1" applyBorder="1" applyAlignment="1" applyProtection="1">
      <alignment vertical="top"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right" vertical="center"/>
      <protection locked="0"/>
    </xf>
    <xf numFmtId="0" fontId="20" fillId="12" borderId="0" xfId="0" applyFont="1" applyFill="1" applyAlignment="1">
      <alignment horizontal="left" vertical="center"/>
    </xf>
    <xf numFmtId="0" fontId="20" fillId="12" borderId="0" xfId="0" applyFont="1" applyFill="1" applyAlignment="1">
      <alignment vertical="center"/>
    </xf>
    <xf numFmtId="0" fontId="26" fillId="0" borderId="0" xfId="0" applyFont="1" applyAlignment="1">
      <alignment vertical="center"/>
    </xf>
    <xf numFmtId="0" fontId="16" fillId="0" borderId="0" xfId="0" applyFont="1" applyAlignment="1">
      <alignment horizontal="center" vertical="top"/>
    </xf>
    <xf numFmtId="0" fontId="14" fillId="0" borderId="0" xfId="0" applyFont="1" applyAlignment="1">
      <alignment vertical="top" wrapText="1"/>
    </xf>
    <xf numFmtId="0" fontId="26" fillId="0" borderId="0" xfId="0" applyFont="1" applyAlignment="1">
      <alignment horizontal="center" vertical="center"/>
    </xf>
    <xf numFmtId="0" fontId="20" fillId="12" borderId="14" xfId="0" applyFont="1" applyFill="1" applyBorder="1" applyAlignment="1">
      <alignment vertical="center"/>
    </xf>
    <xf numFmtId="0" fontId="20" fillId="12" borderId="15" xfId="0" applyFont="1" applyFill="1" applyBorder="1" applyAlignment="1">
      <alignment vertical="center"/>
    </xf>
    <xf numFmtId="0" fontId="20" fillId="12" borderId="11" xfId="0" applyFont="1" applyFill="1" applyBorder="1" applyAlignment="1">
      <alignment vertical="center"/>
    </xf>
    <xf numFmtId="0" fontId="14" fillId="0" borderId="0" xfId="0" applyFont="1" applyAlignment="1">
      <alignment horizontal="center" vertical="top"/>
    </xf>
    <xf numFmtId="0" fontId="16" fillId="0" borderId="0" xfId="0" applyFont="1" applyAlignment="1">
      <alignment vertical="top"/>
    </xf>
    <xf numFmtId="0" fontId="31" fillId="0" borderId="17" xfId="0" applyFont="1" applyBorder="1" applyAlignment="1">
      <alignment horizontal="center" vertical="center"/>
    </xf>
    <xf numFmtId="0" fontId="31" fillId="0" borderId="13" xfId="0" applyFont="1" applyBorder="1" applyAlignment="1">
      <alignment horizontal="center" vertical="center"/>
    </xf>
    <xf numFmtId="0" fontId="31" fillId="8" borderId="12" xfId="0" applyFont="1" applyFill="1" applyBorder="1" applyAlignment="1">
      <alignment horizontal="center" vertical="center"/>
    </xf>
    <xf numFmtId="0" fontId="31" fillId="3" borderId="12" xfId="0" applyFont="1" applyFill="1" applyBorder="1" applyAlignment="1">
      <alignment horizontal="center" vertical="center"/>
    </xf>
    <xf numFmtId="0" fontId="31" fillId="17" borderId="12" xfId="0" applyFont="1" applyFill="1" applyBorder="1" applyAlignment="1">
      <alignment horizontal="center" vertical="center"/>
    </xf>
    <xf numFmtId="0" fontId="31" fillId="14" borderId="12" xfId="0" applyFont="1" applyFill="1" applyBorder="1" applyAlignment="1">
      <alignment horizontal="center" vertical="center"/>
    </xf>
    <xf numFmtId="0" fontId="31" fillId="12" borderId="12" xfId="6" applyFont="1" applyFill="1" applyBorder="1" applyAlignment="1">
      <alignment horizontal="center" textRotation="90" wrapText="1"/>
    </xf>
    <xf numFmtId="0" fontId="21" fillId="6" borderId="12" xfId="6" applyFont="1" applyFill="1" applyBorder="1" applyAlignment="1">
      <alignment horizontal="center" textRotation="90"/>
    </xf>
    <xf numFmtId="0" fontId="16" fillId="0" borderId="0" xfId="0" applyFont="1" applyAlignment="1">
      <alignment vertical="top" wrapText="1"/>
    </xf>
    <xf numFmtId="0" fontId="16" fillId="0" borderId="0" xfId="0" applyFont="1" applyAlignment="1">
      <alignment horizontal="center" vertical="center"/>
    </xf>
    <xf numFmtId="0" fontId="31" fillId="14" borderId="17" xfId="0" applyFont="1" applyFill="1" applyBorder="1" applyAlignment="1">
      <alignment horizontal="center" vertical="center"/>
    </xf>
    <xf numFmtId="0" fontId="14" fillId="0" borderId="16" xfId="0" applyFont="1" applyBorder="1" applyAlignment="1">
      <alignment vertical="center"/>
    </xf>
    <xf numFmtId="0" fontId="14" fillId="0" borderId="0" xfId="0" applyFont="1" applyAlignment="1">
      <alignment vertical="center"/>
    </xf>
    <xf numFmtId="0" fontId="14" fillId="0" borderId="0" xfId="0" applyFont="1" applyAlignment="1">
      <alignment vertical="center" wrapText="1"/>
    </xf>
    <xf numFmtId="0" fontId="31" fillId="14" borderId="13" xfId="0" applyFont="1" applyFill="1" applyBorder="1" applyAlignment="1">
      <alignment horizontal="center" vertical="center"/>
    </xf>
    <xf numFmtId="0" fontId="7" fillId="0" borderId="16" xfId="0" applyFont="1" applyBorder="1" applyAlignment="1">
      <alignment horizontal="left" vertical="center" indent="1"/>
    </xf>
    <xf numFmtId="0" fontId="31" fillId="14" borderId="18" xfId="0" applyFont="1" applyFill="1" applyBorder="1" applyAlignment="1">
      <alignment horizontal="center" vertical="center"/>
    </xf>
    <xf numFmtId="0" fontId="7" fillId="0" borderId="0" xfId="0" applyFont="1" applyAlignment="1">
      <alignment horizontal="left" vertical="center" indent="1"/>
    </xf>
    <xf numFmtId="0" fontId="7" fillId="0" borderId="0" xfId="0" applyFont="1" applyAlignment="1">
      <alignment vertical="center"/>
    </xf>
    <xf numFmtId="0" fontId="14" fillId="0" borderId="16" xfId="0" applyFont="1" applyBorder="1" applyAlignment="1">
      <alignment horizontal="left" vertical="center" indent="1"/>
    </xf>
    <xf numFmtId="0" fontId="6" fillId="0" borderId="0" xfId="0" applyFont="1" applyAlignment="1">
      <alignment horizontal="left" vertical="center" indent="1"/>
    </xf>
    <xf numFmtId="0" fontId="7" fillId="0" borderId="16" xfId="0" applyFont="1" applyBorder="1" applyAlignment="1">
      <alignment vertical="center"/>
    </xf>
    <xf numFmtId="0" fontId="14" fillId="0" borderId="0" xfId="0" applyFont="1" applyAlignment="1">
      <alignment horizontal="left" vertical="center" indent="1"/>
    </xf>
    <xf numFmtId="0" fontId="20" fillId="13" borderId="14" xfId="0" applyFont="1" applyFill="1" applyBorder="1" applyAlignment="1">
      <alignment vertical="center"/>
    </xf>
    <xf numFmtId="0" fontId="20" fillId="13" borderId="15" xfId="0" applyFont="1" applyFill="1" applyBorder="1" applyAlignment="1">
      <alignment vertical="center"/>
    </xf>
    <xf numFmtId="0" fontId="20" fillId="13" borderId="11" xfId="0" applyFont="1" applyFill="1" applyBorder="1" applyAlignment="1">
      <alignment vertical="center"/>
    </xf>
    <xf numFmtId="0" fontId="16" fillId="0" borderId="0" xfId="0" applyFont="1" applyAlignment="1">
      <alignment horizontal="center"/>
    </xf>
    <xf numFmtId="0" fontId="31" fillId="13" borderId="12" xfId="6" applyFont="1" applyFill="1" applyBorder="1" applyAlignment="1">
      <alignment horizontal="center" textRotation="90" wrapText="1"/>
    </xf>
    <xf numFmtId="0" fontId="21" fillId="6" borderId="12" xfId="6" applyFont="1" applyFill="1" applyBorder="1" applyAlignment="1">
      <alignment horizontal="center" textRotation="90" wrapText="1"/>
    </xf>
    <xf numFmtId="0" fontId="14" fillId="0" borderId="0" xfId="0" applyFont="1" applyAlignment="1">
      <alignment horizontal="center"/>
    </xf>
    <xf numFmtId="0" fontId="34" fillId="4" borderId="14" xfId="0" applyFont="1" applyFill="1" applyBorder="1" applyAlignment="1">
      <alignment vertical="center"/>
    </xf>
    <xf numFmtId="0" fontId="34" fillId="4" borderId="15" xfId="0" applyFont="1" applyFill="1" applyBorder="1" applyAlignment="1">
      <alignment vertical="center"/>
    </xf>
    <xf numFmtId="0" fontId="36" fillId="0" borderId="0" xfId="0" applyFont="1" applyAlignment="1">
      <alignment vertical="center"/>
    </xf>
    <xf numFmtId="0" fontId="31" fillId="14" borderId="0" xfId="0" applyFont="1" applyFill="1" applyAlignment="1">
      <alignment horizontal="center" vertical="center"/>
    </xf>
    <xf numFmtId="0" fontId="31" fillId="14" borderId="14" xfId="0" applyFont="1" applyFill="1" applyBorder="1" applyAlignment="1">
      <alignment horizontal="centerContinuous" vertical="center"/>
    </xf>
    <xf numFmtId="0" fontId="31" fillId="14" borderId="15" xfId="0" applyFont="1" applyFill="1" applyBorder="1" applyAlignment="1">
      <alignment horizontal="centerContinuous" vertical="center"/>
    </xf>
    <xf numFmtId="0" fontId="31" fillId="14" borderId="11" xfId="0" applyFont="1" applyFill="1" applyBorder="1" applyAlignment="1">
      <alignment horizontal="centerContinuous" vertical="center"/>
    </xf>
    <xf numFmtId="0" fontId="21" fillId="4" borderId="12" xfId="6" applyFont="1" applyFill="1" applyBorder="1" applyAlignment="1">
      <alignment horizontal="center" textRotation="90" wrapText="1"/>
    </xf>
    <xf numFmtId="0" fontId="21" fillId="4" borderId="14" xfId="6" applyFont="1" applyFill="1" applyBorder="1" applyAlignment="1">
      <alignment horizontal="center" textRotation="90" wrapText="1"/>
    </xf>
    <xf numFmtId="0" fontId="21" fillId="4" borderId="15" xfId="6" applyFont="1" applyFill="1" applyBorder="1" applyAlignment="1">
      <alignment horizontal="center" textRotation="90" wrapText="1"/>
    </xf>
    <xf numFmtId="0" fontId="31" fillId="13" borderId="15" xfId="6" applyFont="1" applyFill="1" applyBorder="1" applyAlignment="1">
      <alignment horizontal="center" textRotation="90" wrapText="1"/>
    </xf>
    <xf numFmtId="0" fontId="21" fillId="4" borderId="14" xfId="0" applyFont="1" applyFill="1" applyBorder="1" applyAlignment="1">
      <alignment vertical="center"/>
    </xf>
    <xf numFmtId="0" fontId="21" fillId="4" borderId="15" xfId="0" applyFont="1" applyFill="1" applyBorder="1" applyAlignment="1">
      <alignment vertical="center"/>
    </xf>
    <xf numFmtId="0" fontId="14" fillId="0" borderId="0" xfId="0" applyFont="1" applyAlignment="1">
      <alignment horizontal="center" vertical="top" wrapText="1"/>
    </xf>
    <xf numFmtId="0" fontId="21" fillId="4" borderId="11" xfId="0" applyFont="1" applyFill="1" applyBorder="1" applyAlignment="1">
      <alignment vertical="center"/>
    </xf>
    <xf numFmtId="0" fontId="16" fillId="0" borderId="0" xfId="0" applyFont="1" applyAlignment="1">
      <alignment vertical="center"/>
    </xf>
    <xf numFmtId="0" fontId="21" fillId="6" borderId="17" xfId="6" applyFont="1" applyFill="1" applyBorder="1" applyAlignment="1">
      <alignment horizontal="center" textRotation="90" wrapText="1"/>
    </xf>
    <xf numFmtId="0" fontId="14" fillId="0" borderId="0" xfId="0" applyFont="1" applyAlignment="1">
      <alignment horizontal="left" vertical="top"/>
    </xf>
    <xf numFmtId="0" fontId="14" fillId="0" borderId="0" xfId="0" applyFont="1" applyAlignment="1">
      <alignment horizontal="left" vertical="top" wrapText="1"/>
    </xf>
    <xf numFmtId="0" fontId="26" fillId="0" borderId="0" xfId="0" applyFont="1" applyAlignment="1">
      <alignment horizontal="center" vertical="top"/>
    </xf>
    <xf numFmtId="0" fontId="20" fillId="5" borderId="14" xfId="0" applyFont="1" applyFill="1" applyBorder="1" applyAlignment="1">
      <alignment horizontal="left" vertical="center"/>
    </xf>
    <xf numFmtId="0" fontId="20" fillId="5" borderId="15" xfId="0" applyFont="1" applyFill="1" applyBorder="1" applyAlignment="1">
      <alignment horizontal="left" vertical="center"/>
    </xf>
    <xf numFmtId="0" fontId="20" fillId="5" borderId="11" xfId="0" applyFont="1" applyFill="1" applyBorder="1" applyAlignment="1">
      <alignment horizontal="left" vertical="center"/>
    </xf>
    <xf numFmtId="0" fontId="25" fillId="0" borderId="0" xfId="0" applyFont="1" applyAlignment="1">
      <alignment horizontal="left" vertical="top"/>
    </xf>
    <xf numFmtId="0" fontId="31" fillId="5" borderId="12" xfId="6" applyFont="1" applyFill="1" applyBorder="1" applyAlignment="1">
      <alignment horizontal="center" textRotation="90" wrapText="1"/>
    </xf>
    <xf numFmtId="0" fontId="21" fillId="0" borderId="12" xfId="6" applyFont="1" applyFill="1" applyBorder="1" applyAlignment="1">
      <alignment horizontal="center" textRotation="90" wrapText="1"/>
    </xf>
    <xf numFmtId="0" fontId="21" fillId="0" borderId="0" xfId="6" applyFont="1" applyFill="1" applyAlignment="1">
      <alignment horizontal="center" textRotation="90" wrapText="1"/>
    </xf>
    <xf numFmtId="0" fontId="31" fillId="5" borderId="14" xfId="0" applyFont="1" applyFill="1" applyBorder="1" applyAlignment="1">
      <alignment vertical="center"/>
    </xf>
    <xf numFmtId="0" fontId="31" fillId="5" borderId="15" xfId="0" applyFont="1" applyFill="1" applyBorder="1" applyAlignment="1">
      <alignment vertical="center"/>
    </xf>
    <xf numFmtId="0" fontId="31" fillId="5" borderId="11" xfId="0" applyFont="1" applyFill="1" applyBorder="1" applyAlignment="1">
      <alignment vertical="center"/>
    </xf>
    <xf numFmtId="0" fontId="31" fillId="5" borderId="0" xfId="6" applyFont="1" applyFill="1" applyAlignment="1">
      <alignment horizontal="center" textRotation="90" wrapText="1"/>
    </xf>
    <xf numFmtId="0" fontId="20" fillId="5" borderId="0" xfId="0" applyFont="1" applyFill="1" applyAlignment="1">
      <alignment horizontal="left" vertical="center"/>
    </xf>
    <xf numFmtId="0" fontId="20" fillId="15" borderId="0" xfId="0" applyFont="1" applyFill="1" applyAlignment="1">
      <alignment horizontal="left" vertical="center"/>
    </xf>
    <xf numFmtId="0" fontId="35" fillId="0" borderId="0" xfId="0" applyFont="1" applyAlignment="1">
      <alignment horizontal="center" vertical="center"/>
    </xf>
    <xf numFmtId="0" fontId="31" fillId="15" borderId="12" xfId="6" applyFont="1" applyFill="1" applyBorder="1" applyAlignment="1">
      <alignment horizontal="center" textRotation="90" wrapText="1"/>
    </xf>
    <xf numFmtId="0" fontId="21" fillId="0" borderId="0" xfId="0" applyFont="1" applyAlignment="1">
      <alignment horizontal="center" textRotation="90"/>
    </xf>
    <xf numFmtId="0" fontId="21" fillId="0" borderId="0" xfId="0" applyFont="1" applyAlignment="1">
      <alignment horizontal="left" textRotation="90"/>
    </xf>
    <xf numFmtId="0" fontId="33" fillId="0" borderId="0" xfId="0" applyFont="1" applyAlignment="1">
      <alignment horizontal="left" vertical="center" wrapText="1" readingOrder="1"/>
    </xf>
    <xf numFmtId="0" fontId="31" fillId="19" borderId="12" xfId="0" applyFont="1" applyFill="1" applyBorder="1" applyAlignment="1">
      <alignment vertical="center"/>
    </xf>
    <xf numFmtId="0" fontId="16" fillId="3" borderId="12" xfId="0" applyFont="1" applyFill="1" applyBorder="1" applyAlignment="1">
      <alignment horizontal="left" vertical="center"/>
    </xf>
    <xf numFmtId="0" fontId="31" fillId="19" borderId="12" xfId="0" applyFont="1" applyFill="1" applyBorder="1" applyAlignment="1">
      <alignment horizontal="left" vertical="center"/>
    </xf>
    <xf numFmtId="0" fontId="15" fillId="0" borderId="13" xfId="0" applyFont="1" applyBorder="1" applyAlignment="1">
      <alignment horizontal="left" vertical="top"/>
    </xf>
    <xf numFmtId="0" fontId="0" fillId="0" borderId="0" xfId="0" applyAlignment="1">
      <alignment vertical="top"/>
    </xf>
    <xf numFmtId="0" fontId="15" fillId="0" borderId="12" xfId="0" applyFont="1" applyBorder="1" applyAlignment="1">
      <alignment horizontal="left" vertical="top"/>
    </xf>
    <xf numFmtId="0" fontId="15" fillId="9" borderId="12" xfId="0" applyFont="1" applyFill="1" applyBorder="1" applyAlignment="1">
      <alignment horizontal="left" vertical="top"/>
    </xf>
    <xf numFmtId="0" fontId="15" fillId="9" borderId="12" xfId="0" applyFont="1" applyFill="1" applyBorder="1" applyAlignment="1" applyProtection="1">
      <alignment horizontal="left" vertical="top"/>
      <protection locked="0"/>
    </xf>
    <xf numFmtId="0" fontId="15" fillId="9"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0" fontId="0" fillId="0" borderId="0" xfId="0" applyAlignment="1">
      <alignment wrapText="1"/>
    </xf>
    <xf numFmtId="0" fontId="15" fillId="16" borderId="12" xfId="0" applyFont="1" applyFill="1" applyBorder="1" applyAlignment="1" applyProtection="1">
      <alignment vertical="top" wrapText="1"/>
      <protection locked="0"/>
    </xf>
    <xf numFmtId="0" fontId="15" fillId="0" borderId="0" xfId="0" applyFont="1" applyAlignment="1" applyProtection="1">
      <alignment vertical="top" wrapText="1"/>
      <protection locked="0"/>
    </xf>
    <xf numFmtId="0" fontId="14" fillId="0" borderId="0" xfId="0" applyFont="1" applyAlignment="1" applyProtection="1">
      <alignment horizontal="center" wrapText="1"/>
      <protection locked="0"/>
    </xf>
    <xf numFmtId="0" fontId="6" fillId="0" borderId="16" xfId="0" applyFont="1" applyBorder="1" applyAlignment="1">
      <alignment vertical="center"/>
    </xf>
    <xf numFmtId="0" fontId="31" fillId="14" borderId="12" xfId="0" applyFont="1" applyFill="1" applyBorder="1" applyAlignment="1">
      <alignment horizontal="centerContinuous" vertical="center"/>
    </xf>
    <xf numFmtId="0" fontId="21" fillId="0" borderId="12" xfId="6" applyFont="1" applyFill="1" applyBorder="1" applyAlignment="1">
      <alignment horizontal="left" textRotation="90" wrapText="1"/>
    </xf>
    <xf numFmtId="0" fontId="31" fillId="18" borderId="12" xfId="0" applyFont="1" applyFill="1" applyBorder="1" applyAlignment="1">
      <alignment horizontal="center" vertical="center"/>
    </xf>
    <xf numFmtId="2" fontId="39" fillId="0" borderId="12" xfId="0" applyNumberFormat="1" applyFont="1" applyBorder="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23" fillId="0" borderId="0" xfId="4" applyFont="1"/>
    <xf numFmtId="0" fontId="33"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top" wrapText="1"/>
    </xf>
    <xf numFmtId="0" fontId="23" fillId="0" borderId="0" xfId="4" applyFont="1" applyAlignment="1">
      <alignment horizontal="left" vertical="top"/>
    </xf>
    <xf numFmtId="0" fontId="4" fillId="0" borderId="0" xfId="0" applyFont="1" applyAlignment="1">
      <alignment vertical="center"/>
    </xf>
    <xf numFmtId="0" fontId="4" fillId="0" borderId="16" xfId="0" applyFont="1" applyBorder="1" applyAlignment="1">
      <alignment vertical="center"/>
    </xf>
    <xf numFmtId="0" fontId="4" fillId="0" borderId="0" xfId="0" applyFont="1" applyAlignment="1">
      <alignment vertical="top"/>
    </xf>
    <xf numFmtId="0" fontId="31" fillId="15" borderId="14" xfId="0" applyFont="1" applyFill="1" applyBorder="1" applyAlignment="1">
      <alignment vertical="center"/>
    </xf>
    <xf numFmtId="0" fontId="31" fillId="15" borderId="15" xfId="0" applyFont="1" applyFill="1" applyBorder="1" applyAlignment="1">
      <alignment vertical="center"/>
    </xf>
    <xf numFmtId="0" fontId="31" fillId="15" borderId="11" xfId="0" applyFont="1" applyFill="1" applyBorder="1" applyAlignment="1">
      <alignment vertical="center"/>
    </xf>
    <xf numFmtId="0" fontId="31" fillId="15" borderId="15" xfId="6" applyFont="1" applyFill="1" applyBorder="1" applyAlignment="1">
      <alignment horizontal="center" textRotation="90" wrapText="1"/>
    </xf>
    <xf numFmtId="0" fontId="31" fillId="15" borderId="15" xfId="6" applyFont="1" applyFill="1" applyBorder="1" applyAlignment="1">
      <alignment horizontal="left" textRotation="90" wrapText="1"/>
    </xf>
    <xf numFmtId="0" fontId="3" fillId="0" borderId="0" xfId="0" applyFont="1" applyAlignment="1">
      <alignment vertical="top"/>
    </xf>
    <xf numFmtId="0" fontId="29" fillId="16" borderId="12" xfId="4" applyFont="1" applyFill="1" applyBorder="1" applyAlignment="1" applyProtection="1">
      <alignment horizontal="fill" vertical="top" wrapText="1"/>
      <protection locked="0"/>
    </xf>
    <xf numFmtId="0" fontId="21" fillId="7" borderId="0" xfId="0" applyFont="1" applyFill="1" applyAlignment="1">
      <alignment horizontal="left" textRotation="90" wrapText="1"/>
    </xf>
    <xf numFmtId="0" fontId="15" fillId="0" borderId="0" xfId="0" applyFont="1" applyAlignment="1">
      <alignment horizontal="left" textRotation="90"/>
    </xf>
    <xf numFmtId="0" fontId="15" fillId="0" borderId="13" xfId="0" applyFont="1" applyBorder="1" applyAlignment="1">
      <alignment horizontal="left" vertical="top" wrapText="1"/>
    </xf>
    <xf numFmtId="0" fontId="41" fillId="20" borderId="0" xfId="0" applyFont="1" applyFill="1" applyAlignment="1">
      <alignment vertical="center"/>
    </xf>
    <xf numFmtId="0" fontId="41" fillId="20" borderId="0" xfId="0" applyFont="1" applyFill="1" applyAlignment="1">
      <alignment horizontal="center" vertical="center"/>
    </xf>
    <xf numFmtId="0" fontId="41" fillId="20" borderId="0" xfId="0" applyFont="1" applyFill="1" applyAlignment="1">
      <alignment vertical="center" textRotation="90"/>
    </xf>
    <xf numFmtId="0" fontId="41" fillId="20" borderId="0" xfId="0" applyFont="1" applyFill="1" applyAlignment="1">
      <alignment horizontal="left" vertical="center"/>
    </xf>
    <xf numFmtId="0" fontId="41" fillId="20" borderId="20" xfId="0" applyFont="1" applyFill="1" applyBorder="1" applyAlignment="1">
      <alignment vertical="center"/>
    </xf>
    <xf numFmtId="0" fontId="41" fillId="20" borderId="20" xfId="0" applyFont="1" applyFill="1" applyBorder="1" applyAlignment="1">
      <alignment horizontal="center" vertical="center"/>
    </xf>
    <xf numFmtId="0" fontId="41" fillId="20" borderId="20" xfId="0" applyFont="1" applyFill="1" applyBorder="1" applyAlignment="1">
      <alignment vertical="center" textRotation="90"/>
    </xf>
    <xf numFmtId="0" fontId="41" fillId="20" borderId="20" xfId="0" applyFont="1" applyFill="1" applyBorder="1" applyAlignment="1">
      <alignment horizontal="left" vertical="center"/>
    </xf>
    <xf numFmtId="0" fontId="41" fillId="20" borderId="23" xfId="0" applyFont="1" applyFill="1" applyBorder="1" applyAlignment="1">
      <alignment vertical="center"/>
    </xf>
    <xf numFmtId="0" fontId="41" fillId="3" borderId="0" xfId="0" applyFont="1" applyFill="1" applyAlignment="1">
      <alignment horizontal="center" vertical="center"/>
    </xf>
    <xf numFmtId="0" fontId="19" fillId="6" borderId="0" xfId="0" applyFont="1" applyFill="1" applyAlignment="1">
      <alignment horizontal="left" vertical="center"/>
    </xf>
    <xf numFmtId="0" fontId="41" fillId="20" borderId="24" xfId="0" applyFont="1" applyFill="1" applyBorder="1" applyAlignment="1">
      <alignment vertical="center"/>
    </xf>
    <xf numFmtId="0" fontId="41" fillId="20" borderId="22" xfId="0" applyFont="1" applyFill="1" applyBorder="1" applyAlignment="1">
      <alignment vertical="center"/>
    </xf>
    <xf numFmtId="0" fontId="41" fillId="20" borderId="22" xfId="0" applyFont="1" applyFill="1" applyBorder="1" applyAlignment="1">
      <alignment horizontal="center" vertical="center"/>
    </xf>
    <xf numFmtId="0" fontId="41" fillId="20" borderId="22" xfId="0" applyFont="1" applyFill="1" applyBorder="1" applyAlignment="1">
      <alignment vertical="center" textRotation="90"/>
    </xf>
    <xf numFmtId="0" fontId="41" fillId="20" borderId="22" xfId="0" applyFont="1" applyFill="1" applyBorder="1" applyAlignment="1">
      <alignment horizontal="left" vertical="center"/>
    </xf>
    <xf numFmtId="0" fontId="41" fillId="20" borderId="25" xfId="0" applyFont="1" applyFill="1" applyBorder="1" applyAlignment="1">
      <alignment vertical="center"/>
    </xf>
    <xf numFmtId="0" fontId="40" fillId="20" borderId="19" xfId="0" applyFont="1" applyFill="1" applyBorder="1" applyAlignment="1">
      <alignment vertical="center"/>
    </xf>
    <xf numFmtId="0" fontId="40" fillId="20" borderId="20" xfId="0" applyFont="1" applyFill="1" applyBorder="1" applyAlignment="1">
      <alignment vertical="center"/>
    </xf>
    <xf numFmtId="0" fontId="40" fillId="20" borderId="21" xfId="0" applyFont="1" applyFill="1" applyBorder="1" applyAlignment="1">
      <alignment vertical="center"/>
    </xf>
    <xf numFmtId="0" fontId="40" fillId="20" borderId="22" xfId="0" applyFont="1" applyFill="1" applyBorder="1" applyAlignment="1">
      <alignment vertical="center"/>
    </xf>
    <xf numFmtId="0" fontId="40" fillId="20" borderId="19" xfId="0" applyFont="1" applyFill="1" applyBorder="1" applyAlignment="1">
      <alignment horizontal="center"/>
    </xf>
    <xf numFmtId="0" fontId="40" fillId="20" borderId="20" xfId="0" applyFont="1" applyFill="1" applyBorder="1" applyAlignment="1">
      <alignment horizontal="center"/>
    </xf>
    <xf numFmtId="0" fontId="40" fillId="20" borderId="21" xfId="0" applyFont="1" applyFill="1" applyBorder="1" applyAlignment="1">
      <alignment horizontal="center"/>
    </xf>
    <xf numFmtId="0" fontId="40" fillId="20" borderId="22" xfId="0" applyFont="1" applyFill="1" applyBorder="1" applyAlignment="1">
      <alignment horizontal="center"/>
    </xf>
    <xf numFmtId="0" fontId="40" fillId="20" borderId="16" xfId="0" applyFont="1" applyFill="1" applyBorder="1" applyAlignment="1">
      <alignment horizontal="left"/>
    </xf>
    <xf numFmtId="0" fontId="41" fillId="17" borderId="0" xfId="0" applyFont="1" applyFill="1" applyAlignment="1">
      <alignment horizontal="center" vertical="center"/>
    </xf>
    <xf numFmtId="49" fontId="1" fillId="0" borderId="0" xfId="0" applyNumberFormat="1" applyFont="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0" xfId="0" applyFont="1" applyAlignment="1">
      <alignment vertical="top" wrapText="1"/>
    </xf>
    <xf numFmtId="0" fontId="21" fillId="6" borderId="12" xfId="6" applyFont="1" applyFill="1" applyBorder="1" applyAlignment="1">
      <alignment horizontal="left" vertical="top" wrapText="1"/>
    </xf>
    <xf numFmtId="0" fontId="21" fillId="6" borderId="17" xfId="6" applyFont="1" applyFill="1" applyBorder="1" applyAlignment="1">
      <alignment horizontal="left" vertical="top" wrapText="1"/>
    </xf>
    <xf numFmtId="0" fontId="21" fillId="0" borderId="0" xfId="6" applyFont="1" applyFill="1" applyAlignment="1">
      <alignment horizontal="left" vertical="top" wrapText="1"/>
    </xf>
    <xf numFmtId="0" fontId="2" fillId="0" borderId="0" xfId="0" applyFont="1" applyAlignment="1">
      <alignment vertical="top"/>
    </xf>
    <xf numFmtId="0" fontId="10" fillId="0" borderId="0" xfId="0" applyFont="1" applyAlignment="1">
      <alignment vertical="top" wrapText="1"/>
    </xf>
    <xf numFmtId="0" fontId="1" fillId="11" borderId="0" xfId="0" applyFont="1" applyFill="1" applyAlignment="1">
      <alignment vertical="top" wrapText="1"/>
    </xf>
    <xf numFmtId="0" fontId="2" fillId="0" borderId="0" xfId="0" applyFont="1" applyAlignment="1">
      <alignment vertical="top" wrapText="1"/>
    </xf>
    <xf numFmtId="0" fontId="21" fillId="4" borderId="16" xfId="6" applyFont="1" applyFill="1" applyBorder="1" applyAlignment="1">
      <alignment horizontal="left" vertical="top" wrapText="1"/>
    </xf>
    <xf numFmtId="0" fontId="0" fillId="0" borderId="0" xfId="0" applyAlignment="1">
      <alignment vertical="top"/>
    </xf>
    <xf numFmtId="0" fontId="31" fillId="13" borderId="0" xfId="6" applyFont="1" applyFill="1" applyAlignment="1">
      <alignment horizontal="left" vertical="top" wrapText="1"/>
    </xf>
    <xf numFmtId="0" fontId="21" fillId="4" borderId="0" xfId="6" applyFont="1" applyFill="1" applyAlignment="1">
      <alignment horizontal="left" vertical="top" wrapText="1"/>
    </xf>
    <xf numFmtId="0" fontId="40" fillId="20" borderId="0" xfId="0" applyFont="1" applyFill="1" applyAlignment="1">
      <alignment horizontal="left"/>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18">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mailto:info@ifma.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dentifier.buildingsmart.org/uri/buildingsmart/ifc/4.3/class/IfcBuilding" TargetMode="External"/><Relationship Id="rId2" Type="http://schemas.openxmlformats.org/officeDocument/2006/relationships/hyperlink" Target="https://identifier.buildingsmart.org/uri/buildingsmart/ifc/4.3/class/IfcZone" TargetMode="External"/><Relationship Id="rId1" Type="http://schemas.openxmlformats.org/officeDocument/2006/relationships/hyperlink" Target="https://identifier.buildingsmart.org/uri/buildingsmart/ifc/4.3/class/IfcSpatialZone" TargetMode="External"/><Relationship Id="rId6" Type="http://schemas.openxmlformats.org/officeDocument/2006/relationships/printerSettings" Target="../printerSettings/printerSettings4.bin"/><Relationship Id="rId5" Type="http://schemas.openxmlformats.org/officeDocument/2006/relationships/hyperlink" Target="https://identifier.buildingsmart.org/uri/buildingsmart/ifc/4.3/class/IfcSpaceGFA" TargetMode="External"/><Relationship Id="rId4" Type="http://schemas.openxmlformats.org/officeDocument/2006/relationships/hyperlink" Target="https://identifier.buildingsmart.org/uri/buildingsmart/ifc/4.3/class/IfcSpa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MinimumHeadroom" TargetMode="External"/><Relationship Id="rId1" Type="http://schemas.openxmlformats.org/officeDocument/2006/relationships/hyperlink" Target="https://identifier.buildingsmart.org/uri/buildingsmart/ifc/4.3/prop/NaturalVentilation" TargetMode="External"/><Relationship Id="rId5" Type="http://schemas.openxmlformats.org/officeDocument/2006/relationships/printerSettings" Target="../printerSettings/printerSettings5.bin"/><Relationship Id="rId4" Type="http://schemas.openxmlformats.org/officeDocument/2006/relationships/hyperlink" Target="https://identifier.buildingsmart.org/uri/buildingsmart/ifc/4.3/prop/LongNam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25"/>
  <sheetViews>
    <sheetView showGridLines="0" zoomScale="115" zoomScaleNormal="115" workbookViewId="0">
      <selection activeCell="D15" sqref="D15"/>
    </sheetView>
  </sheetViews>
  <sheetFormatPr baseColWidth="10" defaultColWidth="11.28515625" defaultRowHeight="12.75" x14ac:dyDescent="0.25"/>
  <cols>
    <col min="1" max="1" width="1.7109375" style="228" customWidth="1"/>
    <col min="2" max="2" width="1.7109375" style="139" customWidth="1"/>
    <col min="3" max="3" width="38.5703125" style="228" customWidth="1"/>
    <col min="4" max="4" width="97.42578125" style="227" customWidth="1"/>
    <col min="5" max="17" width="11.28515625" style="228" customWidth="1"/>
    <col min="18" max="16384" width="11.28515625" style="228"/>
  </cols>
  <sheetData>
    <row r="1" spans="2:6" ht="15.75" customHeight="1" x14ac:dyDescent="0.25">
      <c r="B1" s="33" t="s">
        <v>985</v>
      </c>
      <c r="C1" s="139"/>
    </row>
    <row r="3" spans="2:6" x14ac:dyDescent="0.25">
      <c r="B3" s="139" t="s">
        <v>0</v>
      </c>
    </row>
    <row r="4" spans="2:6" x14ac:dyDescent="0.25">
      <c r="C4" s="228" t="s">
        <v>1</v>
      </c>
      <c r="D4" s="275" t="s">
        <v>986</v>
      </c>
    </row>
    <row r="5" spans="2:6" x14ac:dyDescent="0.25">
      <c r="C5" s="228" t="s">
        <v>2</v>
      </c>
      <c r="D5" s="274" t="s">
        <v>984</v>
      </c>
    </row>
    <row r="6" spans="2:6" x14ac:dyDescent="0.25">
      <c r="C6" s="228" t="s">
        <v>3</v>
      </c>
      <c r="D6" s="227" t="s">
        <v>4</v>
      </c>
    </row>
    <row r="7" spans="2:6" x14ac:dyDescent="0.2">
      <c r="D7" s="229" t="s">
        <v>987</v>
      </c>
    </row>
    <row r="9" spans="2:6" x14ac:dyDescent="0.25">
      <c r="B9" s="139" t="s">
        <v>5</v>
      </c>
    </row>
    <row r="10" spans="2:6" x14ac:dyDescent="0.25">
      <c r="C10" s="230"/>
      <c r="D10" s="230" t="s">
        <v>7</v>
      </c>
    </row>
    <row r="11" spans="2:6" x14ac:dyDescent="0.25">
      <c r="C11" s="230"/>
      <c r="D11" s="231" t="s">
        <v>6</v>
      </c>
      <c r="F11" s="207"/>
    </row>
    <row r="13" spans="2:6" x14ac:dyDescent="0.25">
      <c r="B13" s="139" t="s">
        <v>8</v>
      </c>
      <c r="D13" s="232" t="s">
        <v>9</v>
      </c>
    </row>
    <row r="14" spans="2:6" x14ac:dyDescent="0.25">
      <c r="D14" s="232" t="s">
        <v>10</v>
      </c>
    </row>
    <row r="15" spans="2:6" x14ac:dyDescent="0.25">
      <c r="D15" s="232" t="s">
        <v>11</v>
      </c>
    </row>
    <row r="16" spans="2:6" x14ac:dyDescent="0.25">
      <c r="D16" s="232" t="s">
        <v>12</v>
      </c>
    </row>
    <row r="17" spans="2:4" x14ac:dyDescent="0.25">
      <c r="D17" s="232" t="s">
        <v>13</v>
      </c>
    </row>
    <row r="18" spans="2:4" ht="25.5" customHeight="1" x14ac:dyDescent="0.25">
      <c r="D18" s="227" t="s">
        <v>14</v>
      </c>
    </row>
    <row r="19" spans="2:4" x14ac:dyDescent="0.25">
      <c r="D19" s="232" t="s">
        <v>15</v>
      </c>
    </row>
    <row r="21" spans="2:4" ht="25.5" customHeight="1" x14ac:dyDescent="0.25">
      <c r="B21" s="139" t="s">
        <v>16</v>
      </c>
      <c r="D21" s="232" t="s">
        <v>17</v>
      </c>
    </row>
    <row r="22" spans="2:4" x14ac:dyDescent="0.25">
      <c r="D22" s="232" t="s">
        <v>18</v>
      </c>
    </row>
    <row r="23" spans="2:4" x14ac:dyDescent="0.25">
      <c r="D23" s="233" t="s">
        <v>19</v>
      </c>
    </row>
    <row r="24" spans="2:4" x14ac:dyDescent="0.25">
      <c r="D24" s="232"/>
    </row>
    <row r="25" spans="2:4" ht="48.75" customHeight="1" x14ac:dyDescent="0.25">
      <c r="B25" s="139" t="s">
        <v>20</v>
      </c>
      <c r="D25" s="227" t="s">
        <v>21</v>
      </c>
    </row>
  </sheetData>
  <sheetProtection selectLockedCells="1" selectUnlockedCells="1"/>
  <hyperlinks>
    <hyperlink ref="D7" r:id="rId1" xr:uid="{00000000-0004-0000-0000-000000000000}"/>
    <hyperlink ref="D23" r:id="rId2" xr:uid="{00000000-0004-0000-0000-000001000000}"/>
  </hyperlinks>
  <pageMargins left="0.70866141732283472" right="0.70866141732283472" top="0.78740157480314965" bottom="0.78740157480314965" header="0.31496062992125984" footer="0.31496062992125984"/>
  <pageSetup paperSize="9" scale="93" orientation="landscape" r:id="rId3"/>
  <headerFooter>
    <oddHeader>&amp;CIFMA Schweiz</oddHeader>
    <oddFooter>&amp;L&amp;"Aptos Narrow,Standard"Data_Template_Flächenmanagement&amp;ROkt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zoomScale="85" zoomScaleNormal="85" workbookViewId="0">
      <selection activeCell="D15" sqref="D15"/>
    </sheetView>
  </sheetViews>
  <sheetFormatPr baseColWidth="10" defaultColWidth="11.28515625" defaultRowHeight="15" outlineLevelRow="1" x14ac:dyDescent="0.25"/>
  <cols>
    <col min="1" max="1" width="7.85546875" style="132" customWidth="1"/>
    <col min="2" max="3" width="4.28515625" style="30" customWidth="1"/>
    <col min="4" max="4" width="4.28515625" customWidth="1"/>
    <col min="5" max="5" width="4.28515625" style="30" customWidth="1"/>
    <col min="6" max="8" width="4.28515625" style="133" customWidth="1"/>
    <col min="9" max="10" width="4.28515625" style="30" customWidth="1"/>
    <col min="11" max="13" width="4.28515625" style="133" customWidth="1"/>
    <col min="14" max="14" width="4.28515625" style="30" customWidth="1"/>
    <col min="15" max="17" width="4.28515625" style="133"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31" customFormat="1" ht="20.100000000000001" customHeight="1" x14ac:dyDescent="0.25">
      <c r="A1" s="129" t="s">
        <v>22</v>
      </c>
      <c r="B1" s="130"/>
      <c r="C1" s="130"/>
      <c r="D1" s="130"/>
      <c r="E1" s="130"/>
      <c r="F1" s="130"/>
      <c r="G1" s="130"/>
      <c r="H1" s="130"/>
      <c r="I1" s="130"/>
      <c r="J1" s="130"/>
      <c r="K1" s="130"/>
      <c r="L1" s="130"/>
      <c r="M1" s="130"/>
      <c r="N1" s="130"/>
      <c r="O1" s="130"/>
      <c r="P1" s="130"/>
      <c r="Q1" s="130"/>
      <c r="R1" s="130"/>
      <c r="S1" s="130"/>
    </row>
    <row r="2" spans="1:26" ht="13.35" customHeight="1" x14ac:dyDescent="0.25">
      <c r="D2" s="30"/>
    </row>
    <row r="3" spans="1:26" s="131" customFormat="1" ht="20.100000000000001" customHeight="1" x14ac:dyDescent="0.25">
      <c r="A3" s="134"/>
      <c r="B3" s="135" t="s">
        <v>23</v>
      </c>
      <c r="C3" s="136"/>
      <c r="D3" s="136"/>
      <c r="E3" s="136"/>
      <c r="F3" s="136"/>
      <c r="G3" s="136"/>
      <c r="H3" s="136"/>
      <c r="I3" s="136"/>
      <c r="J3" s="136"/>
      <c r="K3" s="136"/>
      <c r="L3" s="136"/>
      <c r="M3" s="136"/>
      <c r="N3" s="136"/>
      <c r="O3" s="136"/>
      <c r="P3" s="136"/>
      <c r="Q3" s="136"/>
      <c r="R3" s="136"/>
      <c r="S3" s="137"/>
      <c r="Z3" s="30"/>
    </row>
    <row r="4" spans="1:26" ht="13.35" hidden="1" customHeight="1" outlineLevel="1" x14ac:dyDescent="0.25">
      <c r="B4" s="138"/>
      <c r="D4" s="30"/>
    </row>
    <row r="5" spans="1:26" ht="13.35" hidden="1" customHeight="1" outlineLevel="1" x14ac:dyDescent="0.25">
      <c r="B5" s="138">
        <v>1</v>
      </c>
      <c r="C5" s="30" t="s">
        <v>24</v>
      </c>
      <c r="D5" s="30"/>
      <c r="H5" s="30"/>
      <c r="K5" s="30"/>
      <c r="L5" s="30"/>
      <c r="M5" s="30"/>
      <c r="O5" s="30"/>
    </row>
    <row r="6" spans="1:26" ht="13.35" hidden="1" customHeight="1" outlineLevel="1" x14ac:dyDescent="0.25">
      <c r="B6" s="138">
        <v>2</v>
      </c>
      <c r="C6" s="30" t="s">
        <v>25</v>
      </c>
      <c r="D6" s="30"/>
      <c r="H6" s="30"/>
      <c r="K6" s="30"/>
      <c r="L6" s="30"/>
      <c r="M6" s="30"/>
      <c r="O6" s="30"/>
    </row>
    <row r="7" spans="1:26" ht="13.35" hidden="1" customHeight="1" outlineLevel="1" x14ac:dyDescent="0.25">
      <c r="B7" s="138">
        <v>3</v>
      </c>
      <c r="C7" s="31" t="s">
        <v>26</v>
      </c>
      <c r="D7" s="30"/>
      <c r="H7" s="30"/>
      <c r="K7" s="30"/>
      <c r="L7" s="30"/>
      <c r="M7" s="30"/>
      <c r="O7" s="30"/>
    </row>
    <row r="8" spans="1:26" ht="13.35" hidden="1" customHeight="1" outlineLevel="1" x14ac:dyDescent="0.25">
      <c r="B8" s="138">
        <v>4</v>
      </c>
      <c r="C8" s="31" t="s">
        <v>27</v>
      </c>
      <c r="D8" s="30"/>
      <c r="H8" s="30"/>
      <c r="K8" s="30"/>
      <c r="L8" s="30"/>
      <c r="M8" s="30"/>
      <c r="O8" s="30"/>
    </row>
    <row r="9" spans="1:26" ht="13.35" hidden="1" customHeight="1" outlineLevel="1" x14ac:dyDescent="0.25">
      <c r="B9" s="138">
        <v>5</v>
      </c>
      <c r="C9" s="31" t="s">
        <v>28</v>
      </c>
      <c r="D9" s="30"/>
      <c r="H9" s="30"/>
      <c r="K9" s="30"/>
      <c r="L9" s="30"/>
      <c r="M9" s="30"/>
      <c r="O9" s="30"/>
    </row>
    <row r="10" spans="1:26" ht="13.35" hidden="1" customHeight="1" outlineLevel="1" x14ac:dyDescent="0.25">
      <c r="B10" s="138">
        <v>6</v>
      </c>
      <c r="C10" s="31" t="s">
        <v>29</v>
      </c>
      <c r="D10" s="30"/>
      <c r="H10" s="30"/>
      <c r="K10" s="30"/>
      <c r="L10" s="30"/>
      <c r="M10" s="30"/>
      <c r="O10" s="30"/>
    </row>
    <row r="11" spans="1:26" ht="13.35" hidden="1" customHeight="1" outlineLevel="1" x14ac:dyDescent="0.25">
      <c r="B11" s="138">
        <v>7</v>
      </c>
      <c r="C11" s="31" t="s">
        <v>30</v>
      </c>
      <c r="D11" s="30"/>
      <c r="G11" s="31" t="s">
        <v>31</v>
      </c>
      <c r="H11" s="30"/>
      <c r="K11" s="30"/>
      <c r="L11" s="30"/>
      <c r="M11" s="30"/>
      <c r="O11" s="30"/>
    </row>
    <row r="12" spans="1:26" ht="13.35" hidden="1" customHeight="1" outlineLevel="1" x14ac:dyDescent="0.25">
      <c r="B12" s="138">
        <v>8</v>
      </c>
      <c r="C12" s="31" t="s">
        <v>32</v>
      </c>
      <c r="D12" s="30"/>
      <c r="G12" s="31"/>
      <c r="H12" s="30"/>
      <c r="K12" s="30"/>
      <c r="L12" s="30"/>
      <c r="M12" s="30"/>
      <c r="O12" s="30"/>
    </row>
    <row r="13" spans="1:26" ht="13.35" hidden="1" customHeight="1" outlineLevel="1" x14ac:dyDescent="0.25">
      <c r="G13" s="30"/>
      <c r="H13" s="30"/>
      <c r="K13" s="30"/>
      <c r="L13" s="30"/>
      <c r="M13" s="30"/>
      <c r="O13" s="30"/>
    </row>
    <row r="14" spans="1:26" ht="18" customHeight="1" collapsed="1" x14ac:dyDescent="0.25">
      <c r="B14" s="135" t="s">
        <v>33</v>
      </c>
      <c r="C14" s="136"/>
      <c r="D14" s="136"/>
      <c r="E14" s="136"/>
      <c r="F14" s="136"/>
      <c r="G14" s="136"/>
      <c r="H14" s="136"/>
      <c r="I14" s="136"/>
      <c r="J14" s="136"/>
      <c r="K14" s="136"/>
      <c r="L14" s="136"/>
      <c r="M14" s="136"/>
      <c r="N14" s="136"/>
      <c r="O14" s="136"/>
      <c r="P14" s="136"/>
      <c r="Q14" s="136"/>
      <c r="R14" s="136"/>
      <c r="S14" s="136"/>
    </row>
    <row r="15" spans="1:26" hidden="1" outlineLevel="1" x14ac:dyDescent="0.25"/>
    <row r="16" spans="1:26" hidden="1" outlineLevel="1" x14ac:dyDescent="0.25">
      <c r="B16" s="139" t="s">
        <v>34</v>
      </c>
    </row>
    <row r="17" spans="1:17" hidden="1" outlineLevel="1" x14ac:dyDescent="0.25">
      <c r="B17" s="140" t="s">
        <v>35</v>
      </c>
      <c r="C17" s="36" t="s">
        <v>36</v>
      </c>
      <c r="F17" s="30"/>
      <c r="G17" s="30"/>
      <c r="H17" s="36" t="s">
        <v>37</v>
      </c>
      <c r="K17" s="30"/>
      <c r="L17" s="30"/>
      <c r="M17" s="30"/>
      <c r="O17" s="30"/>
      <c r="P17" s="30"/>
      <c r="Q17" s="30"/>
    </row>
    <row r="18" spans="1:17" hidden="1" outlineLevel="1" x14ac:dyDescent="0.25">
      <c r="B18" s="141"/>
      <c r="C18" s="36"/>
      <c r="F18" s="30"/>
      <c r="G18" s="30"/>
      <c r="H18" s="36" t="s">
        <v>38</v>
      </c>
      <c r="K18" s="30"/>
      <c r="L18" s="30"/>
      <c r="M18" s="30"/>
      <c r="O18" s="30"/>
      <c r="P18" s="30"/>
      <c r="Q18" s="30"/>
    </row>
    <row r="19" spans="1:17" hidden="1" outlineLevel="1" x14ac:dyDescent="0.25">
      <c r="B19" s="142"/>
      <c r="C19" s="36" t="s">
        <v>39</v>
      </c>
      <c r="F19" s="30"/>
      <c r="G19" s="30"/>
      <c r="H19" s="36" t="s">
        <v>40</v>
      </c>
      <c r="K19" s="30"/>
      <c r="L19" s="30"/>
      <c r="M19" s="30"/>
      <c r="O19" s="30"/>
      <c r="P19" s="30"/>
      <c r="Q19" s="30"/>
    </row>
    <row r="20" spans="1:17" hidden="1" outlineLevel="1" x14ac:dyDescent="0.25">
      <c r="B20" s="144"/>
      <c r="C20" s="36" t="s">
        <v>41</v>
      </c>
      <c r="F20" s="30"/>
      <c r="G20" s="30"/>
      <c r="H20" s="36" t="s">
        <v>42</v>
      </c>
      <c r="K20" s="30"/>
      <c r="L20" s="30"/>
      <c r="M20" s="30"/>
      <c r="O20" s="30"/>
      <c r="P20" s="30"/>
      <c r="Q20" s="30"/>
    </row>
    <row r="21" spans="1:17" hidden="1" outlineLevel="1" x14ac:dyDescent="0.25">
      <c r="B21" s="143"/>
      <c r="C21" s="36" t="s">
        <v>43</v>
      </c>
      <c r="F21" s="30"/>
      <c r="G21" s="30"/>
      <c r="H21" s="36" t="s">
        <v>44</v>
      </c>
      <c r="K21" s="30"/>
      <c r="L21" s="30"/>
      <c r="M21" s="30"/>
      <c r="O21" s="30"/>
      <c r="P21" s="30"/>
      <c r="Q21" s="30"/>
    </row>
    <row r="22" spans="1:17" hidden="1" outlineLevel="1" x14ac:dyDescent="0.25">
      <c r="B22" s="225"/>
      <c r="C22" s="36" t="s">
        <v>45</v>
      </c>
      <c r="F22" s="30"/>
      <c r="G22" s="30"/>
      <c r="H22" s="36" t="s">
        <v>46</v>
      </c>
      <c r="K22" s="30"/>
      <c r="L22" s="30"/>
      <c r="M22" s="30"/>
      <c r="O22" s="30"/>
      <c r="P22" s="30"/>
      <c r="Q22" s="30"/>
    </row>
    <row r="23" spans="1:17" hidden="1" outlineLevel="1" x14ac:dyDescent="0.25"/>
    <row r="24" spans="1:17" ht="12.75" hidden="1" customHeight="1" outlineLevel="1" x14ac:dyDescent="0.25">
      <c r="C24" s="145" t="s">
        <v>47</v>
      </c>
      <c r="D24" s="145" t="s">
        <v>48</v>
      </c>
      <c r="E24" s="145" t="s">
        <v>49</v>
      </c>
      <c r="F24" s="145" t="s">
        <v>35</v>
      </c>
      <c r="G24" s="145" t="s">
        <v>50</v>
      </c>
      <c r="H24" s="30"/>
      <c r="K24" s="30"/>
      <c r="P24" s="30"/>
      <c r="Q24" s="30"/>
    </row>
    <row r="25" spans="1:17" ht="182.25" hidden="1" customHeight="1" outlineLevel="1" x14ac:dyDescent="0.25">
      <c r="B25" s="146" t="s">
        <v>33</v>
      </c>
      <c r="C25" s="147" t="s">
        <v>51</v>
      </c>
      <c r="D25" s="147" t="s">
        <v>52</v>
      </c>
      <c r="E25" s="147" t="s">
        <v>53</v>
      </c>
      <c r="F25" s="147" t="s">
        <v>54</v>
      </c>
      <c r="G25" s="147" t="s">
        <v>55</v>
      </c>
      <c r="K25" s="30"/>
      <c r="L25" s="148"/>
      <c r="M25" s="148"/>
      <c r="N25" s="139"/>
      <c r="O25" s="148"/>
      <c r="P25" s="30"/>
      <c r="Q25" s="30"/>
    </row>
    <row r="26" spans="1:17" s="152" customFormat="1" ht="15" hidden="1" customHeight="1" outlineLevel="1" x14ac:dyDescent="0.25">
      <c r="A26" s="149"/>
      <c r="B26" s="150" t="s">
        <v>47</v>
      </c>
      <c r="C26" s="151" t="s">
        <v>56</v>
      </c>
      <c r="F26" s="153"/>
      <c r="G26" s="153"/>
      <c r="H26" s="153"/>
      <c r="K26" s="153"/>
      <c r="L26" s="133"/>
      <c r="M26" s="133"/>
      <c r="N26" s="30"/>
      <c r="O26" s="133"/>
      <c r="P26" s="153"/>
      <c r="Q26" s="153"/>
    </row>
    <row r="27" spans="1:17" s="152" customFormat="1" ht="15" hidden="1" customHeight="1" outlineLevel="1" x14ac:dyDescent="0.25">
      <c r="A27" s="149"/>
      <c r="B27" s="154"/>
      <c r="C27" s="155" t="s">
        <v>57</v>
      </c>
      <c r="F27" s="153"/>
      <c r="G27" s="153"/>
      <c r="H27" s="153"/>
      <c r="K27" s="153"/>
      <c r="L27" s="133"/>
      <c r="M27" s="133"/>
      <c r="N27" s="30"/>
      <c r="O27" s="133"/>
      <c r="P27" s="153"/>
      <c r="Q27" s="153"/>
    </row>
    <row r="28" spans="1:17" s="152" customFormat="1" ht="15" hidden="1" customHeight="1" outlineLevel="1" x14ac:dyDescent="0.25">
      <c r="A28" s="149"/>
      <c r="B28" s="150" t="s">
        <v>48</v>
      </c>
      <c r="C28" s="151" t="s">
        <v>52</v>
      </c>
      <c r="F28" s="153"/>
      <c r="G28" s="153"/>
      <c r="H28" s="153"/>
      <c r="K28" s="153"/>
      <c r="L28" s="148"/>
      <c r="M28" s="148"/>
      <c r="N28" s="139"/>
      <c r="O28" s="148"/>
      <c r="P28" s="153"/>
      <c r="Q28" s="153"/>
    </row>
    <row r="29" spans="1:17" s="152" customFormat="1" ht="15" hidden="1" customHeight="1" outlineLevel="1" x14ac:dyDescent="0.25">
      <c r="A29" s="149"/>
      <c r="B29" s="156"/>
      <c r="C29" s="155" t="s">
        <v>58</v>
      </c>
      <c r="F29" s="153"/>
      <c r="G29" s="153"/>
      <c r="H29" s="153"/>
      <c r="K29" s="153"/>
      <c r="L29" s="148"/>
      <c r="M29" s="148"/>
      <c r="N29" s="139"/>
      <c r="O29" s="148"/>
      <c r="P29" s="153"/>
      <c r="Q29" s="153"/>
    </row>
    <row r="30" spans="1:17" s="152" customFormat="1" ht="15" hidden="1" customHeight="1" outlineLevel="1" x14ac:dyDescent="0.25">
      <c r="A30" s="149"/>
      <c r="B30" s="154"/>
      <c r="C30" s="157" t="s">
        <v>59</v>
      </c>
      <c r="F30" s="153"/>
      <c r="G30" s="153"/>
      <c r="H30" s="153"/>
      <c r="K30" s="153"/>
      <c r="L30" s="148"/>
      <c r="M30" s="148"/>
      <c r="N30" s="139"/>
      <c r="O30" s="148"/>
      <c r="P30" s="153"/>
      <c r="Q30" s="153"/>
    </row>
    <row r="31" spans="1:17" s="152" customFormat="1" ht="15" hidden="1" customHeight="1" outlineLevel="1" x14ac:dyDescent="0.25">
      <c r="A31" s="149"/>
      <c r="B31" s="150" t="s">
        <v>49</v>
      </c>
      <c r="C31" s="158" t="s">
        <v>60</v>
      </c>
      <c r="F31" s="153"/>
      <c r="G31" s="153"/>
      <c r="H31" s="153"/>
      <c r="K31" s="153"/>
      <c r="L31" s="133"/>
      <c r="M31" s="133"/>
      <c r="N31" s="30"/>
      <c r="O31" s="133"/>
      <c r="P31" s="153"/>
      <c r="Q31" s="153"/>
    </row>
    <row r="32" spans="1:17" s="152" customFormat="1" ht="15" hidden="1" customHeight="1" outlineLevel="1" x14ac:dyDescent="0.25">
      <c r="A32" s="149"/>
      <c r="B32" s="156"/>
      <c r="C32" s="159" t="s">
        <v>61</v>
      </c>
      <c r="F32" s="153"/>
      <c r="G32" s="153"/>
      <c r="H32" s="153"/>
      <c r="K32" s="153"/>
      <c r="L32" s="133"/>
      <c r="M32" s="133"/>
      <c r="N32" s="30"/>
      <c r="O32" s="133"/>
      <c r="P32" s="153"/>
      <c r="Q32" s="153"/>
    </row>
    <row r="33" spans="1:19" s="152" customFormat="1" ht="15" hidden="1" customHeight="1" outlineLevel="1" x14ac:dyDescent="0.25">
      <c r="A33" s="149"/>
      <c r="B33" s="154"/>
      <c r="C33" s="160" t="s">
        <v>62</v>
      </c>
      <c r="F33" s="153"/>
      <c r="G33" s="153"/>
      <c r="H33" s="153"/>
      <c r="K33" s="153"/>
      <c r="L33" s="133"/>
      <c r="M33" s="133"/>
      <c r="N33" s="30"/>
      <c r="O33" s="133"/>
      <c r="P33" s="153"/>
      <c r="Q33" s="153"/>
    </row>
    <row r="34" spans="1:19" s="152" customFormat="1" ht="15" hidden="1" customHeight="1" outlineLevel="1" x14ac:dyDescent="0.25">
      <c r="A34" s="149"/>
      <c r="B34" s="150" t="s">
        <v>35</v>
      </c>
      <c r="C34" s="161" t="s">
        <v>63</v>
      </c>
      <c r="F34" s="153"/>
      <c r="G34" s="153"/>
      <c r="H34" s="153"/>
      <c r="K34" s="153"/>
      <c r="L34" s="148"/>
      <c r="M34" s="148"/>
      <c r="N34" s="139"/>
      <c r="O34" s="148"/>
      <c r="P34" s="153"/>
      <c r="Q34" s="153"/>
    </row>
    <row r="35" spans="1:19" s="152" customFormat="1" ht="15" hidden="1" customHeight="1" outlineLevel="1" x14ac:dyDescent="0.25">
      <c r="A35" s="149"/>
      <c r="B35" s="154"/>
      <c r="C35" s="162" t="s">
        <v>64</v>
      </c>
      <c r="F35" s="153"/>
      <c r="G35" s="153"/>
      <c r="H35" s="153"/>
      <c r="K35" s="153"/>
      <c r="L35" s="148"/>
      <c r="M35" s="148"/>
      <c r="N35" s="139"/>
      <c r="O35" s="148"/>
      <c r="P35" s="153"/>
      <c r="Q35" s="153"/>
    </row>
    <row r="36" spans="1:19" s="152" customFormat="1" ht="15" hidden="1" customHeight="1" outlineLevel="1" x14ac:dyDescent="0.25">
      <c r="A36" s="149"/>
      <c r="B36" s="150" t="s">
        <v>50</v>
      </c>
      <c r="C36" s="158" t="s">
        <v>65</v>
      </c>
      <c r="F36" s="153"/>
      <c r="G36" s="153"/>
      <c r="H36" s="153"/>
      <c r="K36" s="153"/>
      <c r="L36" s="133"/>
      <c r="M36" s="133"/>
      <c r="N36" s="30"/>
      <c r="O36" s="133"/>
      <c r="P36" s="153"/>
      <c r="Q36" s="153"/>
    </row>
    <row r="37" spans="1:19" s="152" customFormat="1" ht="15" hidden="1" customHeight="1" outlineLevel="1" x14ac:dyDescent="0.25">
      <c r="A37" s="149"/>
      <c r="B37" s="154"/>
      <c r="C37" s="157" t="s">
        <v>66</v>
      </c>
      <c r="F37" s="153"/>
      <c r="G37" s="153"/>
      <c r="H37" s="153"/>
      <c r="K37" s="153"/>
      <c r="L37" s="133"/>
      <c r="M37" s="133"/>
      <c r="N37" s="30"/>
      <c r="O37" s="133"/>
      <c r="P37" s="153"/>
      <c r="Q37" s="153"/>
    </row>
    <row r="38" spans="1:19" s="139" customFormat="1" ht="13.35" hidden="1" customHeight="1" outlineLevel="1" x14ac:dyDescent="0.25">
      <c r="A38" s="132"/>
      <c r="F38" s="148"/>
      <c r="G38" s="148"/>
      <c r="H38" s="148"/>
      <c r="K38" s="148"/>
      <c r="L38" s="148"/>
      <c r="M38" s="148"/>
      <c r="O38" s="148"/>
      <c r="P38" s="148"/>
      <c r="Q38" s="148"/>
    </row>
    <row r="39" spans="1:19" s="131" customFormat="1" ht="20.100000000000001" customHeight="1" collapsed="1" x14ac:dyDescent="0.25">
      <c r="A39" s="134">
        <v>2</v>
      </c>
      <c r="B39" s="163" t="s">
        <v>25</v>
      </c>
      <c r="C39" s="164"/>
      <c r="D39" s="164"/>
      <c r="E39" s="164"/>
      <c r="F39" s="164"/>
      <c r="G39" s="164"/>
      <c r="H39" s="164"/>
      <c r="I39" s="164"/>
      <c r="J39" s="164"/>
      <c r="K39" s="164"/>
      <c r="L39" s="164"/>
      <c r="M39" s="164"/>
      <c r="N39" s="164"/>
      <c r="O39" s="164"/>
      <c r="P39" s="164"/>
      <c r="Q39" s="164"/>
      <c r="R39" s="164"/>
      <c r="S39" s="165"/>
    </row>
    <row r="40" spans="1:19" s="139" customFormat="1" ht="13.35" hidden="1" customHeight="1" outlineLevel="1" x14ac:dyDescent="0.25">
      <c r="A40" s="132"/>
      <c r="F40" s="148"/>
      <c r="G40" s="148"/>
      <c r="K40" s="148"/>
      <c r="L40" s="148"/>
      <c r="M40" s="148"/>
      <c r="O40" s="148"/>
      <c r="P40" s="148"/>
      <c r="Q40" s="148"/>
    </row>
    <row r="41" spans="1:19" s="139" customFormat="1" ht="13.35" hidden="1" customHeight="1" outlineLevel="1" x14ac:dyDescent="0.25">
      <c r="A41" s="132"/>
      <c r="B41" s="236" t="s">
        <v>524</v>
      </c>
      <c r="F41" s="148"/>
      <c r="G41" s="148"/>
      <c r="K41" s="148"/>
      <c r="L41" s="148"/>
      <c r="M41" s="148"/>
      <c r="O41" s="148"/>
      <c r="P41" s="148"/>
      <c r="Q41" s="148"/>
    </row>
    <row r="42" spans="1:19" s="139" customFormat="1" ht="13.35" hidden="1" customHeight="1" outlineLevel="1" x14ac:dyDescent="0.25">
      <c r="A42" s="132"/>
      <c r="B42" s="30" t="s">
        <v>67</v>
      </c>
      <c r="F42" s="148"/>
      <c r="G42" s="148"/>
      <c r="K42" s="148"/>
      <c r="L42" s="148"/>
      <c r="M42" s="148"/>
      <c r="O42" s="148"/>
      <c r="P42" s="148"/>
      <c r="Q42" s="148"/>
    </row>
    <row r="43" spans="1:19" s="139" customFormat="1" ht="13.35" hidden="1" customHeight="1" outlineLevel="1" x14ac:dyDescent="0.25">
      <c r="A43" s="132"/>
      <c r="F43" s="148"/>
      <c r="G43" s="148"/>
      <c r="K43" s="148"/>
      <c r="L43" s="148"/>
      <c r="M43" s="148"/>
      <c r="O43" s="148"/>
      <c r="P43" s="148"/>
      <c r="Q43" s="148"/>
    </row>
    <row r="44" spans="1:19" ht="15" hidden="1" customHeight="1" outlineLevel="1" x14ac:dyDescent="0.25">
      <c r="B44" s="145" t="s">
        <v>47</v>
      </c>
      <c r="C44" s="145" t="s">
        <v>48</v>
      </c>
      <c r="D44" s="145" t="s">
        <v>49</v>
      </c>
      <c r="E44" s="145" t="s">
        <v>35</v>
      </c>
      <c r="F44" s="145" t="s">
        <v>50</v>
      </c>
      <c r="G44" s="145" t="s">
        <v>68</v>
      </c>
      <c r="H44" s="145" t="s">
        <v>69</v>
      </c>
      <c r="K44" s="30"/>
      <c r="L44" s="30"/>
      <c r="M44" s="30"/>
      <c r="O44" s="30"/>
      <c r="P44" s="30"/>
      <c r="Q44" s="30"/>
    </row>
    <row r="45" spans="1:19" s="169" customFormat="1" ht="251.25" hidden="1" customHeight="1" outlineLevel="1" x14ac:dyDescent="0.2">
      <c r="A45" s="166"/>
      <c r="B45" s="167" t="s">
        <v>25</v>
      </c>
      <c r="C45" s="168" t="s">
        <v>1</v>
      </c>
      <c r="D45" s="168" t="s">
        <v>70</v>
      </c>
      <c r="E45" s="168" t="s">
        <v>71</v>
      </c>
      <c r="F45" s="168" t="s">
        <v>72</v>
      </c>
      <c r="G45" s="168" t="s">
        <v>73</v>
      </c>
      <c r="H45" s="168" t="s">
        <v>74</v>
      </c>
    </row>
    <row r="46" spans="1:19" s="152" customFormat="1" ht="15" hidden="1" customHeight="1" outlineLevel="1" x14ac:dyDescent="0.25">
      <c r="A46" s="132"/>
      <c r="B46" s="145" t="s">
        <v>48</v>
      </c>
      <c r="C46" s="161" t="s">
        <v>75</v>
      </c>
      <c r="F46" s="153"/>
      <c r="G46" s="153"/>
      <c r="H46" s="153"/>
      <c r="K46" s="153"/>
      <c r="L46" s="153"/>
      <c r="M46" s="153"/>
      <c r="O46" s="153"/>
      <c r="P46" s="153"/>
      <c r="Q46" s="153"/>
    </row>
    <row r="47" spans="1:19" s="152" customFormat="1" ht="15" hidden="1" customHeight="1" outlineLevel="1" x14ac:dyDescent="0.25">
      <c r="A47" s="132"/>
      <c r="B47" s="150" t="s">
        <v>49</v>
      </c>
      <c r="C47" s="161" t="s">
        <v>76</v>
      </c>
      <c r="F47" s="153"/>
      <c r="G47" s="153"/>
      <c r="H47" s="153"/>
      <c r="K47" s="153"/>
      <c r="L47" s="153"/>
      <c r="M47" s="153"/>
      <c r="O47" s="153"/>
      <c r="P47" s="153"/>
    </row>
    <row r="48" spans="1:19" hidden="1" outlineLevel="1" x14ac:dyDescent="0.25">
      <c r="B48" s="154"/>
      <c r="C48" s="161" t="s">
        <v>77</v>
      </c>
      <c r="F48" s="153"/>
      <c r="G48" s="153"/>
      <c r="H48" s="153"/>
      <c r="K48" s="153"/>
      <c r="L48" s="153"/>
      <c r="M48" s="153"/>
      <c r="O48" s="153"/>
      <c r="P48" s="153"/>
    </row>
    <row r="49" spans="1:19" hidden="1" outlineLevel="1" x14ac:dyDescent="0.25">
      <c r="B49" s="145" t="s">
        <v>35</v>
      </c>
      <c r="C49" s="161" t="s">
        <v>78</v>
      </c>
      <c r="F49" s="153"/>
      <c r="G49" s="153"/>
      <c r="H49" s="153"/>
      <c r="K49" s="153"/>
      <c r="L49" s="153"/>
      <c r="M49" s="153"/>
      <c r="O49" s="153"/>
      <c r="P49" s="153"/>
    </row>
    <row r="50" spans="1:19" hidden="1" outlineLevel="1" x14ac:dyDescent="0.25">
      <c r="B50" s="150" t="s">
        <v>50</v>
      </c>
      <c r="C50" s="161" t="s">
        <v>79</v>
      </c>
      <c r="F50" s="153"/>
      <c r="G50" s="153"/>
      <c r="H50" s="153"/>
      <c r="K50" s="153"/>
      <c r="L50" s="153"/>
      <c r="M50" s="153"/>
      <c r="O50" s="153"/>
      <c r="P50" s="153"/>
    </row>
    <row r="51" spans="1:19" hidden="1" outlineLevel="1" x14ac:dyDescent="0.25">
      <c r="B51" s="156"/>
      <c r="C51" s="161" t="s">
        <v>80</v>
      </c>
      <c r="F51" s="153"/>
      <c r="G51" s="153"/>
      <c r="H51" s="153"/>
      <c r="K51" s="153"/>
      <c r="L51" s="153"/>
      <c r="M51" s="153"/>
      <c r="O51" s="153"/>
      <c r="P51" s="153"/>
    </row>
    <row r="52" spans="1:19" hidden="1" outlineLevel="1" x14ac:dyDescent="0.25">
      <c r="B52" s="154"/>
      <c r="C52" s="158" t="s">
        <v>81</v>
      </c>
      <c r="F52" s="153"/>
      <c r="G52" s="153"/>
      <c r="H52" s="153"/>
      <c r="K52" s="153"/>
      <c r="L52" s="153"/>
      <c r="M52" s="153"/>
      <c r="O52" s="153"/>
      <c r="P52" s="153"/>
    </row>
    <row r="53" spans="1:19" hidden="1" outlineLevel="1" x14ac:dyDescent="0.25">
      <c r="B53" s="150" t="s">
        <v>68</v>
      </c>
      <c r="C53" s="161" t="s">
        <v>82</v>
      </c>
      <c r="F53" s="153"/>
      <c r="G53" s="153"/>
      <c r="H53" s="153"/>
      <c r="K53" s="153"/>
      <c r="L53" s="153"/>
      <c r="M53" s="153"/>
      <c r="O53" s="153"/>
      <c r="P53" s="153"/>
    </row>
    <row r="54" spans="1:19" hidden="1" outlineLevel="1" x14ac:dyDescent="0.25">
      <c r="B54" s="156"/>
      <c r="C54" s="161" t="s">
        <v>83</v>
      </c>
      <c r="F54" s="153"/>
      <c r="G54" s="153"/>
      <c r="H54" s="153"/>
      <c r="K54" s="153"/>
      <c r="L54" s="153"/>
      <c r="M54" s="153"/>
      <c r="O54" s="153"/>
      <c r="P54" s="153"/>
    </row>
    <row r="55" spans="1:19" hidden="1" outlineLevel="1" x14ac:dyDescent="0.25">
      <c r="B55" s="154"/>
      <c r="C55" s="158" t="s">
        <v>84</v>
      </c>
      <c r="F55" s="153"/>
      <c r="G55" s="153"/>
      <c r="H55" s="153"/>
      <c r="K55" s="153"/>
      <c r="L55" s="153"/>
      <c r="M55" s="153"/>
      <c r="O55" s="153"/>
      <c r="P55" s="153"/>
    </row>
    <row r="56" spans="1:19" hidden="1" outlineLevel="1" x14ac:dyDescent="0.25">
      <c r="B56" s="150" t="s">
        <v>69</v>
      </c>
      <c r="C56" s="161" t="s">
        <v>85</v>
      </c>
      <c r="F56" s="153"/>
      <c r="G56" s="153"/>
      <c r="H56" s="153"/>
      <c r="K56" s="153"/>
      <c r="L56" s="153"/>
      <c r="M56" s="153"/>
      <c r="O56" s="153"/>
      <c r="P56" s="153"/>
    </row>
    <row r="57" spans="1:19" hidden="1" outlineLevel="1" x14ac:dyDescent="0.25">
      <c r="B57" s="156"/>
      <c r="C57" s="161" t="s">
        <v>79</v>
      </c>
      <c r="F57" s="153"/>
      <c r="G57" s="153"/>
      <c r="H57" s="153"/>
      <c r="K57" s="153"/>
      <c r="L57" s="153"/>
      <c r="M57" s="153"/>
      <c r="O57" s="153"/>
      <c r="P57" s="153"/>
    </row>
    <row r="58" spans="1:19" hidden="1" outlineLevel="1" x14ac:dyDescent="0.25">
      <c r="B58" s="156"/>
      <c r="C58" s="161" t="s">
        <v>86</v>
      </c>
      <c r="F58" s="153"/>
      <c r="G58" s="153"/>
      <c r="H58" s="153"/>
      <c r="K58" s="153"/>
      <c r="L58" s="153"/>
      <c r="M58" s="153"/>
      <c r="O58" s="153"/>
      <c r="P58" s="153"/>
    </row>
    <row r="59" spans="1:19" hidden="1" outlineLevel="1" x14ac:dyDescent="0.25">
      <c r="B59" s="154"/>
      <c r="C59" s="158" t="s">
        <v>87</v>
      </c>
      <c r="F59" s="153"/>
      <c r="G59" s="153"/>
      <c r="H59" s="153"/>
      <c r="K59" s="153"/>
      <c r="L59" s="153"/>
      <c r="M59" s="153"/>
      <c r="O59" s="153"/>
      <c r="P59" s="153"/>
    </row>
    <row r="60" spans="1:19" hidden="1" outlineLevel="1" x14ac:dyDescent="0.25"/>
    <row r="61" spans="1:19" ht="18" customHeight="1" collapsed="1" x14ac:dyDescent="0.25">
      <c r="A61" s="134">
        <v>3</v>
      </c>
      <c r="B61" s="170" t="s">
        <v>26</v>
      </c>
      <c r="C61" s="171"/>
      <c r="D61" s="171"/>
      <c r="E61" s="171"/>
      <c r="F61" s="171"/>
      <c r="G61" s="171"/>
      <c r="H61" s="171"/>
      <c r="I61" s="171"/>
      <c r="J61" s="171"/>
      <c r="K61" s="171"/>
      <c r="L61" s="171"/>
      <c r="M61" s="171"/>
      <c r="N61" s="171"/>
      <c r="O61" s="171"/>
      <c r="P61" s="171"/>
      <c r="Q61" s="171"/>
      <c r="R61" s="171"/>
      <c r="S61" s="171"/>
    </row>
    <row r="62" spans="1:19" hidden="1" outlineLevel="1" x14ac:dyDescent="0.25">
      <c r="B62" s="145">
        <v>1</v>
      </c>
      <c r="C62" s="172" t="s">
        <v>88</v>
      </c>
    </row>
    <row r="63" spans="1:19" hidden="1" outlineLevel="1" x14ac:dyDescent="0.25">
      <c r="B63" s="145">
        <v>1.1000000000000001</v>
      </c>
      <c r="C63" s="172" t="s">
        <v>89</v>
      </c>
    </row>
    <row r="64" spans="1:19" hidden="1" outlineLevel="1" x14ac:dyDescent="0.25">
      <c r="B64" s="145">
        <v>1.2</v>
      </c>
      <c r="C64" s="172" t="s">
        <v>90</v>
      </c>
    </row>
    <row r="65" spans="1:34" hidden="1" outlineLevel="1" x14ac:dyDescent="0.25">
      <c r="B65" s="145">
        <v>1.3</v>
      </c>
      <c r="C65" s="172" t="s">
        <v>91</v>
      </c>
    </row>
    <row r="66" spans="1:34" hidden="1" outlineLevel="1" x14ac:dyDescent="0.25">
      <c r="B66" s="145">
        <v>1.4</v>
      </c>
      <c r="C66" s="172" t="s">
        <v>92</v>
      </c>
    </row>
    <row r="67" spans="1:34" hidden="1" outlineLevel="1" x14ac:dyDescent="0.25">
      <c r="B67" s="145">
        <v>1.5</v>
      </c>
      <c r="C67" s="172" t="s">
        <v>93</v>
      </c>
    </row>
    <row r="68" spans="1:34" hidden="1" outlineLevel="1" x14ac:dyDescent="0.25">
      <c r="B68" s="145">
        <v>1.6</v>
      </c>
      <c r="C68" s="172" t="s">
        <v>94</v>
      </c>
    </row>
    <row r="69" spans="1:34" hidden="1" outlineLevel="1" x14ac:dyDescent="0.25">
      <c r="B69" s="173">
        <v>1.7</v>
      </c>
      <c r="C69" s="172" t="s">
        <v>95</v>
      </c>
    </row>
    <row r="70" spans="1:34" hidden="1" outlineLevel="1" x14ac:dyDescent="0.25"/>
    <row r="71" spans="1:34" ht="18" customHeight="1" collapsed="1" x14ac:dyDescent="0.25">
      <c r="A71" s="134">
        <v>4</v>
      </c>
      <c r="B71" s="170" t="s">
        <v>27</v>
      </c>
      <c r="C71" s="171"/>
      <c r="D71" s="171"/>
      <c r="E71" s="171"/>
      <c r="F71" s="171"/>
      <c r="G71" s="171"/>
      <c r="H71" s="171"/>
      <c r="I71" s="171"/>
      <c r="J71" s="171"/>
      <c r="K71" s="171"/>
      <c r="L71" s="171"/>
      <c r="M71" s="171"/>
      <c r="N71" s="171"/>
      <c r="O71" s="171"/>
      <c r="P71" s="171"/>
      <c r="Q71" s="171"/>
      <c r="R71" s="171"/>
      <c r="S71" s="171"/>
    </row>
    <row r="72" spans="1:34" hidden="1" outlineLevel="1" x14ac:dyDescent="0.25"/>
    <row r="73" spans="1:34" ht="13.35" hidden="1" customHeight="1" outlineLevel="1" x14ac:dyDescent="0.25">
      <c r="C73" s="145" t="s">
        <v>48</v>
      </c>
      <c r="D73" s="145" t="s">
        <v>49</v>
      </c>
      <c r="E73" s="145" t="s">
        <v>35</v>
      </c>
      <c r="F73" s="145" t="s">
        <v>50</v>
      </c>
      <c r="G73" s="145" t="s">
        <v>68</v>
      </c>
      <c r="H73" s="145" t="s">
        <v>69</v>
      </c>
      <c r="I73" s="145" t="s">
        <v>96</v>
      </c>
      <c r="J73" s="174" t="s">
        <v>97</v>
      </c>
      <c r="K73" s="175"/>
      <c r="L73" s="175"/>
      <c r="M73" s="176"/>
      <c r="N73" s="174" t="s">
        <v>98</v>
      </c>
      <c r="O73" s="175"/>
      <c r="P73" s="175"/>
      <c r="Q73" s="176"/>
      <c r="R73" s="174" t="s">
        <v>99</v>
      </c>
      <c r="S73" s="175"/>
      <c r="T73" s="175"/>
      <c r="U73" s="176"/>
      <c r="V73" s="145" t="s">
        <v>100</v>
      </c>
      <c r="W73" s="145" t="s">
        <v>101</v>
      </c>
      <c r="X73" s="145" t="s">
        <v>102</v>
      </c>
      <c r="Y73" s="145" t="s">
        <v>103</v>
      </c>
      <c r="Z73" s="145" t="s">
        <v>104</v>
      </c>
      <c r="AA73" s="145" t="s">
        <v>105</v>
      </c>
      <c r="AB73" s="145" t="s">
        <v>106</v>
      </c>
      <c r="AC73" s="145" t="s">
        <v>107</v>
      </c>
      <c r="AD73" s="145" t="s">
        <v>108</v>
      </c>
      <c r="AE73" s="145" t="s">
        <v>109</v>
      </c>
      <c r="AF73" s="145" t="s">
        <v>110</v>
      </c>
      <c r="AG73" s="145" t="s">
        <v>111</v>
      </c>
      <c r="AH73" s="145" t="s">
        <v>520</v>
      </c>
    </row>
    <row r="74" spans="1:34" s="138" customFormat="1" ht="202.35" hidden="1" customHeight="1" outlineLevel="1" x14ac:dyDescent="0.25">
      <c r="A74" s="132"/>
      <c r="B74" s="177" t="s">
        <v>112</v>
      </c>
      <c r="C74" s="168" t="s">
        <v>113</v>
      </c>
      <c r="D74" s="168" t="s">
        <v>114</v>
      </c>
      <c r="E74" s="168" t="s">
        <v>115</v>
      </c>
      <c r="F74" s="178" t="s">
        <v>116</v>
      </c>
      <c r="G74" s="168" t="s">
        <v>117</v>
      </c>
      <c r="H74" s="168" t="s">
        <v>118</v>
      </c>
      <c r="I74" s="168" t="s">
        <v>119</v>
      </c>
      <c r="J74" s="57" t="s">
        <v>120</v>
      </c>
      <c r="K74" s="57" t="s">
        <v>121</v>
      </c>
      <c r="L74" s="57" t="s">
        <v>122</v>
      </c>
      <c r="M74" s="57" t="s">
        <v>123</v>
      </c>
      <c r="N74" s="57" t="s">
        <v>124</v>
      </c>
      <c r="O74" s="57" t="s">
        <v>125</v>
      </c>
      <c r="P74" s="57" t="s">
        <v>126</v>
      </c>
      <c r="Q74" s="57" t="s">
        <v>127</v>
      </c>
      <c r="R74" s="57" t="s">
        <v>128</v>
      </c>
      <c r="S74" s="57" t="s">
        <v>129</v>
      </c>
      <c r="T74" s="57" t="s">
        <v>130</v>
      </c>
      <c r="U74" s="57" t="s">
        <v>131</v>
      </c>
      <c r="V74" s="179" t="s">
        <v>132</v>
      </c>
      <c r="W74" s="168" t="s">
        <v>133</v>
      </c>
      <c r="X74" s="168" t="s">
        <v>134</v>
      </c>
      <c r="Y74" s="168" t="s">
        <v>135</v>
      </c>
      <c r="Z74" s="168" t="s">
        <v>136</v>
      </c>
      <c r="AA74" s="168" t="s">
        <v>137</v>
      </c>
      <c r="AB74" s="180" t="s">
        <v>25</v>
      </c>
      <c r="AC74" s="168" t="s">
        <v>1</v>
      </c>
      <c r="AD74" s="168" t="s">
        <v>138</v>
      </c>
      <c r="AE74" s="168" t="s">
        <v>139</v>
      </c>
      <c r="AF74" s="240" t="s">
        <v>140</v>
      </c>
      <c r="AG74" s="168" t="s">
        <v>521</v>
      </c>
      <c r="AH74" s="168" t="s">
        <v>257</v>
      </c>
    </row>
    <row r="75" spans="1:34" ht="12.75" hidden="1" outlineLevel="1" x14ac:dyDescent="0.25">
      <c r="A75" s="30"/>
      <c r="D75" s="30"/>
      <c r="F75" s="30"/>
      <c r="G75" s="30"/>
      <c r="H75" s="30"/>
      <c r="K75" s="30"/>
      <c r="L75" s="30"/>
      <c r="M75" s="30"/>
      <c r="O75" s="30"/>
      <c r="P75" s="30"/>
      <c r="Q75" s="30"/>
    </row>
    <row r="76" spans="1:34" ht="13.35" customHeight="1" collapsed="1" x14ac:dyDescent="0.25">
      <c r="A76" s="132">
        <v>4.0999999999999996</v>
      </c>
      <c r="B76" s="181" t="s">
        <v>142</v>
      </c>
      <c r="C76" s="182"/>
      <c r="D76" s="182"/>
      <c r="E76" s="182"/>
      <c r="F76" s="182"/>
      <c r="G76" s="182"/>
      <c r="H76" s="182"/>
      <c r="I76" s="182"/>
      <c r="J76" s="182"/>
      <c r="K76" s="182"/>
      <c r="L76" s="182"/>
      <c r="M76" s="182"/>
      <c r="N76" s="182"/>
      <c r="O76" s="182"/>
      <c r="P76" s="182"/>
      <c r="Q76" s="182"/>
      <c r="R76" s="182"/>
      <c r="S76" s="182"/>
    </row>
    <row r="77" spans="1:34" hidden="1" outlineLevel="1" x14ac:dyDescent="0.25"/>
    <row r="78" spans="1:34" ht="13.35" hidden="1" customHeight="1" outlineLevel="1" x14ac:dyDescent="0.25">
      <c r="C78" s="145" t="s">
        <v>48</v>
      </c>
      <c r="D78" s="145" t="s">
        <v>49</v>
      </c>
      <c r="E78" s="145" t="s">
        <v>35</v>
      </c>
      <c r="F78" s="30"/>
    </row>
    <row r="79" spans="1:34" s="138" customFormat="1" ht="202.35" hidden="1" customHeight="1" outlineLevel="1" x14ac:dyDescent="0.25">
      <c r="A79" s="132"/>
      <c r="B79" s="177" t="s">
        <v>112</v>
      </c>
      <c r="C79" s="168" t="s">
        <v>113</v>
      </c>
      <c r="D79" s="168" t="s">
        <v>114</v>
      </c>
      <c r="E79" s="168" t="s">
        <v>115</v>
      </c>
      <c r="Q79" s="183"/>
    </row>
    <row r="80" spans="1:34" hidden="1" outlineLevel="1" x14ac:dyDescent="0.25">
      <c r="B80" s="145" t="s">
        <v>48</v>
      </c>
      <c r="C80" s="151" t="s">
        <v>143</v>
      </c>
      <c r="F80" s="153"/>
      <c r="G80" s="153"/>
      <c r="H80" s="153"/>
      <c r="K80" s="153"/>
      <c r="L80" s="153"/>
      <c r="M80" s="153"/>
      <c r="O80" s="153"/>
      <c r="P80" s="153"/>
      <c r="Q80" s="153"/>
    </row>
    <row r="81" spans="1:19" s="152" customFormat="1" ht="15" hidden="1" customHeight="1" outlineLevel="1" x14ac:dyDescent="0.25">
      <c r="A81" s="149"/>
      <c r="B81" s="150" t="s">
        <v>49</v>
      </c>
      <c r="C81" s="161" t="s">
        <v>144</v>
      </c>
      <c r="F81" s="153"/>
      <c r="G81" s="153"/>
      <c r="H81" s="153"/>
      <c r="K81" s="153"/>
      <c r="L81" s="153"/>
      <c r="M81" s="153"/>
      <c r="O81" s="153"/>
      <c r="P81" s="153"/>
      <c r="Q81" s="153"/>
    </row>
    <row r="82" spans="1:19" s="152" customFormat="1" ht="15" hidden="1" customHeight="1" outlineLevel="1" x14ac:dyDescent="0.25">
      <c r="A82" s="149"/>
      <c r="B82" s="154"/>
      <c r="C82" s="161" t="s">
        <v>145</v>
      </c>
      <c r="F82" s="153"/>
      <c r="G82" s="153"/>
      <c r="H82" s="153"/>
      <c r="K82" s="153"/>
      <c r="L82" s="153"/>
      <c r="M82" s="153"/>
      <c r="O82" s="153"/>
      <c r="P82" s="153"/>
      <c r="Q82" s="153"/>
    </row>
    <row r="83" spans="1:19" s="152" customFormat="1" ht="15" hidden="1" customHeight="1" outlineLevel="1" x14ac:dyDescent="0.25">
      <c r="A83" s="149"/>
      <c r="B83" s="145" t="s">
        <v>35</v>
      </c>
      <c r="C83" s="161" t="s">
        <v>146</v>
      </c>
      <c r="F83" s="153"/>
      <c r="G83" s="153"/>
      <c r="H83" s="153"/>
      <c r="K83" s="153"/>
      <c r="L83" s="153"/>
      <c r="M83" s="153"/>
      <c r="O83" s="153"/>
      <c r="P83" s="153"/>
      <c r="Q83" s="153"/>
    </row>
    <row r="84" spans="1:19" ht="13.35" hidden="1" customHeight="1" outlineLevel="1" x14ac:dyDescent="0.25">
      <c r="D84" s="133"/>
      <c r="E84" s="133"/>
    </row>
    <row r="85" spans="1:19" s="185" customFormat="1" ht="15" customHeight="1" collapsed="1" x14ac:dyDescent="0.25">
      <c r="A85" s="149">
        <v>4.2</v>
      </c>
      <c r="B85" s="181" t="s">
        <v>27</v>
      </c>
      <c r="C85" s="182"/>
      <c r="D85" s="182"/>
      <c r="E85" s="182"/>
      <c r="F85" s="182"/>
      <c r="G85" s="182"/>
      <c r="H85" s="182"/>
      <c r="I85" s="182"/>
      <c r="J85" s="182"/>
      <c r="K85" s="182"/>
      <c r="L85" s="182"/>
      <c r="M85" s="182"/>
      <c r="N85" s="182"/>
      <c r="O85" s="182"/>
      <c r="P85" s="182"/>
      <c r="Q85" s="182"/>
      <c r="R85" s="182"/>
      <c r="S85" s="184"/>
    </row>
    <row r="86" spans="1:19" ht="13.35" hidden="1" customHeight="1" outlineLevel="1" x14ac:dyDescent="0.25">
      <c r="D86" s="133"/>
      <c r="E86" s="133"/>
    </row>
    <row r="87" spans="1:19" ht="15" hidden="1" customHeight="1" outlineLevel="1" x14ac:dyDescent="0.25">
      <c r="B87" s="145" t="s">
        <v>50</v>
      </c>
      <c r="C87" s="145" t="s">
        <v>68</v>
      </c>
      <c r="D87" s="145" t="s">
        <v>69</v>
      </c>
      <c r="E87" s="145" t="s">
        <v>96</v>
      </c>
      <c r="F87" s="174" t="s">
        <v>97</v>
      </c>
      <c r="G87" s="175"/>
      <c r="H87" s="175"/>
      <c r="I87" s="176"/>
      <c r="J87" s="174" t="s">
        <v>98</v>
      </c>
      <c r="K87" s="175"/>
      <c r="L87" s="175"/>
      <c r="M87" s="176"/>
      <c r="N87" s="174" t="s">
        <v>99</v>
      </c>
      <c r="O87" s="175"/>
      <c r="P87" s="175"/>
      <c r="Q87" s="176"/>
    </row>
    <row r="88" spans="1:19" s="138" customFormat="1" ht="158.25" hidden="1" customHeight="1" outlineLevel="1" x14ac:dyDescent="0.25">
      <c r="A88" s="132"/>
      <c r="B88" s="177" t="s">
        <v>147</v>
      </c>
      <c r="C88" s="168" t="s">
        <v>117</v>
      </c>
      <c r="D88" s="168" t="s">
        <v>118</v>
      </c>
      <c r="E88" s="168" t="s">
        <v>119</v>
      </c>
      <c r="F88" s="57" t="s">
        <v>120</v>
      </c>
      <c r="G88" s="57" t="s">
        <v>121</v>
      </c>
      <c r="H88" s="57" t="s">
        <v>122</v>
      </c>
      <c r="I88" s="57" t="s">
        <v>123</v>
      </c>
      <c r="J88" s="57" t="s">
        <v>124</v>
      </c>
      <c r="K88" s="57" t="s">
        <v>125</v>
      </c>
      <c r="L88" s="57" t="s">
        <v>126</v>
      </c>
      <c r="M88" s="57" t="s">
        <v>127</v>
      </c>
      <c r="N88" s="57" t="s">
        <v>128</v>
      </c>
      <c r="O88" s="57" t="s">
        <v>129</v>
      </c>
      <c r="P88" s="57" t="s">
        <v>130</v>
      </c>
      <c r="Q88" s="57" t="s">
        <v>131</v>
      </c>
    </row>
    <row r="89" spans="1:19" s="152" customFormat="1" ht="15" hidden="1" customHeight="1" outlineLevel="1" x14ac:dyDescent="0.25">
      <c r="A89" s="149"/>
      <c r="B89" s="145" t="s">
        <v>68</v>
      </c>
      <c r="C89" s="161" t="s">
        <v>148</v>
      </c>
      <c r="F89" s="153"/>
      <c r="G89" s="153"/>
      <c r="H89" s="153"/>
      <c r="K89" s="153"/>
      <c r="L89" s="153"/>
      <c r="M89" s="153"/>
      <c r="O89" s="153"/>
      <c r="P89" s="153"/>
      <c r="Q89" s="153"/>
    </row>
    <row r="90" spans="1:19" s="152" customFormat="1" ht="15" hidden="1" customHeight="1" outlineLevel="1" x14ac:dyDescent="0.25">
      <c r="A90" s="149"/>
      <c r="B90" s="145" t="s">
        <v>69</v>
      </c>
      <c r="C90" t="s">
        <v>149</v>
      </c>
      <c r="F90" s="153"/>
      <c r="G90" s="153"/>
      <c r="H90" s="153"/>
      <c r="K90" s="153"/>
      <c r="L90" s="153"/>
      <c r="M90" s="153"/>
      <c r="O90" s="153"/>
      <c r="P90" s="153"/>
      <c r="Q90" s="153"/>
    </row>
    <row r="91" spans="1:19" s="152" customFormat="1" ht="15" hidden="1" customHeight="1" outlineLevel="1" x14ac:dyDescent="0.25">
      <c r="A91" s="149"/>
      <c r="B91" s="145" t="s">
        <v>96</v>
      </c>
      <c r="C91" s="161" t="s">
        <v>150</v>
      </c>
      <c r="F91" s="153"/>
      <c r="G91" s="153"/>
      <c r="H91" s="153"/>
      <c r="K91" s="153"/>
      <c r="L91" s="153"/>
      <c r="M91" s="153"/>
      <c r="O91" s="153"/>
      <c r="P91" s="153"/>
      <c r="Q91" s="153"/>
    </row>
    <row r="92" spans="1:19" s="152" customFormat="1" ht="15" hidden="1" customHeight="1" outlineLevel="1" x14ac:dyDescent="0.25">
      <c r="A92" s="149"/>
      <c r="B92" s="150" t="s">
        <v>97</v>
      </c>
      <c r="C92" s="222" t="s">
        <v>151</v>
      </c>
      <c r="F92" s="153"/>
      <c r="G92" s="153"/>
      <c r="H92" s="153"/>
      <c r="K92" s="153"/>
      <c r="L92" s="153"/>
      <c r="M92" s="153"/>
      <c r="O92" s="153"/>
      <c r="P92" s="153"/>
      <c r="Q92" s="153"/>
    </row>
    <row r="93" spans="1:19" s="152" customFormat="1" ht="15" hidden="1" customHeight="1" outlineLevel="1" x14ac:dyDescent="0.25">
      <c r="A93" s="149"/>
      <c r="B93" s="154"/>
      <c r="C93" s="222" t="s">
        <v>152</v>
      </c>
      <c r="F93" s="153"/>
      <c r="G93" s="153"/>
      <c r="H93" s="153"/>
      <c r="K93" s="153"/>
      <c r="L93" s="153"/>
      <c r="M93" s="153"/>
      <c r="O93" s="153"/>
      <c r="P93" s="153"/>
      <c r="Q93" s="153"/>
    </row>
    <row r="94" spans="1:19" s="152" customFormat="1" ht="15" hidden="1" customHeight="1" outlineLevel="1" x14ac:dyDescent="0.25">
      <c r="A94" s="149"/>
      <c r="B94" s="145" t="s">
        <v>98</v>
      </c>
      <c r="C94" s="222" t="s">
        <v>153</v>
      </c>
      <c r="F94" s="153"/>
      <c r="G94" s="153"/>
      <c r="H94" s="153"/>
      <c r="K94" s="153"/>
      <c r="L94" s="153"/>
      <c r="M94" s="153"/>
      <c r="O94" s="153"/>
      <c r="P94" s="153"/>
      <c r="Q94" s="153"/>
    </row>
    <row r="95" spans="1:19" s="152" customFormat="1" ht="15" hidden="1" customHeight="1" outlineLevel="1" x14ac:dyDescent="0.25">
      <c r="A95" s="149"/>
      <c r="B95" s="145" t="s">
        <v>99</v>
      </c>
      <c r="C95" s="161" t="s">
        <v>154</v>
      </c>
      <c r="F95" s="153"/>
      <c r="G95" s="153"/>
      <c r="H95" s="153"/>
      <c r="K95" s="153"/>
      <c r="L95" s="153"/>
      <c r="M95" s="153"/>
      <c r="O95" s="153"/>
      <c r="P95" s="153"/>
      <c r="Q95" s="153"/>
    </row>
    <row r="96" spans="1:19" ht="13.35" hidden="1" customHeight="1" outlineLevel="1" x14ac:dyDescent="0.25">
      <c r="D96" s="30"/>
      <c r="O96" s="30"/>
      <c r="P96" s="30"/>
      <c r="Q96" s="30"/>
    </row>
    <row r="97" spans="1:24" s="185" customFormat="1" ht="15" customHeight="1" collapsed="1" x14ac:dyDescent="0.25">
      <c r="A97" s="149">
        <v>4.3</v>
      </c>
      <c r="B97" s="181" t="s">
        <v>155</v>
      </c>
      <c r="C97" s="182"/>
      <c r="D97" s="182"/>
      <c r="E97" s="182"/>
      <c r="F97" s="182"/>
      <c r="G97" s="182"/>
      <c r="H97" s="182"/>
      <c r="I97" s="182"/>
      <c r="J97" s="182"/>
      <c r="K97" s="182"/>
      <c r="L97" s="182"/>
      <c r="M97" s="182"/>
      <c r="N97" s="182"/>
      <c r="O97" s="182"/>
      <c r="P97" s="182"/>
      <c r="Q97" s="182"/>
      <c r="R97" s="182"/>
      <c r="S97" s="184"/>
    </row>
    <row r="98" spans="1:24" ht="13.35" hidden="1" customHeight="1" outlineLevel="1" x14ac:dyDescent="0.25">
      <c r="D98" s="30"/>
      <c r="N98" s="133"/>
      <c r="R98" s="133"/>
      <c r="S98" s="133"/>
      <c r="T98" s="133"/>
      <c r="U98" s="133"/>
      <c r="V98" s="133"/>
      <c r="W98" s="133"/>
      <c r="X98" s="133"/>
    </row>
    <row r="99" spans="1:24" ht="15" hidden="1" customHeight="1" outlineLevel="1" x14ac:dyDescent="0.25">
      <c r="B99" s="145" t="s">
        <v>100</v>
      </c>
      <c r="C99" s="145" t="s">
        <v>101</v>
      </c>
      <c r="D99" s="145" t="s">
        <v>102</v>
      </c>
      <c r="E99" s="145" t="s">
        <v>103</v>
      </c>
      <c r="F99" s="145" t="s">
        <v>104</v>
      </c>
      <c r="G99" s="145" t="s">
        <v>105</v>
      </c>
      <c r="K99" s="30"/>
      <c r="L99" s="30"/>
      <c r="M99" s="30"/>
      <c r="O99" s="30"/>
      <c r="P99" s="30"/>
      <c r="Q99" s="30"/>
    </row>
    <row r="100" spans="1:24" s="138" customFormat="1" ht="148.5" hidden="1" customHeight="1" outlineLevel="1" x14ac:dyDescent="0.25">
      <c r="A100" s="132"/>
      <c r="B100" s="177" t="s">
        <v>132</v>
      </c>
      <c r="C100" s="168" t="s">
        <v>117</v>
      </c>
      <c r="D100" s="168" t="s">
        <v>134</v>
      </c>
      <c r="E100" s="168" t="s">
        <v>135</v>
      </c>
      <c r="F100" s="168" t="s">
        <v>136</v>
      </c>
      <c r="G100" s="168" t="s">
        <v>137</v>
      </c>
      <c r="H100" s="183"/>
    </row>
    <row r="101" spans="1:24" s="152" customFormat="1" ht="15" hidden="1" customHeight="1" outlineLevel="1" x14ac:dyDescent="0.25">
      <c r="A101" s="149"/>
      <c r="B101" s="154" t="s">
        <v>101</v>
      </c>
      <c r="C101" s="161" t="s">
        <v>156</v>
      </c>
      <c r="F101" s="153"/>
      <c r="G101" s="153"/>
      <c r="H101" s="153"/>
      <c r="K101" s="153"/>
      <c r="L101" s="153"/>
      <c r="M101" s="153"/>
      <c r="O101" s="153"/>
      <c r="P101" s="153"/>
      <c r="Q101" s="153"/>
    </row>
    <row r="102" spans="1:24" s="152" customFormat="1" ht="15" hidden="1" customHeight="1" outlineLevel="1" x14ac:dyDescent="0.25">
      <c r="A102" s="149"/>
      <c r="B102" s="150" t="s">
        <v>102</v>
      </c>
      <c r="C102" s="151" t="s">
        <v>157</v>
      </c>
      <c r="F102" s="153"/>
      <c r="G102" s="153"/>
      <c r="H102" s="153"/>
      <c r="K102" s="153"/>
      <c r="L102" s="153"/>
      <c r="M102" s="153"/>
      <c r="O102" s="153"/>
      <c r="P102" s="153"/>
      <c r="Q102" s="153"/>
    </row>
    <row r="103" spans="1:24" s="152" customFormat="1" ht="15" hidden="1" customHeight="1" outlineLevel="1" x14ac:dyDescent="0.25">
      <c r="A103" s="149"/>
      <c r="B103" s="156"/>
      <c r="C103" s="151" t="s">
        <v>158</v>
      </c>
      <c r="F103" s="153"/>
      <c r="G103" s="153"/>
      <c r="H103" s="153"/>
      <c r="K103" s="153"/>
      <c r="L103" s="153"/>
      <c r="M103" s="153"/>
      <c r="O103" s="153"/>
      <c r="P103" s="153"/>
      <c r="Q103" s="153"/>
    </row>
    <row r="104" spans="1:24" s="152" customFormat="1" ht="15" hidden="1" customHeight="1" outlineLevel="1" x14ac:dyDescent="0.25">
      <c r="A104" s="149"/>
      <c r="B104" s="154"/>
      <c r="C104" s="151" t="s">
        <v>159</v>
      </c>
      <c r="F104" s="153"/>
      <c r="G104" s="153"/>
      <c r="H104" s="153"/>
      <c r="K104" s="153"/>
      <c r="L104" s="153"/>
      <c r="M104" s="153"/>
      <c r="O104" s="153"/>
      <c r="P104" s="153"/>
      <c r="Q104" s="153"/>
    </row>
    <row r="105" spans="1:24" s="152" customFormat="1" ht="15" hidden="1" customHeight="1" outlineLevel="1" x14ac:dyDescent="0.25">
      <c r="A105" s="149"/>
      <c r="B105" s="145" t="s">
        <v>103</v>
      </c>
      <c r="C105" s="151" t="s">
        <v>160</v>
      </c>
      <c r="F105" s="153"/>
      <c r="G105" s="153"/>
      <c r="H105" s="153"/>
      <c r="K105" s="153"/>
      <c r="L105" s="153"/>
      <c r="M105" s="153"/>
      <c r="O105" s="153"/>
      <c r="P105" s="153"/>
      <c r="Q105" s="153"/>
    </row>
    <row r="106" spans="1:24" s="152" customFormat="1" ht="15" hidden="1" customHeight="1" outlineLevel="1" x14ac:dyDescent="0.25">
      <c r="A106" s="149"/>
      <c r="B106" s="145" t="s">
        <v>104</v>
      </c>
      <c r="C106" s="151" t="s">
        <v>161</v>
      </c>
      <c r="F106" s="153"/>
      <c r="G106" s="153"/>
      <c r="H106" s="153"/>
      <c r="K106" s="153"/>
      <c r="L106" s="153"/>
      <c r="M106" s="153"/>
      <c r="O106" s="153"/>
      <c r="P106" s="153"/>
      <c r="Q106" s="153"/>
    </row>
    <row r="107" spans="1:24" s="152" customFormat="1" ht="15" hidden="1" customHeight="1" outlineLevel="1" x14ac:dyDescent="0.25">
      <c r="A107" s="149"/>
      <c r="B107" s="145" t="s">
        <v>105</v>
      </c>
      <c r="C107" s="151" t="s">
        <v>162</v>
      </c>
      <c r="F107" s="153"/>
      <c r="G107" s="153"/>
      <c r="H107" s="153"/>
      <c r="K107" s="153"/>
      <c r="L107" s="153"/>
      <c r="M107" s="153"/>
      <c r="O107" s="153"/>
      <c r="P107" s="153"/>
      <c r="Q107" s="153"/>
    </row>
    <row r="108" spans="1:24" ht="13.35" hidden="1" customHeight="1" outlineLevel="1" x14ac:dyDescent="0.25">
      <c r="D108" s="30"/>
    </row>
    <row r="109" spans="1:24" s="185" customFormat="1" ht="15" customHeight="1" collapsed="1" x14ac:dyDescent="0.25">
      <c r="A109" s="149">
        <v>4.4000000000000004</v>
      </c>
      <c r="B109" s="237" t="s">
        <v>163</v>
      </c>
      <c r="C109" s="238"/>
      <c r="D109" s="238"/>
      <c r="E109" s="238"/>
      <c r="F109" s="238"/>
      <c r="G109" s="238"/>
      <c r="H109" s="238"/>
      <c r="I109" s="238"/>
      <c r="J109" s="238"/>
      <c r="K109" s="238"/>
      <c r="L109" s="238"/>
      <c r="M109" s="238"/>
      <c r="N109" s="238"/>
      <c r="O109" s="238"/>
      <c r="P109" s="238"/>
      <c r="Q109" s="238"/>
      <c r="R109" s="238"/>
      <c r="S109" s="239"/>
    </row>
    <row r="110" spans="1:24" ht="13.35" hidden="1" customHeight="1" outlineLevel="1" x14ac:dyDescent="0.25">
      <c r="D110" s="30"/>
      <c r="J110" s="187"/>
      <c r="K110" s="188"/>
    </row>
    <row r="111" spans="1:24" ht="15" hidden="1" customHeight="1" outlineLevel="1" x14ac:dyDescent="0.25">
      <c r="B111" s="145" t="s">
        <v>110</v>
      </c>
      <c r="C111" s="145" t="s">
        <v>111</v>
      </c>
      <c r="D111" s="145" t="s">
        <v>520</v>
      </c>
      <c r="E111" s="188"/>
      <c r="F111" s="188"/>
      <c r="G111" s="188"/>
      <c r="H111" s="188"/>
      <c r="I111" s="188"/>
      <c r="J111" s="188"/>
      <c r="K111" s="188"/>
    </row>
    <row r="112" spans="1:24" s="138" customFormat="1" ht="171" hidden="1" customHeight="1" outlineLevel="1" x14ac:dyDescent="0.25">
      <c r="A112" s="132"/>
      <c r="B112" s="240" t="s">
        <v>140</v>
      </c>
      <c r="C112" s="168" t="s">
        <v>521</v>
      </c>
      <c r="D112" s="168" t="s">
        <v>257</v>
      </c>
      <c r="E112" s="183"/>
      <c r="F112" s="183"/>
      <c r="G112" s="183"/>
      <c r="H112" s="183"/>
      <c r="I112" s="183"/>
      <c r="J112" s="183"/>
      <c r="K112" s="183"/>
      <c r="L112" s="183"/>
      <c r="M112" s="183"/>
      <c r="O112" s="183"/>
      <c r="P112" s="183"/>
      <c r="Q112" s="183"/>
    </row>
    <row r="113" spans="1:30" s="152" customFormat="1" ht="15" hidden="1" customHeight="1" outlineLevel="1" x14ac:dyDescent="0.25">
      <c r="A113" s="149"/>
      <c r="B113" s="145" t="s">
        <v>111</v>
      </c>
      <c r="C113" s="235" t="s">
        <v>523</v>
      </c>
      <c r="F113" s="153"/>
      <c r="G113" s="153"/>
      <c r="H113" s="153"/>
      <c r="K113" s="153"/>
      <c r="L113" s="153"/>
      <c r="M113" s="153"/>
      <c r="O113" s="153"/>
      <c r="P113" s="153"/>
      <c r="Q113" s="153"/>
    </row>
    <row r="114" spans="1:30" s="152" customFormat="1" ht="15" hidden="1" customHeight="1" outlineLevel="1" x14ac:dyDescent="0.25">
      <c r="A114" s="149"/>
      <c r="B114" s="173" t="s">
        <v>520</v>
      </c>
      <c r="C114" s="234" t="s">
        <v>522</v>
      </c>
      <c r="F114" s="153"/>
      <c r="G114" s="153"/>
      <c r="H114" s="153"/>
      <c r="K114" s="153"/>
      <c r="L114" s="153"/>
      <c r="M114" s="153"/>
      <c r="O114" s="153"/>
      <c r="P114" s="153"/>
      <c r="Q114" s="153"/>
    </row>
    <row r="115" spans="1:30" ht="13.35" hidden="1" customHeight="1" outlineLevel="1" x14ac:dyDescent="0.25">
      <c r="D115" s="30"/>
    </row>
    <row r="116" spans="1:30" s="193" customFormat="1" ht="20.100000000000001" customHeight="1" collapsed="1" x14ac:dyDescent="0.25">
      <c r="A116" s="189">
        <v>5</v>
      </c>
      <c r="B116" s="190" t="s">
        <v>28</v>
      </c>
      <c r="C116" s="191"/>
      <c r="D116" s="191"/>
      <c r="E116" s="191"/>
      <c r="F116" s="191"/>
      <c r="G116" s="191"/>
      <c r="H116" s="191"/>
      <c r="I116" s="191"/>
      <c r="J116" s="191"/>
      <c r="K116" s="191"/>
      <c r="L116" s="191"/>
      <c r="M116" s="191"/>
      <c r="N116" s="191"/>
      <c r="O116" s="191"/>
      <c r="P116" s="191"/>
      <c r="Q116" s="191"/>
      <c r="R116" s="191"/>
      <c r="S116" s="192"/>
    </row>
    <row r="117" spans="1:30" ht="13.35" hidden="1" customHeight="1" outlineLevel="1" x14ac:dyDescent="0.25">
      <c r="D117" s="30"/>
    </row>
    <row r="118" spans="1:30" s="138" customFormat="1" ht="15" hidden="1" customHeight="1" outlineLevel="1" x14ac:dyDescent="0.25">
      <c r="A118" s="132"/>
      <c r="B118" s="145" t="s">
        <v>47</v>
      </c>
      <c r="C118" s="145" t="s">
        <v>48</v>
      </c>
      <c r="D118" s="145" t="s">
        <v>49</v>
      </c>
      <c r="E118" s="145" t="s">
        <v>35</v>
      </c>
      <c r="F118" s="223" t="s">
        <v>50</v>
      </c>
      <c r="G118" s="223"/>
      <c r="H118" s="223"/>
      <c r="I118" s="223"/>
      <c r="J118" s="223" t="s">
        <v>68</v>
      </c>
      <c r="K118" s="223"/>
      <c r="L118" s="223"/>
      <c r="M118" s="223"/>
      <c r="N118" s="223" t="s">
        <v>69</v>
      </c>
      <c r="O118" s="223"/>
      <c r="P118" s="223"/>
      <c r="Q118" s="223"/>
      <c r="R118" s="145" t="s">
        <v>96</v>
      </c>
      <c r="S118" s="145" t="s">
        <v>97</v>
      </c>
      <c r="T118" s="145" t="s">
        <v>98</v>
      </c>
      <c r="U118" s="145" t="s">
        <v>99</v>
      </c>
      <c r="V118" s="145" t="s">
        <v>100</v>
      </c>
      <c r="W118" s="145" t="s">
        <v>101</v>
      </c>
      <c r="X118" s="145" t="s">
        <v>102</v>
      </c>
      <c r="Y118" s="145" t="s">
        <v>103</v>
      </c>
      <c r="Z118" s="145" t="s">
        <v>104</v>
      </c>
      <c r="AA118" s="145" t="s">
        <v>105</v>
      </c>
    </row>
    <row r="119" spans="1:30" s="196" customFormat="1" ht="217.5" hidden="1" customHeight="1" outlineLevel="1" x14ac:dyDescent="0.25">
      <c r="A119" s="149"/>
      <c r="B119" s="194" t="s">
        <v>28</v>
      </c>
      <c r="C119" s="195" t="s">
        <v>117</v>
      </c>
      <c r="D119" s="195" t="s">
        <v>164</v>
      </c>
      <c r="E119" s="195" t="s">
        <v>165</v>
      </c>
      <c r="F119" s="224" t="s">
        <v>166</v>
      </c>
      <c r="G119" s="224" t="s">
        <v>167</v>
      </c>
      <c r="H119" s="224" t="s">
        <v>168</v>
      </c>
      <c r="I119" s="224" t="s">
        <v>169</v>
      </c>
      <c r="J119" s="224" t="s">
        <v>124</v>
      </c>
      <c r="K119" s="224" t="s">
        <v>125</v>
      </c>
      <c r="L119" s="224" t="s">
        <v>126</v>
      </c>
      <c r="M119" s="224" t="s">
        <v>127</v>
      </c>
      <c r="N119" s="57" t="s">
        <v>128</v>
      </c>
      <c r="O119" s="224" t="s">
        <v>129</v>
      </c>
      <c r="P119" s="57" t="s">
        <v>130</v>
      </c>
      <c r="Q119" s="57" t="s">
        <v>131</v>
      </c>
      <c r="R119" s="168" t="s">
        <v>170</v>
      </c>
      <c r="S119" s="168" t="s">
        <v>171</v>
      </c>
      <c r="T119" s="168" t="s">
        <v>172</v>
      </c>
      <c r="U119" s="194" t="s">
        <v>132</v>
      </c>
      <c r="V119" s="168" t="s">
        <v>133</v>
      </c>
      <c r="W119" s="168" t="s">
        <v>173</v>
      </c>
      <c r="X119" s="168" t="s">
        <v>174</v>
      </c>
      <c r="Y119" s="240" t="s">
        <v>140</v>
      </c>
      <c r="Z119" s="168" t="s">
        <v>521</v>
      </c>
      <c r="AA119" s="168" t="s">
        <v>257</v>
      </c>
    </row>
    <row r="120" spans="1:30" s="152" customFormat="1" ht="12.75" hidden="1" customHeight="1" outlineLevel="1" x14ac:dyDescent="0.25"/>
    <row r="121" spans="1:30" s="185" customFormat="1" ht="15" customHeight="1" collapsed="1" x14ac:dyDescent="0.25">
      <c r="A121" s="149">
        <v>5.0999999999999996</v>
      </c>
      <c r="B121" s="197" t="s">
        <v>28</v>
      </c>
      <c r="C121" s="198"/>
      <c r="D121" s="198"/>
      <c r="E121" s="198"/>
      <c r="F121" s="198"/>
      <c r="G121" s="198"/>
      <c r="H121" s="198"/>
      <c r="I121" s="198"/>
      <c r="J121" s="198"/>
      <c r="K121" s="198"/>
      <c r="L121" s="198"/>
      <c r="M121" s="198"/>
      <c r="N121" s="198"/>
      <c r="O121" s="198"/>
      <c r="P121" s="198"/>
      <c r="Q121" s="198"/>
      <c r="R121" s="198"/>
      <c r="S121" s="199"/>
    </row>
    <row r="122" spans="1:30" s="152" customFormat="1" ht="15" hidden="1" customHeight="1" outlineLevel="1" x14ac:dyDescent="0.25">
      <c r="A122" s="153"/>
      <c r="B122" s="153"/>
      <c r="C122" s="153"/>
      <c r="D122" s="153"/>
      <c r="E122" s="153"/>
      <c r="F122" s="153"/>
      <c r="G122" s="153"/>
      <c r="H122" s="153"/>
      <c r="K122" s="153"/>
      <c r="L122" s="153"/>
      <c r="M122" s="153"/>
      <c r="O122" s="153"/>
      <c r="P122" s="153"/>
      <c r="Q122" s="153"/>
    </row>
    <row r="123" spans="1:30" s="138" customFormat="1" ht="15" hidden="1" customHeight="1" outlineLevel="1" x14ac:dyDescent="0.25">
      <c r="A123" s="132"/>
      <c r="B123" s="145" t="s">
        <v>47</v>
      </c>
      <c r="C123" s="145" t="s">
        <v>48</v>
      </c>
      <c r="D123" s="145" t="s">
        <v>49</v>
      </c>
      <c r="E123" s="145" t="s">
        <v>35</v>
      </c>
      <c r="F123" s="174" t="s">
        <v>50</v>
      </c>
      <c r="G123" s="175"/>
      <c r="H123" s="175"/>
      <c r="I123" s="176"/>
      <c r="J123" s="174" t="s">
        <v>68</v>
      </c>
      <c r="K123" s="175"/>
      <c r="L123" s="175"/>
      <c r="M123" s="176"/>
      <c r="N123" s="145" t="s">
        <v>69</v>
      </c>
      <c r="O123" s="145" t="s">
        <v>96</v>
      </c>
      <c r="P123" s="145" t="s">
        <v>97</v>
      </c>
      <c r="Q123" s="145" t="s">
        <v>98</v>
      </c>
      <c r="R123" s="145" t="s">
        <v>99</v>
      </c>
      <c r="S123" s="145" t="s">
        <v>100</v>
      </c>
      <c r="T123" s="145" t="s">
        <v>101</v>
      </c>
    </row>
    <row r="124" spans="1:30" s="196" customFormat="1" ht="154.5" hidden="1" customHeight="1" outlineLevel="1" x14ac:dyDescent="0.25">
      <c r="A124" s="149"/>
      <c r="B124" s="194" t="s">
        <v>28</v>
      </c>
      <c r="C124" s="195" t="s">
        <v>117</v>
      </c>
      <c r="D124" s="195" t="s">
        <v>164</v>
      </c>
      <c r="E124" s="195" t="s">
        <v>165</v>
      </c>
      <c r="F124" s="224" t="s">
        <v>166</v>
      </c>
      <c r="G124" s="224" t="s">
        <v>167</v>
      </c>
      <c r="H124" s="224" t="s">
        <v>168</v>
      </c>
      <c r="I124" s="224" t="s">
        <v>169</v>
      </c>
      <c r="J124" s="224" t="s">
        <v>124</v>
      </c>
      <c r="K124" s="224" t="s">
        <v>125</v>
      </c>
      <c r="L124" s="224" t="s">
        <v>126</v>
      </c>
      <c r="M124" s="224" t="s">
        <v>127</v>
      </c>
      <c r="N124" s="57" t="s">
        <v>128</v>
      </c>
      <c r="O124" s="224" t="s">
        <v>129</v>
      </c>
      <c r="P124" s="57" t="s">
        <v>130</v>
      </c>
      <c r="Q124" s="57" t="s">
        <v>131</v>
      </c>
      <c r="R124" s="168" t="s">
        <v>170</v>
      </c>
      <c r="S124" s="168" t="s">
        <v>171</v>
      </c>
      <c r="T124" s="168" t="s">
        <v>172</v>
      </c>
    </row>
    <row r="125" spans="1:30" s="152" customFormat="1" ht="15" hidden="1" customHeight="1" outlineLevel="1" x14ac:dyDescent="0.25">
      <c r="A125" s="149"/>
      <c r="B125" s="154" t="s">
        <v>48</v>
      </c>
      <c r="C125" s="161" t="s">
        <v>175</v>
      </c>
      <c r="F125" s="153"/>
      <c r="G125" s="153"/>
      <c r="H125" s="153"/>
      <c r="K125" s="153"/>
      <c r="L125" s="153"/>
      <c r="M125" s="153"/>
      <c r="O125" s="153"/>
      <c r="P125" s="153"/>
      <c r="Q125" s="153"/>
      <c r="AA125" s="196"/>
      <c r="AB125" s="196"/>
      <c r="AC125" s="196"/>
      <c r="AD125" s="196"/>
    </row>
    <row r="126" spans="1:30" s="152" customFormat="1" ht="15" hidden="1" customHeight="1" outlineLevel="1" x14ac:dyDescent="0.25">
      <c r="A126" s="149"/>
      <c r="B126" s="145" t="s">
        <v>49</v>
      </c>
      <c r="C126" t="s">
        <v>149</v>
      </c>
      <c r="F126" s="153"/>
      <c r="G126" s="153"/>
      <c r="H126" s="153"/>
      <c r="K126" s="153"/>
      <c r="L126" s="153"/>
      <c r="M126" s="153"/>
      <c r="O126" s="153"/>
      <c r="P126" s="153"/>
      <c r="Q126" s="153"/>
      <c r="AA126" s="196"/>
      <c r="AB126" s="196"/>
      <c r="AC126" s="196"/>
      <c r="AD126" s="196"/>
    </row>
    <row r="127" spans="1:30" s="152" customFormat="1" ht="15" hidden="1" customHeight="1" outlineLevel="1" x14ac:dyDescent="0.25">
      <c r="A127" s="149"/>
      <c r="B127" s="145" t="s">
        <v>35</v>
      </c>
      <c r="C127" s="161" t="s">
        <v>176</v>
      </c>
      <c r="F127" s="153"/>
      <c r="G127" s="153"/>
      <c r="H127" s="153"/>
      <c r="K127" s="153"/>
      <c r="L127" s="153"/>
      <c r="M127" s="153"/>
      <c r="O127" s="153"/>
      <c r="P127" s="153"/>
      <c r="Q127" s="153"/>
      <c r="AA127" s="196"/>
      <c r="AB127" s="196"/>
      <c r="AC127" s="196"/>
      <c r="AD127" s="196"/>
    </row>
    <row r="128" spans="1:30" s="152" customFormat="1" ht="15" hidden="1" customHeight="1" outlineLevel="1" x14ac:dyDescent="0.25">
      <c r="A128" s="149"/>
      <c r="B128" s="150" t="s">
        <v>50</v>
      </c>
      <c r="C128" s="222" t="s">
        <v>177</v>
      </c>
      <c r="F128" s="153"/>
      <c r="G128" s="153"/>
      <c r="H128" s="153"/>
      <c r="K128" s="153"/>
      <c r="L128" s="153"/>
      <c r="M128" s="153"/>
      <c r="O128" s="153"/>
      <c r="P128" s="153"/>
      <c r="Q128" s="153"/>
      <c r="AA128" s="196"/>
      <c r="AB128" s="196"/>
      <c r="AC128" s="196"/>
      <c r="AD128" s="196"/>
    </row>
    <row r="129" spans="1:30" s="152" customFormat="1" ht="15" hidden="1" customHeight="1" outlineLevel="1" x14ac:dyDescent="0.25">
      <c r="A129" s="149"/>
      <c r="B129" s="154"/>
      <c r="C129" s="222" t="s">
        <v>152</v>
      </c>
      <c r="F129" s="153"/>
      <c r="G129" s="153"/>
      <c r="H129" s="153"/>
      <c r="K129" s="153"/>
      <c r="L129" s="153"/>
      <c r="M129" s="153"/>
      <c r="O129" s="153"/>
      <c r="P129" s="153"/>
      <c r="Q129" s="153"/>
      <c r="AA129" s="196"/>
      <c r="AB129" s="196"/>
      <c r="AC129" s="196"/>
      <c r="AD129" s="196"/>
    </row>
    <row r="130" spans="1:30" s="152" customFormat="1" ht="15" hidden="1" customHeight="1" outlineLevel="1" x14ac:dyDescent="0.25">
      <c r="A130" s="149"/>
      <c r="B130" s="150" t="s">
        <v>68</v>
      </c>
      <c r="C130" s="222" t="s">
        <v>178</v>
      </c>
      <c r="F130" s="153"/>
      <c r="G130" s="153"/>
      <c r="H130" s="153"/>
      <c r="K130" s="153"/>
      <c r="L130" s="153"/>
      <c r="M130" s="153"/>
      <c r="O130" s="153"/>
      <c r="P130" s="153"/>
      <c r="Q130" s="153"/>
      <c r="AA130" s="196"/>
      <c r="AB130" s="196"/>
      <c r="AC130" s="196"/>
      <c r="AD130" s="196"/>
    </row>
    <row r="131" spans="1:30" s="152" customFormat="1" ht="15" hidden="1" customHeight="1" outlineLevel="1" x14ac:dyDescent="0.25">
      <c r="A131" s="149"/>
      <c r="B131" s="145" t="s">
        <v>69</v>
      </c>
      <c r="C131" s="161" t="s">
        <v>179</v>
      </c>
      <c r="F131" s="153"/>
      <c r="G131" s="153"/>
      <c r="H131" s="153"/>
      <c r="K131" s="153"/>
      <c r="L131" s="153"/>
      <c r="M131" s="153"/>
      <c r="O131" s="153"/>
      <c r="P131" s="153"/>
      <c r="Q131" s="153"/>
      <c r="AA131" s="196"/>
      <c r="AB131" s="196"/>
      <c r="AC131" s="196"/>
      <c r="AD131" s="196"/>
    </row>
    <row r="132" spans="1:30" s="152" customFormat="1" ht="15" hidden="1" customHeight="1" outlineLevel="1" x14ac:dyDescent="0.25">
      <c r="A132" s="149"/>
      <c r="B132" s="145" t="s">
        <v>96</v>
      </c>
      <c r="C132" s="151" t="s">
        <v>180</v>
      </c>
      <c r="F132" s="153"/>
      <c r="G132" s="153"/>
      <c r="H132" s="153"/>
      <c r="K132" s="153"/>
      <c r="L132" s="153"/>
      <c r="M132" s="153"/>
      <c r="O132" s="153"/>
      <c r="P132" s="153"/>
      <c r="Q132" s="153"/>
      <c r="AA132" s="196"/>
      <c r="AB132" s="196"/>
      <c r="AC132" s="196"/>
      <c r="AD132" s="196"/>
    </row>
    <row r="133" spans="1:30" s="152" customFormat="1" ht="15" hidden="1" customHeight="1" outlineLevel="1" x14ac:dyDescent="0.25">
      <c r="A133" s="149"/>
      <c r="B133" s="145" t="s">
        <v>97</v>
      </c>
      <c r="C133" s="151" t="s">
        <v>181</v>
      </c>
      <c r="F133" s="153"/>
      <c r="G133" s="153"/>
      <c r="H133" s="153"/>
      <c r="K133" s="153"/>
      <c r="L133" s="153"/>
      <c r="M133" s="153"/>
      <c r="O133" s="153"/>
      <c r="P133" s="153"/>
      <c r="Q133" s="153"/>
      <c r="AA133" s="196"/>
      <c r="AB133" s="196"/>
      <c r="AC133" s="196"/>
      <c r="AD133" s="196"/>
    </row>
    <row r="134" spans="1:30" s="152" customFormat="1" ht="15" hidden="1" customHeight="1" outlineLevel="1" x14ac:dyDescent="0.25">
      <c r="A134" s="149"/>
      <c r="B134" s="145" t="s">
        <v>98</v>
      </c>
      <c r="C134" s="161" t="s">
        <v>182</v>
      </c>
      <c r="F134" s="153"/>
      <c r="G134" s="153"/>
      <c r="H134" s="153"/>
      <c r="K134" s="153"/>
      <c r="L134" s="153"/>
      <c r="M134" s="153"/>
      <c r="O134" s="153"/>
      <c r="P134" s="153"/>
      <c r="Q134" s="153"/>
      <c r="AA134" s="196"/>
      <c r="AB134" s="196"/>
      <c r="AC134" s="196"/>
      <c r="AD134" s="196"/>
    </row>
    <row r="135" spans="1:30" s="152" customFormat="1" ht="15" hidden="1" customHeight="1" outlineLevel="1" x14ac:dyDescent="0.25">
      <c r="AA135" s="196"/>
      <c r="AB135" s="196"/>
      <c r="AC135" s="196"/>
      <c r="AD135" s="196"/>
    </row>
    <row r="136" spans="1:30" s="185" customFormat="1" ht="15" customHeight="1" collapsed="1" x14ac:dyDescent="0.25">
      <c r="A136" s="149">
        <v>5.2</v>
      </c>
      <c r="B136" s="197" t="s">
        <v>155</v>
      </c>
      <c r="C136" s="198"/>
      <c r="D136" s="198"/>
      <c r="E136" s="198"/>
      <c r="F136" s="198"/>
      <c r="G136" s="198"/>
      <c r="H136" s="198"/>
      <c r="I136" s="198"/>
      <c r="J136" s="198"/>
      <c r="K136" s="198"/>
      <c r="L136" s="198"/>
      <c r="M136" s="198"/>
      <c r="N136" s="198"/>
      <c r="O136" s="198"/>
      <c r="P136" s="198"/>
      <c r="Q136" s="198"/>
      <c r="R136" s="198"/>
      <c r="S136" s="199"/>
    </row>
    <row r="137" spans="1:30" s="185" customFormat="1" ht="15" hidden="1" customHeight="1" outlineLevel="1" x14ac:dyDescent="0.25"/>
    <row r="138" spans="1:30" ht="15" hidden="1" customHeight="1" outlineLevel="1" x14ac:dyDescent="0.25">
      <c r="B138" s="145" t="s">
        <v>99</v>
      </c>
      <c r="C138" s="145" t="s">
        <v>100</v>
      </c>
      <c r="D138" s="145" t="s">
        <v>101</v>
      </c>
      <c r="E138" s="145" t="s">
        <v>102</v>
      </c>
      <c r="F138" s="153"/>
      <c r="G138" s="30"/>
      <c r="H138" s="30"/>
      <c r="K138" s="30"/>
      <c r="L138" s="30"/>
      <c r="M138" s="30"/>
      <c r="O138" s="30"/>
      <c r="P138" s="30"/>
      <c r="Q138" s="30"/>
    </row>
    <row r="139" spans="1:30" s="196" customFormat="1" ht="204.75" hidden="1" customHeight="1" outlineLevel="1" x14ac:dyDescent="0.25">
      <c r="A139" s="149"/>
      <c r="B139" s="200" t="s">
        <v>132</v>
      </c>
      <c r="C139" s="168" t="s">
        <v>133</v>
      </c>
      <c r="D139" s="168" t="s">
        <v>173</v>
      </c>
      <c r="E139" s="168" t="s">
        <v>174</v>
      </c>
    </row>
    <row r="140" spans="1:30" s="152" customFormat="1" ht="15" hidden="1" customHeight="1" outlineLevel="1" x14ac:dyDescent="0.25">
      <c r="A140" s="149"/>
      <c r="B140" s="150" t="s">
        <v>100</v>
      </c>
      <c r="C140" s="161" t="s">
        <v>156</v>
      </c>
      <c r="F140" s="153"/>
      <c r="G140" s="153"/>
      <c r="H140" s="153"/>
      <c r="K140" s="153"/>
      <c r="L140" s="153"/>
      <c r="M140" s="153"/>
      <c r="O140" s="153"/>
      <c r="P140" s="153"/>
      <c r="Q140" s="153"/>
    </row>
    <row r="141" spans="1:30" s="152" customFormat="1" ht="15" hidden="1" customHeight="1" outlineLevel="1" x14ac:dyDescent="0.25">
      <c r="A141" s="149"/>
      <c r="B141" s="145" t="s">
        <v>101</v>
      </c>
      <c r="C141" s="161" t="s">
        <v>183</v>
      </c>
      <c r="F141" s="153"/>
      <c r="G141" s="153"/>
      <c r="H141" s="153"/>
      <c r="K141" s="153"/>
      <c r="L141" s="153"/>
      <c r="M141" s="153"/>
      <c r="O141" s="153"/>
      <c r="P141" s="153"/>
      <c r="Q141" s="153"/>
    </row>
    <row r="142" spans="1:30" s="152" customFormat="1" ht="15" hidden="1" customHeight="1" outlineLevel="1" x14ac:dyDescent="0.25">
      <c r="A142" s="149"/>
      <c r="B142" s="145" t="s">
        <v>102</v>
      </c>
      <c r="C142" s="161" t="s">
        <v>184</v>
      </c>
      <c r="F142" s="153"/>
      <c r="G142" s="153"/>
      <c r="H142" s="153"/>
      <c r="K142" s="153"/>
      <c r="L142" s="153"/>
      <c r="M142" s="153"/>
      <c r="O142" s="153"/>
      <c r="P142" s="153"/>
      <c r="Q142" s="153"/>
    </row>
    <row r="143" spans="1:30" s="152" customFormat="1" ht="15" hidden="1" customHeight="1" outlineLevel="1" x14ac:dyDescent="0.25">
      <c r="F143" s="153"/>
      <c r="G143" s="153"/>
      <c r="H143" s="153"/>
      <c r="K143" s="153"/>
      <c r="L143" s="153"/>
      <c r="M143" s="153"/>
      <c r="O143" s="153"/>
      <c r="P143" s="153"/>
      <c r="Q143" s="153"/>
    </row>
    <row r="144" spans="1:30" s="185" customFormat="1" ht="15" customHeight="1" collapsed="1" x14ac:dyDescent="0.25">
      <c r="A144" s="149">
        <v>5.3</v>
      </c>
      <c r="B144" s="237" t="s">
        <v>163</v>
      </c>
      <c r="C144" s="238"/>
      <c r="D144" s="238"/>
      <c r="E144" s="238"/>
      <c r="F144" s="238"/>
      <c r="G144" s="238"/>
      <c r="H144" s="238"/>
      <c r="I144" s="238"/>
      <c r="J144" s="238"/>
      <c r="K144" s="238"/>
      <c r="L144" s="238"/>
      <c r="M144" s="238"/>
      <c r="N144" s="238"/>
      <c r="O144" s="238"/>
      <c r="P144" s="238"/>
      <c r="Q144" s="238"/>
      <c r="R144" s="238"/>
      <c r="S144" s="239"/>
    </row>
    <row r="145" spans="1:30" ht="13.35" hidden="1" customHeight="1" outlineLevel="1" x14ac:dyDescent="0.25">
      <c r="D145" s="30"/>
      <c r="J145" s="187"/>
      <c r="K145" s="188"/>
    </row>
    <row r="146" spans="1:30" ht="15" hidden="1" customHeight="1" outlineLevel="1" x14ac:dyDescent="0.25">
      <c r="B146" s="145" t="s">
        <v>103</v>
      </c>
      <c r="C146" s="145" t="s">
        <v>104</v>
      </c>
      <c r="D146" s="145" t="s">
        <v>105</v>
      </c>
      <c r="E146" s="188"/>
      <c r="F146" s="188"/>
      <c r="G146" s="188"/>
      <c r="H146" s="188"/>
      <c r="I146" s="188"/>
      <c r="J146" s="188"/>
      <c r="K146" s="188"/>
    </row>
    <row r="147" spans="1:30" s="138" customFormat="1" ht="171" hidden="1" customHeight="1" outlineLevel="1" x14ac:dyDescent="0.25">
      <c r="A147" s="132"/>
      <c r="B147" s="240" t="s">
        <v>140</v>
      </c>
      <c r="C147" s="168" t="s">
        <v>521</v>
      </c>
      <c r="D147" s="168" t="s">
        <v>257</v>
      </c>
      <c r="E147" s="183"/>
      <c r="F147" s="183"/>
      <c r="G147" s="183"/>
      <c r="H147" s="183"/>
      <c r="I147" s="183"/>
      <c r="J147" s="183"/>
      <c r="K147" s="183"/>
      <c r="L147" s="183"/>
      <c r="M147" s="183"/>
      <c r="O147" s="183"/>
      <c r="P147" s="183"/>
      <c r="Q147" s="183"/>
    </row>
    <row r="148" spans="1:30" s="152" customFormat="1" ht="15" hidden="1" customHeight="1" outlineLevel="1" x14ac:dyDescent="0.25">
      <c r="A148" s="149"/>
      <c r="B148" s="145" t="s">
        <v>111</v>
      </c>
      <c r="C148" s="235" t="s">
        <v>523</v>
      </c>
      <c r="F148" s="153"/>
      <c r="G148" s="153"/>
      <c r="H148" s="153"/>
      <c r="K148" s="153"/>
      <c r="L148" s="153"/>
      <c r="M148" s="153"/>
      <c r="O148" s="153"/>
      <c r="P148" s="153"/>
      <c r="Q148" s="153"/>
    </row>
    <row r="149" spans="1:30" s="152" customFormat="1" ht="15" hidden="1" customHeight="1" outlineLevel="1" x14ac:dyDescent="0.25">
      <c r="A149" s="149"/>
      <c r="B149" s="173" t="s">
        <v>520</v>
      </c>
      <c r="C149" s="234" t="s">
        <v>522</v>
      </c>
      <c r="F149" s="153"/>
      <c r="G149" s="153"/>
      <c r="H149" s="153"/>
      <c r="K149" s="153"/>
      <c r="L149" s="153"/>
      <c r="M149" s="153"/>
      <c r="O149" s="153"/>
      <c r="P149" s="153"/>
      <c r="Q149" s="153"/>
    </row>
    <row r="150" spans="1:30" s="152" customFormat="1" ht="15" hidden="1" customHeight="1" outlineLevel="1" x14ac:dyDescent="0.25">
      <c r="A150" s="153"/>
      <c r="B150" s="153"/>
      <c r="C150" s="153"/>
      <c r="D150" s="153"/>
      <c r="E150" s="153"/>
      <c r="F150" s="153"/>
      <c r="G150" s="153"/>
      <c r="H150" s="153"/>
      <c r="K150" s="153"/>
      <c r="L150" s="153"/>
      <c r="M150" s="153"/>
      <c r="O150" s="153"/>
      <c r="P150" s="153"/>
      <c r="Q150" s="153"/>
      <c r="AA150" s="196"/>
      <c r="AB150" s="196"/>
      <c r="AC150" s="196"/>
      <c r="AD150" s="196"/>
    </row>
    <row r="151" spans="1:30" s="193" customFormat="1" ht="20.100000000000001" customHeight="1" collapsed="1" x14ac:dyDescent="0.25">
      <c r="A151" s="189">
        <v>6</v>
      </c>
      <c r="B151" s="201" t="s">
        <v>185</v>
      </c>
      <c r="C151" s="201"/>
      <c r="D151" s="201"/>
      <c r="E151" s="201"/>
      <c r="F151" s="201"/>
      <c r="G151" s="201"/>
      <c r="H151" s="201"/>
      <c r="I151" s="201"/>
      <c r="J151" s="201"/>
      <c r="K151" s="201"/>
      <c r="L151" s="201"/>
      <c r="M151" s="201"/>
      <c r="N151" s="201"/>
      <c r="O151" s="201"/>
      <c r="P151" s="201"/>
      <c r="Q151" s="201"/>
      <c r="R151" s="201"/>
      <c r="S151" s="201"/>
    </row>
    <row r="152" spans="1:30" s="152" customFormat="1" ht="15" hidden="1" customHeight="1" outlineLevel="1" x14ac:dyDescent="0.25">
      <c r="A152" s="149"/>
      <c r="F152" s="153"/>
      <c r="G152" s="153"/>
      <c r="H152" s="153"/>
    </row>
    <row r="153" spans="1:30" ht="15" hidden="1" customHeight="1" outlineLevel="1" x14ac:dyDescent="0.25">
      <c r="B153" s="145" t="s">
        <v>47</v>
      </c>
      <c r="C153" s="145" t="s">
        <v>48</v>
      </c>
      <c r="D153" s="145" t="s">
        <v>49</v>
      </c>
      <c r="E153" s="145" t="s">
        <v>35</v>
      </c>
      <c r="F153" s="174" t="s">
        <v>50</v>
      </c>
      <c r="G153" s="175"/>
      <c r="H153" s="175"/>
      <c r="I153" s="176"/>
      <c r="J153" s="174" t="s">
        <v>68</v>
      </c>
      <c r="K153" s="175"/>
      <c r="L153" s="175"/>
      <c r="M153" s="176"/>
      <c r="N153" s="145" t="s">
        <v>69</v>
      </c>
      <c r="O153" s="145" t="s">
        <v>96</v>
      </c>
      <c r="P153" s="145" t="s">
        <v>97</v>
      </c>
      <c r="Q153" s="145" t="s">
        <v>99</v>
      </c>
    </row>
    <row r="154" spans="1:30" s="196" customFormat="1" ht="162.75" hidden="1" outlineLevel="1" x14ac:dyDescent="0.25">
      <c r="B154" s="194" t="s">
        <v>186</v>
      </c>
      <c r="C154" s="168" t="s">
        <v>117</v>
      </c>
      <c r="D154" s="168" t="s">
        <v>187</v>
      </c>
      <c r="E154" s="168" t="s">
        <v>188</v>
      </c>
      <c r="F154" s="168" t="s">
        <v>125</v>
      </c>
      <c r="G154" s="168" t="s">
        <v>126</v>
      </c>
      <c r="H154" s="168" t="s">
        <v>127</v>
      </c>
      <c r="I154" s="168" t="s">
        <v>124</v>
      </c>
      <c r="J154" s="168" t="s">
        <v>189</v>
      </c>
      <c r="K154" s="168" t="s">
        <v>190</v>
      </c>
      <c r="L154" s="168" t="s">
        <v>191</v>
      </c>
      <c r="M154" s="168" t="s">
        <v>192</v>
      </c>
      <c r="N154" s="168" t="s">
        <v>174</v>
      </c>
      <c r="O154" s="240" t="s">
        <v>140</v>
      </c>
      <c r="P154" s="168" t="s">
        <v>521</v>
      </c>
      <c r="Q154" s="168" t="s">
        <v>257</v>
      </c>
    </row>
    <row r="155" spans="1:30" s="152" customFormat="1" ht="15" hidden="1" customHeight="1" outlineLevel="1" x14ac:dyDescent="0.25">
      <c r="A155" s="149"/>
      <c r="F155" s="153"/>
      <c r="G155" s="153"/>
      <c r="H155" s="153"/>
    </row>
    <row r="156" spans="1:30" s="152" customFormat="1" ht="15" customHeight="1" collapsed="1" x14ac:dyDescent="0.25">
      <c r="A156" s="149">
        <v>6.1</v>
      </c>
      <c r="B156" s="197" t="s">
        <v>186</v>
      </c>
      <c r="C156" s="198"/>
      <c r="D156" s="198"/>
      <c r="E156" s="198"/>
      <c r="F156" s="198"/>
      <c r="G156" s="198"/>
      <c r="H156" s="198"/>
      <c r="I156" s="198"/>
      <c r="J156" s="198"/>
      <c r="K156" s="198"/>
      <c r="L156" s="198"/>
      <c r="M156" s="198"/>
      <c r="N156" s="198"/>
      <c r="O156" s="198"/>
      <c r="P156" s="198"/>
      <c r="Q156" s="198"/>
      <c r="R156" s="198"/>
      <c r="S156" s="199"/>
    </row>
    <row r="157" spans="1:30" s="152" customFormat="1" ht="15" hidden="1" customHeight="1" outlineLevel="1" x14ac:dyDescent="0.25">
      <c r="A157" s="149"/>
      <c r="F157" s="153"/>
      <c r="G157" s="153"/>
      <c r="H157" s="153"/>
    </row>
    <row r="158" spans="1:30" ht="15" hidden="1" customHeight="1" outlineLevel="1" x14ac:dyDescent="0.25">
      <c r="B158" s="145" t="s">
        <v>47</v>
      </c>
      <c r="C158" s="145" t="s">
        <v>48</v>
      </c>
      <c r="D158" s="145" t="s">
        <v>49</v>
      </c>
      <c r="E158" s="145" t="s">
        <v>35</v>
      </c>
      <c r="F158" s="174" t="s">
        <v>50</v>
      </c>
      <c r="G158" s="175"/>
      <c r="H158" s="175"/>
      <c r="I158" s="176"/>
      <c r="J158" s="174" t="s">
        <v>68</v>
      </c>
      <c r="K158" s="175"/>
      <c r="L158" s="175"/>
      <c r="M158" s="176"/>
      <c r="N158" s="145" t="s">
        <v>69</v>
      </c>
      <c r="O158" s="30"/>
      <c r="P158" s="30"/>
      <c r="Q158" s="30"/>
    </row>
    <row r="159" spans="1:30" s="196" customFormat="1" ht="122.25" hidden="1" outlineLevel="1" x14ac:dyDescent="0.25">
      <c r="B159" s="194" t="s">
        <v>186</v>
      </c>
      <c r="C159" s="168" t="s">
        <v>117</v>
      </c>
      <c r="D159" s="168" t="s">
        <v>187</v>
      </c>
      <c r="E159" s="168" t="s">
        <v>188</v>
      </c>
      <c r="F159" s="168" t="s">
        <v>125</v>
      </c>
      <c r="G159" s="168" t="s">
        <v>126</v>
      </c>
      <c r="H159" s="168" t="s">
        <v>127</v>
      </c>
      <c r="I159" s="168" t="s">
        <v>124</v>
      </c>
      <c r="J159" s="168" t="s">
        <v>189</v>
      </c>
      <c r="K159" s="168" t="s">
        <v>190</v>
      </c>
      <c r="L159" s="168" t="s">
        <v>191</v>
      </c>
      <c r="M159" s="168" t="s">
        <v>192</v>
      </c>
      <c r="N159" s="168" t="s">
        <v>174</v>
      </c>
    </row>
    <row r="160" spans="1:30" s="152" customFormat="1" ht="15" hidden="1" customHeight="1" outlineLevel="1" x14ac:dyDescent="0.25">
      <c r="A160" s="196"/>
      <c r="B160" s="145" t="s">
        <v>48</v>
      </c>
      <c r="C160" s="161" t="s">
        <v>193</v>
      </c>
      <c r="F160" s="153"/>
      <c r="K160" s="153"/>
      <c r="L160" s="153"/>
      <c r="M160" s="153"/>
      <c r="O160" s="153"/>
      <c r="P160" s="153"/>
      <c r="Q160" s="153"/>
    </row>
    <row r="161" spans="1:19" s="152" customFormat="1" ht="15" hidden="1" customHeight="1" outlineLevel="1" x14ac:dyDescent="0.25">
      <c r="A161" s="196"/>
      <c r="B161" s="145" t="s">
        <v>49</v>
      </c>
      <c r="C161" t="s">
        <v>149</v>
      </c>
      <c r="F161" s="153"/>
      <c r="K161" s="153"/>
      <c r="L161" s="153"/>
      <c r="M161" s="153"/>
      <c r="O161" s="153"/>
      <c r="P161" s="153"/>
      <c r="Q161" s="153"/>
    </row>
    <row r="162" spans="1:19" s="152" customFormat="1" ht="15" hidden="1" customHeight="1" outlineLevel="1" x14ac:dyDescent="0.25">
      <c r="A162" s="196"/>
      <c r="B162" s="145" t="s">
        <v>35</v>
      </c>
      <c r="C162" s="161" t="s">
        <v>194</v>
      </c>
      <c r="F162" s="153"/>
      <c r="G162" s="133"/>
      <c r="H162" s="133"/>
      <c r="K162" s="153"/>
      <c r="L162" s="153"/>
      <c r="M162" s="153"/>
      <c r="O162" s="153"/>
      <c r="P162" s="153"/>
      <c r="Q162" s="153"/>
    </row>
    <row r="163" spans="1:19" s="152" customFormat="1" ht="15" hidden="1" customHeight="1" outlineLevel="1" x14ac:dyDescent="0.25">
      <c r="A163" s="196"/>
      <c r="B163" s="145" t="s">
        <v>50</v>
      </c>
      <c r="C163" s="161" t="s">
        <v>195</v>
      </c>
      <c r="F163" s="153"/>
      <c r="G163" s="133"/>
      <c r="H163" s="133"/>
      <c r="K163" s="153"/>
      <c r="L163" s="153"/>
      <c r="M163" s="153"/>
      <c r="O163" s="153"/>
      <c r="P163" s="153"/>
      <c r="Q163" s="153"/>
    </row>
    <row r="164" spans="1:19" s="152" customFormat="1" ht="15" hidden="1" customHeight="1" outlineLevel="1" x14ac:dyDescent="0.25">
      <c r="A164" s="196"/>
      <c r="B164" s="145" t="s">
        <v>68</v>
      </c>
      <c r="C164" s="161" t="s">
        <v>196</v>
      </c>
      <c r="F164" s="153"/>
      <c r="G164" s="133"/>
      <c r="H164" s="133"/>
      <c r="K164" s="153"/>
      <c r="L164" s="153"/>
      <c r="M164" s="153"/>
      <c r="O164" s="153"/>
      <c r="P164" s="153"/>
      <c r="Q164" s="153"/>
    </row>
    <row r="165" spans="1:19" s="152" customFormat="1" ht="15" hidden="1" customHeight="1" outlineLevel="1" x14ac:dyDescent="0.25">
      <c r="A165" s="196"/>
      <c r="B165" s="145" t="s">
        <v>69</v>
      </c>
      <c r="C165" s="161" t="s">
        <v>197</v>
      </c>
      <c r="F165" s="153"/>
      <c r="G165" s="133"/>
      <c r="H165" s="133"/>
      <c r="K165" s="153"/>
      <c r="L165" s="153"/>
      <c r="M165" s="153"/>
      <c r="O165" s="153"/>
      <c r="P165" s="153"/>
      <c r="Q165" s="153"/>
    </row>
    <row r="166" spans="1:19" s="152" customFormat="1" ht="15" hidden="1" customHeight="1" outlineLevel="1" x14ac:dyDescent="0.25">
      <c r="F166" s="153"/>
      <c r="G166" s="133"/>
      <c r="H166" s="133"/>
      <c r="K166" s="153"/>
      <c r="L166" s="153"/>
      <c r="M166" s="153"/>
      <c r="O166" s="153"/>
      <c r="P166" s="153"/>
      <c r="Q166" s="153"/>
    </row>
    <row r="167" spans="1:19" s="185" customFormat="1" ht="15" customHeight="1" collapsed="1" x14ac:dyDescent="0.25">
      <c r="A167" s="149">
        <v>6.2</v>
      </c>
      <c r="B167" s="237" t="s">
        <v>163</v>
      </c>
      <c r="C167" s="238"/>
      <c r="D167" s="238"/>
      <c r="E167" s="238"/>
      <c r="F167" s="238"/>
      <c r="G167" s="238"/>
      <c r="H167" s="238"/>
      <c r="I167" s="238"/>
      <c r="J167" s="238"/>
      <c r="K167" s="238"/>
      <c r="L167" s="238"/>
      <c r="M167" s="238"/>
      <c r="N167" s="238"/>
      <c r="O167" s="238"/>
      <c r="P167" s="238"/>
      <c r="Q167" s="238"/>
      <c r="R167" s="238"/>
      <c r="S167" s="239"/>
    </row>
    <row r="168" spans="1:19" ht="13.35" hidden="1" customHeight="1" outlineLevel="1" x14ac:dyDescent="0.25">
      <c r="D168" s="30"/>
      <c r="J168" s="187"/>
      <c r="K168" s="188"/>
    </row>
    <row r="169" spans="1:19" ht="15" hidden="1" customHeight="1" outlineLevel="1" x14ac:dyDescent="0.25">
      <c r="B169" s="145" t="s">
        <v>96</v>
      </c>
      <c r="C169" s="145" t="s">
        <v>97</v>
      </c>
      <c r="D169" s="145" t="s">
        <v>99</v>
      </c>
      <c r="E169" s="188"/>
      <c r="F169" s="188"/>
      <c r="G169" s="188"/>
      <c r="H169" s="188"/>
      <c r="I169" s="188"/>
      <c r="J169" s="188"/>
      <c r="K169" s="188"/>
    </row>
    <row r="170" spans="1:19" s="138" customFormat="1" ht="171" hidden="1" customHeight="1" outlineLevel="1" x14ac:dyDescent="0.25">
      <c r="A170" s="132"/>
      <c r="B170" s="240" t="s">
        <v>140</v>
      </c>
      <c r="C170" s="168" t="s">
        <v>521</v>
      </c>
      <c r="D170" s="168" t="s">
        <v>257</v>
      </c>
      <c r="E170" s="183"/>
      <c r="F170" s="183"/>
      <c r="G170" s="183"/>
      <c r="H170" s="183"/>
      <c r="I170" s="183"/>
      <c r="J170" s="183"/>
      <c r="K170" s="183"/>
      <c r="L170" s="183"/>
      <c r="M170" s="183"/>
      <c r="O170" s="183"/>
      <c r="P170" s="183"/>
      <c r="Q170" s="183"/>
    </row>
    <row r="171" spans="1:19" s="152" customFormat="1" ht="15" hidden="1" customHeight="1" outlineLevel="1" x14ac:dyDescent="0.25">
      <c r="A171" s="149"/>
      <c r="B171" s="145" t="s">
        <v>111</v>
      </c>
      <c r="C171" s="235" t="s">
        <v>523</v>
      </c>
      <c r="F171" s="153"/>
      <c r="G171" s="153"/>
      <c r="H171" s="153"/>
      <c r="K171" s="153"/>
      <c r="L171" s="153"/>
      <c r="M171" s="153"/>
      <c r="O171" s="153"/>
      <c r="P171" s="153"/>
      <c r="Q171" s="153"/>
    </row>
    <row r="172" spans="1:19" s="152" customFormat="1" ht="15" hidden="1" customHeight="1" outlineLevel="1" x14ac:dyDescent="0.25">
      <c r="A172" s="149"/>
      <c r="B172" s="173" t="s">
        <v>520</v>
      </c>
      <c r="C172" s="234" t="s">
        <v>522</v>
      </c>
      <c r="F172" s="153"/>
      <c r="G172" s="153"/>
      <c r="H172" s="153"/>
      <c r="K172" s="153"/>
      <c r="L172" s="153"/>
      <c r="M172" s="153"/>
      <c r="O172" s="153"/>
      <c r="P172" s="153"/>
      <c r="Q172" s="153"/>
    </row>
    <row r="173" spans="1:19" s="152" customFormat="1" ht="15" hidden="1" customHeight="1" outlineLevel="1" x14ac:dyDescent="0.25">
      <c r="A173" s="196"/>
      <c r="F173" s="153"/>
      <c r="G173" s="133"/>
      <c r="H173" s="133"/>
      <c r="K173" s="153"/>
      <c r="L173" s="153"/>
      <c r="M173" s="153"/>
      <c r="O173" s="153"/>
      <c r="P173" s="153"/>
      <c r="Q173" s="153"/>
    </row>
    <row r="174" spans="1:19" s="193" customFormat="1" ht="20.100000000000001" customHeight="1" collapsed="1" x14ac:dyDescent="0.25">
      <c r="A174" s="189">
        <v>7</v>
      </c>
      <c r="B174" s="202" t="s">
        <v>198</v>
      </c>
      <c r="C174" s="202"/>
      <c r="D174" s="202"/>
      <c r="E174" s="202"/>
      <c r="F174" s="202"/>
      <c r="G174" s="202"/>
      <c r="H174" s="202"/>
      <c r="I174" s="202"/>
      <c r="J174" s="202"/>
      <c r="K174" s="202"/>
      <c r="L174" s="202"/>
      <c r="M174" s="202"/>
      <c r="N174" s="202"/>
      <c r="O174" s="202"/>
      <c r="P174" s="202"/>
      <c r="Q174" s="202"/>
      <c r="R174" s="202"/>
      <c r="S174" s="202"/>
    </row>
    <row r="175" spans="1:19" s="152" customFormat="1" ht="15" hidden="1" customHeight="1" outlineLevel="1" x14ac:dyDescent="0.25">
      <c r="A175" s="149"/>
      <c r="F175" s="153"/>
      <c r="G175" s="153"/>
      <c r="H175" s="153"/>
      <c r="K175" s="153"/>
      <c r="L175" s="153"/>
      <c r="M175" s="153"/>
      <c r="O175" s="153"/>
      <c r="P175" s="153"/>
    </row>
    <row r="176" spans="1:19" ht="15" hidden="1" customHeight="1" outlineLevel="1" x14ac:dyDescent="0.25">
      <c r="B176" s="145" t="s">
        <v>47</v>
      </c>
      <c r="C176" s="145" t="s">
        <v>48</v>
      </c>
      <c r="D176" s="145" t="s">
        <v>49</v>
      </c>
      <c r="E176" s="145" t="s">
        <v>35</v>
      </c>
      <c r="F176" s="174" t="s">
        <v>50</v>
      </c>
      <c r="G176" s="175"/>
      <c r="H176" s="175"/>
      <c r="I176" s="176"/>
      <c r="J176" s="145" t="s">
        <v>68</v>
      </c>
      <c r="K176" s="174" t="s">
        <v>69</v>
      </c>
      <c r="L176" s="175"/>
      <c r="M176" s="175"/>
      <c r="N176" s="176"/>
      <c r="O176" s="145" t="s">
        <v>96</v>
      </c>
      <c r="P176" s="145" t="s">
        <v>97</v>
      </c>
      <c r="Q176" s="145" t="s">
        <v>98</v>
      </c>
      <c r="R176" s="145" t="s">
        <v>99</v>
      </c>
    </row>
    <row r="177" spans="1:19" s="205" customFormat="1" ht="349.35" hidden="1" customHeight="1" outlineLevel="1" x14ac:dyDescent="0.25">
      <c r="A177" s="203"/>
      <c r="B177" s="204" t="s">
        <v>199</v>
      </c>
      <c r="C177" s="186" t="s">
        <v>117</v>
      </c>
      <c r="D177" s="186" t="s">
        <v>200</v>
      </c>
      <c r="E177" s="186" t="s">
        <v>201</v>
      </c>
      <c r="F177" s="186" t="s">
        <v>202</v>
      </c>
      <c r="G177" s="186" t="s">
        <v>125</v>
      </c>
      <c r="H177" s="186" t="s">
        <v>126</v>
      </c>
      <c r="I177" s="186" t="s">
        <v>127</v>
      </c>
      <c r="J177" s="91" t="s">
        <v>333</v>
      </c>
      <c r="K177" s="91" t="s">
        <v>334</v>
      </c>
      <c r="L177" s="91" t="s">
        <v>335</v>
      </c>
      <c r="M177" s="91" t="s">
        <v>336</v>
      </c>
      <c r="N177" s="91" t="s">
        <v>337</v>
      </c>
      <c r="O177" s="186" t="s">
        <v>203</v>
      </c>
      <c r="P177" s="186" t="s">
        <v>204</v>
      </c>
      <c r="Q177" s="186" t="s">
        <v>205</v>
      </c>
      <c r="R177" s="186" t="s">
        <v>206</v>
      </c>
    </row>
    <row r="178" spans="1:19" s="152" customFormat="1" ht="15" hidden="1" customHeight="1" outlineLevel="1" x14ac:dyDescent="0.25">
      <c r="A178" s="149"/>
      <c r="F178" s="153"/>
      <c r="G178" s="153"/>
      <c r="H178" s="153"/>
      <c r="K178" s="153"/>
      <c r="L178" s="153"/>
      <c r="M178" s="153"/>
      <c r="O178" s="153"/>
      <c r="P178" s="153"/>
    </row>
    <row r="179" spans="1:19" s="152" customFormat="1" ht="15" hidden="1" customHeight="1" outlineLevel="1" x14ac:dyDescent="0.25">
      <c r="A179" s="149"/>
      <c r="B179" s="154" t="s">
        <v>48</v>
      </c>
      <c r="C179" s="151" t="s">
        <v>207</v>
      </c>
      <c r="F179" s="153"/>
      <c r="G179" s="153"/>
      <c r="H179" s="153"/>
      <c r="K179" s="153"/>
      <c r="L179" s="153"/>
      <c r="M179" s="153"/>
      <c r="N179" s="206"/>
      <c r="O179" s="206"/>
      <c r="P179" s="206"/>
      <c r="Q179" s="206"/>
      <c r="R179" s="206"/>
      <c r="S179" s="206"/>
    </row>
    <row r="180" spans="1:19" s="152" customFormat="1" ht="15" hidden="1" customHeight="1" outlineLevel="1" x14ac:dyDescent="0.25">
      <c r="A180" s="149"/>
      <c r="B180" s="145" t="s">
        <v>49</v>
      </c>
      <c r="C180" t="s">
        <v>149</v>
      </c>
      <c r="F180" s="153"/>
      <c r="G180" s="153"/>
      <c r="H180" s="153"/>
      <c r="K180" s="153"/>
      <c r="L180" s="153"/>
      <c r="M180" s="153"/>
      <c r="N180" s="206"/>
      <c r="O180" s="206"/>
      <c r="P180" s="206"/>
      <c r="Q180" s="206"/>
      <c r="R180" s="206"/>
      <c r="S180" s="206"/>
    </row>
    <row r="181" spans="1:19" s="152" customFormat="1" ht="15" hidden="1" customHeight="1" outlineLevel="1" x14ac:dyDescent="0.25">
      <c r="A181" s="149"/>
      <c r="B181" s="145" t="s">
        <v>35</v>
      </c>
      <c r="C181" s="161" t="s">
        <v>208</v>
      </c>
      <c r="F181" s="153"/>
      <c r="G181" s="153"/>
      <c r="H181" s="153"/>
      <c r="K181" s="153"/>
      <c r="L181" s="153"/>
      <c r="M181" s="153"/>
      <c r="N181" s="206"/>
      <c r="O181" s="206"/>
      <c r="P181" s="206"/>
      <c r="Q181" s="206"/>
      <c r="R181" s="206"/>
      <c r="S181" s="206"/>
    </row>
    <row r="182" spans="1:19" s="152" customFormat="1" ht="15" hidden="1" customHeight="1" outlineLevel="1" x14ac:dyDescent="0.25">
      <c r="A182" s="149"/>
      <c r="B182" s="154" t="s">
        <v>50</v>
      </c>
      <c r="C182" s="235" t="s">
        <v>209</v>
      </c>
      <c r="F182" s="153"/>
      <c r="G182" s="153"/>
      <c r="H182" s="153"/>
      <c r="K182" s="153"/>
      <c r="L182" s="153"/>
      <c r="M182" s="153"/>
      <c r="N182" s="206"/>
      <c r="O182" s="206"/>
      <c r="P182" s="206"/>
      <c r="Q182" s="206"/>
      <c r="R182" s="206"/>
      <c r="S182" s="206"/>
    </row>
    <row r="183" spans="1:19" s="152" customFormat="1" ht="15" hidden="1" customHeight="1" outlineLevel="1" x14ac:dyDescent="0.25">
      <c r="A183" s="149"/>
      <c r="B183" s="154" t="s">
        <v>68</v>
      </c>
      <c r="C183" s="235" t="s">
        <v>525</v>
      </c>
      <c r="F183" s="153"/>
      <c r="G183" s="153"/>
      <c r="H183" s="153"/>
      <c r="K183" s="153"/>
      <c r="L183" s="153"/>
      <c r="M183" s="153"/>
      <c r="N183" s="206"/>
      <c r="O183" s="206"/>
      <c r="P183" s="206"/>
      <c r="Q183" s="206"/>
      <c r="R183" s="206"/>
      <c r="S183" s="206"/>
    </row>
    <row r="184" spans="1:19" s="152" customFormat="1" ht="15" hidden="1" customHeight="1" outlineLevel="1" x14ac:dyDescent="0.25">
      <c r="A184" s="149"/>
      <c r="B184" s="154" t="s">
        <v>69</v>
      </c>
      <c r="C184" s="235" t="s">
        <v>526</v>
      </c>
      <c r="F184" s="153"/>
      <c r="G184" s="153"/>
      <c r="H184" s="153"/>
      <c r="K184" s="153"/>
      <c r="L184" s="153"/>
      <c r="M184" s="153"/>
      <c r="N184" s="206"/>
      <c r="O184" s="206"/>
      <c r="P184" s="206"/>
      <c r="Q184" s="206"/>
      <c r="R184" s="206"/>
      <c r="S184" s="206"/>
    </row>
    <row r="185" spans="1:19" s="152" customFormat="1" ht="15" hidden="1" customHeight="1" outlineLevel="1" x14ac:dyDescent="0.25">
      <c r="A185" s="149"/>
      <c r="B185" s="154" t="s">
        <v>96</v>
      </c>
      <c r="C185" s="161" t="s">
        <v>210</v>
      </c>
      <c r="F185" s="153"/>
      <c r="G185" s="153"/>
      <c r="H185" s="153"/>
      <c r="K185" s="153"/>
      <c r="L185" s="153"/>
      <c r="M185" s="153"/>
      <c r="N185" s="206"/>
      <c r="O185" s="206"/>
      <c r="P185" s="206"/>
      <c r="Q185" s="206"/>
      <c r="R185" s="206"/>
      <c r="S185" s="206"/>
    </row>
    <row r="186" spans="1:19" s="152" customFormat="1" ht="15" hidden="1" customHeight="1" outlineLevel="1" x14ac:dyDescent="0.25">
      <c r="A186" s="149"/>
      <c r="B186" s="154" t="s">
        <v>97</v>
      </c>
      <c r="C186" s="161" t="s">
        <v>211</v>
      </c>
      <c r="F186" s="153"/>
      <c r="G186" s="153"/>
      <c r="H186" s="153"/>
      <c r="K186" s="153"/>
      <c r="L186" s="153"/>
      <c r="M186" s="153"/>
      <c r="N186" s="206"/>
      <c r="O186" s="206"/>
      <c r="P186" s="206"/>
      <c r="Q186" s="206"/>
      <c r="R186" s="206"/>
      <c r="S186" s="206"/>
    </row>
    <row r="187" spans="1:19" s="152" customFormat="1" ht="15" hidden="1" customHeight="1" outlineLevel="1" x14ac:dyDescent="0.25">
      <c r="A187" s="149"/>
      <c r="B187" s="154" t="s">
        <v>98</v>
      </c>
      <c r="C187" s="151" t="s">
        <v>212</v>
      </c>
      <c r="F187" s="153"/>
      <c r="G187" s="153"/>
      <c r="H187" s="153"/>
      <c r="K187" s="153"/>
      <c r="L187" s="153"/>
      <c r="M187" s="153"/>
      <c r="N187" s="206"/>
      <c r="O187" s="206"/>
      <c r="P187" s="206"/>
      <c r="Q187" s="206"/>
      <c r="R187" s="206"/>
      <c r="S187" s="206"/>
    </row>
    <row r="188" spans="1:19" s="152" customFormat="1" ht="15" hidden="1" customHeight="1" outlineLevel="1" x14ac:dyDescent="0.25">
      <c r="A188" s="149"/>
      <c r="B188" s="154" t="s">
        <v>99</v>
      </c>
      <c r="C188" s="151" t="s">
        <v>213</v>
      </c>
      <c r="F188" s="153"/>
      <c r="G188" s="153"/>
      <c r="H188" s="153"/>
      <c r="K188" s="153"/>
      <c r="L188" s="153"/>
      <c r="M188" s="153"/>
      <c r="N188" s="206"/>
      <c r="O188" s="206"/>
      <c r="P188" s="206"/>
      <c r="Q188" s="206"/>
      <c r="R188" s="206"/>
      <c r="S188" s="206"/>
    </row>
    <row r="189" spans="1:19" ht="13.35" hidden="1" customHeight="1" outlineLevel="1" x14ac:dyDescent="0.25">
      <c r="D189" s="30"/>
      <c r="K189" s="153"/>
      <c r="L189" s="153"/>
      <c r="M189" s="153"/>
      <c r="N189" s="206"/>
      <c r="O189" s="206"/>
      <c r="P189" s="206"/>
      <c r="Q189" s="206"/>
      <c r="R189" s="206"/>
      <c r="S189" s="206"/>
    </row>
    <row r="190" spans="1:19" s="193" customFormat="1" ht="20.100000000000001" customHeight="1" collapsed="1" x14ac:dyDescent="0.25">
      <c r="A190" s="189">
        <v>8</v>
      </c>
      <c r="B190" s="201" t="s">
        <v>32</v>
      </c>
      <c r="C190" s="201"/>
      <c r="D190" s="201"/>
      <c r="E190" s="201"/>
      <c r="F190" s="201"/>
      <c r="G190" s="201"/>
      <c r="H190" s="201"/>
      <c r="I190" s="201"/>
      <c r="J190" s="201"/>
      <c r="K190" s="201"/>
      <c r="L190" s="201"/>
      <c r="M190" s="201"/>
      <c r="N190" s="201"/>
      <c r="O190" s="201"/>
      <c r="P190" s="201"/>
      <c r="Q190" s="201"/>
      <c r="R190" s="201"/>
      <c r="S190" s="201"/>
    </row>
    <row r="191" spans="1:19" s="152" customFormat="1" ht="15" hidden="1" customHeight="1" outlineLevel="1" x14ac:dyDescent="0.25">
      <c r="A191" s="153"/>
      <c r="B191" s="153"/>
      <c r="C191" s="153"/>
      <c r="D191" s="153"/>
      <c r="E191" s="153"/>
      <c r="F191" s="153"/>
      <c r="G191" s="153"/>
      <c r="H191" s="153"/>
      <c r="K191" s="153"/>
      <c r="L191" s="153"/>
      <c r="M191" s="153"/>
      <c r="O191" s="153"/>
      <c r="P191" s="153"/>
      <c r="Q191" s="153"/>
    </row>
    <row r="192" spans="1:19" ht="15" hidden="1" customHeight="1" outlineLevel="1" x14ac:dyDescent="0.25">
      <c r="B192" s="145" t="s">
        <v>47</v>
      </c>
      <c r="C192" s="145" t="s">
        <v>48</v>
      </c>
      <c r="D192" s="145" t="s">
        <v>49</v>
      </c>
      <c r="E192" s="145" t="s">
        <v>35</v>
      </c>
      <c r="F192" s="174" t="s">
        <v>50</v>
      </c>
      <c r="G192" s="175"/>
      <c r="H192" s="175"/>
      <c r="I192" s="176"/>
      <c r="K192" s="30"/>
      <c r="L192" s="30"/>
      <c r="M192" s="30"/>
      <c r="O192" s="30"/>
      <c r="P192" s="30"/>
      <c r="Q192" s="30"/>
    </row>
    <row r="193" spans="1:19" s="196" customFormat="1" ht="198.75" hidden="1" customHeight="1" outlineLevel="1" x14ac:dyDescent="0.25">
      <c r="A193" s="149"/>
      <c r="B193" s="200" t="s">
        <v>214</v>
      </c>
      <c r="C193" s="186" t="s">
        <v>215</v>
      </c>
      <c r="D193" s="186" t="s">
        <v>216</v>
      </c>
      <c r="E193" s="186" t="s">
        <v>124</v>
      </c>
      <c r="F193" s="186" t="s">
        <v>128</v>
      </c>
      <c r="G193" s="186" t="s">
        <v>129</v>
      </c>
      <c r="H193" s="186" t="s">
        <v>130</v>
      </c>
      <c r="I193" s="186" t="s">
        <v>131</v>
      </c>
    </row>
    <row r="194" spans="1:19" s="152" customFormat="1" ht="15" hidden="1" customHeight="1" outlineLevel="1" x14ac:dyDescent="0.25">
      <c r="A194" s="149"/>
      <c r="B194" s="154" t="s">
        <v>48</v>
      </c>
      <c r="C194" s="161" t="s">
        <v>217</v>
      </c>
      <c r="F194" s="153"/>
      <c r="G194" s="153"/>
      <c r="H194" s="153"/>
      <c r="K194" s="153"/>
      <c r="L194" s="153"/>
      <c r="M194" s="153"/>
      <c r="O194" s="153"/>
      <c r="P194" s="153"/>
      <c r="Q194" s="153"/>
    </row>
    <row r="195" spans="1:19" ht="13.35" hidden="1" customHeight="1" outlineLevel="1" x14ac:dyDescent="0.25">
      <c r="B195" s="145" t="s">
        <v>49</v>
      </c>
      <c r="C195" t="s">
        <v>149</v>
      </c>
      <c r="D195" s="30"/>
      <c r="K195" s="153"/>
      <c r="L195" s="153"/>
      <c r="M195" s="153"/>
      <c r="N195" s="206"/>
      <c r="O195" s="206"/>
      <c r="P195" s="206"/>
      <c r="Q195" s="206"/>
      <c r="R195" s="206"/>
      <c r="S195" s="206"/>
    </row>
    <row r="196" spans="1:19" ht="13.35" hidden="1" customHeight="1" outlineLevel="1" x14ac:dyDescent="0.25">
      <c r="B196" s="145" t="s">
        <v>35</v>
      </c>
      <c r="C196" s="161" t="s">
        <v>218</v>
      </c>
      <c r="D196" s="30"/>
      <c r="K196" s="153"/>
      <c r="L196" s="153"/>
      <c r="M196" s="153"/>
      <c r="N196" s="206"/>
      <c r="O196" s="206"/>
      <c r="P196" s="206"/>
      <c r="Q196" s="206"/>
      <c r="R196" s="206"/>
      <c r="S196" s="206"/>
    </row>
    <row r="197" spans="1:19" ht="13.35" hidden="1" customHeight="1" outlineLevel="1" x14ac:dyDescent="0.25">
      <c r="B197" s="154" t="s">
        <v>50</v>
      </c>
      <c r="C197" s="31" t="s">
        <v>219</v>
      </c>
      <c r="D197" s="30"/>
      <c r="K197" s="153"/>
      <c r="L197" s="153"/>
      <c r="M197" s="153"/>
      <c r="N197" s="206"/>
      <c r="O197" s="206"/>
      <c r="P197" s="206"/>
      <c r="Q197" s="206"/>
      <c r="R197" s="206"/>
      <c r="S197" s="206"/>
    </row>
    <row r="198" spans="1:19" ht="13.35" customHeight="1" collapsed="1" x14ac:dyDescent="0.25">
      <c r="D198" s="30"/>
      <c r="K198" s="153"/>
      <c r="L198" s="153"/>
      <c r="M198" s="153"/>
      <c r="N198" s="206"/>
      <c r="O198" s="206"/>
      <c r="P198" s="206"/>
      <c r="Q198" s="206"/>
      <c r="R198" s="206"/>
      <c r="S198" s="206"/>
    </row>
    <row r="199" spans="1:19" ht="13.35" customHeight="1" x14ac:dyDescent="0.25">
      <c r="D199" s="30"/>
      <c r="K199" s="153"/>
      <c r="L199" s="153"/>
      <c r="M199" s="153"/>
      <c r="N199" s="206"/>
      <c r="O199" s="206"/>
      <c r="P199" s="206"/>
      <c r="Q199" s="206"/>
      <c r="R199" s="206"/>
      <c r="S199" s="206"/>
    </row>
    <row r="200" spans="1:19" x14ac:dyDescent="0.25">
      <c r="K200" s="153"/>
      <c r="L200" s="153"/>
      <c r="M200" s="153"/>
      <c r="N200" s="206"/>
      <c r="O200" s="206"/>
      <c r="P200" s="206"/>
      <c r="Q200" s="206"/>
      <c r="R200" s="206"/>
      <c r="S200" s="206"/>
    </row>
    <row r="201" spans="1:19" x14ac:dyDescent="0.25">
      <c r="K201" s="153"/>
      <c r="L201" s="153"/>
      <c r="M201" s="153"/>
    </row>
  </sheetData>
  <pageMargins left="0.70866141732283472" right="0.70866141732283472" top="0.78740157480314965" bottom="0.78740157480314965" header="0.31496062992125984" footer="0.31496062992125984"/>
  <pageSetup paperSize="9" orientation="landscape" r:id="rId1"/>
  <headerFooter>
    <oddHeader>&amp;CIFMA Schweiz</oddHeader>
    <oddFooter>&amp;L&amp;"Aptos Narrow,Standard"Data_Template_Flächenmanagement&amp;ROkt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activeCell="D15" sqref="D15"/>
      <selection pane="bottomLeft" activeCell="D15" sqref="D15"/>
    </sheetView>
  </sheetViews>
  <sheetFormatPr baseColWidth="10" defaultColWidth="9.140625" defaultRowHeight="15" x14ac:dyDescent="0.25"/>
  <cols>
    <col min="1" max="1" width="61.5703125" style="212" bestFit="1" customWidth="1"/>
    <col min="2" max="2" width="83.7109375" style="281" customWidth="1"/>
    <col min="3" max="3" width="25.7109375" style="212" customWidth="1"/>
    <col min="4" max="4" width="116.42578125" style="212" bestFit="1" customWidth="1"/>
    <col min="5" max="16384" width="9.140625" style="212"/>
  </cols>
  <sheetData>
    <row r="1" spans="1:4" ht="15.75" customHeight="1" x14ac:dyDescent="0.25">
      <c r="A1" s="33" t="s">
        <v>220</v>
      </c>
      <c r="B1" s="276"/>
      <c r="C1" s="36"/>
      <c r="D1" s="36"/>
    </row>
    <row r="2" spans="1:4" x14ac:dyDescent="0.25">
      <c r="A2" s="277" t="s">
        <v>221</v>
      </c>
      <c r="B2" s="277" t="s">
        <v>222</v>
      </c>
      <c r="C2" s="278" t="s">
        <v>223</v>
      </c>
      <c r="D2" s="278" t="s">
        <v>224</v>
      </c>
    </row>
    <row r="3" spans="1:4" x14ac:dyDescent="0.25">
      <c r="A3" s="284" t="s">
        <v>225</v>
      </c>
      <c r="B3" s="285"/>
      <c r="C3" s="285"/>
      <c r="D3" s="285"/>
    </row>
    <row r="4" spans="1:4" ht="39" customHeight="1" x14ac:dyDescent="0.25">
      <c r="A4" s="279" t="s">
        <v>226</v>
      </c>
      <c r="B4" s="283" t="s">
        <v>625</v>
      </c>
      <c r="C4" s="279" t="s">
        <v>227</v>
      </c>
      <c r="D4" s="36" t="s">
        <v>228</v>
      </c>
    </row>
    <row r="5" spans="1:4" x14ac:dyDescent="0.25">
      <c r="A5" s="279" t="s">
        <v>229</v>
      </c>
      <c r="B5" s="283"/>
      <c r="C5" s="279" t="s">
        <v>230</v>
      </c>
      <c r="D5" s="36" t="s">
        <v>231</v>
      </c>
    </row>
    <row r="6" spans="1:4" x14ac:dyDescent="0.25">
      <c r="A6" s="279" t="s">
        <v>232</v>
      </c>
      <c r="B6" s="276" t="s">
        <v>992</v>
      </c>
      <c r="C6" s="279" t="s">
        <v>233</v>
      </c>
      <c r="D6" s="36" t="s">
        <v>234</v>
      </c>
    </row>
    <row r="7" spans="1:4" x14ac:dyDescent="0.25">
      <c r="A7" s="279" t="s">
        <v>235</v>
      </c>
      <c r="B7" s="276" t="s">
        <v>993</v>
      </c>
      <c r="C7" s="279" t="s">
        <v>236</v>
      </c>
      <c r="D7" s="36" t="s">
        <v>237</v>
      </c>
    </row>
    <row r="8" spans="1:4" x14ac:dyDescent="0.25">
      <c r="A8" s="279" t="s">
        <v>238</v>
      </c>
      <c r="B8" s="276" t="s">
        <v>994</v>
      </c>
      <c r="C8" s="279" t="s">
        <v>236</v>
      </c>
      <c r="D8" s="36" t="s">
        <v>239</v>
      </c>
    </row>
    <row r="9" spans="1:4" x14ac:dyDescent="0.25">
      <c r="A9" s="279" t="s">
        <v>240</v>
      </c>
      <c r="B9" s="276" t="s">
        <v>995</v>
      </c>
      <c r="C9" s="279" t="s">
        <v>240</v>
      </c>
      <c r="D9" s="36" t="s">
        <v>239</v>
      </c>
    </row>
    <row r="10" spans="1:4" ht="38.25" x14ac:dyDescent="0.25">
      <c r="A10" s="279" t="s">
        <v>128</v>
      </c>
      <c r="B10" s="283" t="s">
        <v>989</v>
      </c>
      <c r="C10" s="242" t="s">
        <v>541</v>
      </c>
      <c r="D10" s="280" t="s">
        <v>544</v>
      </c>
    </row>
    <row r="11" spans="1:4" ht="38.25" x14ac:dyDescent="0.25">
      <c r="A11" s="279" t="s">
        <v>129</v>
      </c>
      <c r="B11" s="283" t="s">
        <v>988</v>
      </c>
      <c r="C11" s="242" t="s">
        <v>236</v>
      </c>
      <c r="D11" s="280" t="s">
        <v>542</v>
      </c>
    </row>
    <row r="12" spans="1:4" ht="38.25" x14ac:dyDescent="0.25">
      <c r="A12" s="279" t="s">
        <v>130</v>
      </c>
      <c r="B12" s="283" t="s">
        <v>991</v>
      </c>
      <c r="C12" s="242" t="s">
        <v>236</v>
      </c>
      <c r="D12" s="280" t="s">
        <v>543</v>
      </c>
    </row>
    <row r="13" spans="1:4" ht="38.25" x14ac:dyDescent="0.25">
      <c r="A13" s="279" t="s">
        <v>131</v>
      </c>
      <c r="B13" s="283" t="s">
        <v>990</v>
      </c>
      <c r="C13" s="242" t="s">
        <v>236</v>
      </c>
      <c r="D13" s="242" t="s">
        <v>545</v>
      </c>
    </row>
    <row r="14" spans="1:4" x14ac:dyDescent="0.25">
      <c r="A14" s="279" t="s">
        <v>241</v>
      </c>
      <c r="B14" s="283"/>
      <c r="C14" s="279" t="s">
        <v>233</v>
      </c>
      <c r="D14" s="36" t="s">
        <v>242</v>
      </c>
    </row>
    <row r="15" spans="1:4" x14ac:dyDescent="0.25">
      <c r="A15" s="279" t="s">
        <v>243</v>
      </c>
      <c r="B15" s="283"/>
      <c r="C15" s="279" t="s">
        <v>230</v>
      </c>
      <c r="D15" s="36" t="s">
        <v>244</v>
      </c>
    </row>
    <row r="16" spans="1:4" x14ac:dyDescent="0.25">
      <c r="B16" s="283"/>
      <c r="C16" s="279" t="s">
        <v>245</v>
      </c>
      <c r="D16" s="36" t="s">
        <v>246</v>
      </c>
    </row>
    <row r="17" spans="1:4" x14ac:dyDescent="0.25">
      <c r="A17" s="286" t="s">
        <v>247</v>
      </c>
      <c r="B17" s="285"/>
      <c r="C17" s="285"/>
      <c r="D17" s="285"/>
    </row>
    <row r="18" spans="1:4" x14ac:dyDescent="0.25">
      <c r="A18" s="279" t="s">
        <v>248</v>
      </c>
      <c r="B18" s="276" t="s">
        <v>249</v>
      </c>
      <c r="C18" s="279" t="s">
        <v>233</v>
      </c>
      <c r="D18" s="36" t="s">
        <v>250</v>
      </c>
    </row>
    <row r="19" spans="1:4" x14ac:dyDescent="0.25">
      <c r="C19" s="36"/>
      <c r="D19" s="36"/>
    </row>
    <row r="20" spans="1:4" x14ac:dyDescent="0.25">
      <c r="A20" s="32" t="s">
        <v>251</v>
      </c>
      <c r="B20" s="282"/>
      <c r="C20" s="34"/>
      <c r="D20" s="35"/>
    </row>
    <row r="21" spans="1:4" x14ac:dyDescent="0.25">
      <c r="A21" s="36" t="s">
        <v>252</v>
      </c>
      <c r="B21" s="276" t="s">
        <v>253</v>
      </c>
      <c r="C21" s="36"/>
      <c r="D21" s="36"/>
    </row>
    <row r="22" spans="1:4" x14ac:dyDescent="0.25">
      <c r="A22" s="36" t="s">
        <v>254</v>
      </c>
      <c r="B22" s="276" t="s">
        <v>255</v>
      </c>
      <c r="C22" s="36"/>
      <c r="D22" s="36"/>
    </row>
    <row r="24" spans="1:4" x14ac:dyDescent="0.25">
      <c r="A24" s="284" t="s">
        <v>527</v>
      </c>
      <c r="B24" s="287"/>
      <c r="C24" s="287"/>
      <c r="D24" s="287"/>
    </row>
    <row r="25" spans="1:4" x14ac:dyDescent="0.25">
      <c r="A25" s="279" t="s">
        <v>528</v>
      </c>
      <c r="B25" s="276"/>
      <c r="C25" s="242" t="s">
        <v>236</v>
      </c>
      <c r="D25" s="242" t="s">
        <v>529</v>
      </c>
    </row>
    <row r="26" spans="1:4" x14ac:dyDescent="0.25">
      <c r="A26" s="279" t="s">
        <v>530</v>
      </c>
      <c r="B26" s="276"/>
      <c r="C26" s="242" t="s">
        <v>236</v>
      </c>
      <c r="D26" s="242" t="s">
        <v>531</v>
      </c>
    </row>
    <row r="28" spans="1:4" x14ac:dyDescent="0.25">
      <c r="A28" s="284" t="s">
        <v>532</v>
      </c>
      <c r="B28" s="287"/>
      <c r="C28" s="287"/>
      <c r="D28" s="287"/>
    </row>
    <row r="29" spans="1:4" x14ac:dyDescent="0.25">
      <c r="A29" s="279" t="s">
        <v>533</v>
      </c>
      <c r="B29" s="276"/>
      <c r="C29" s="242" t="s">
        <v>236</v>
      </c>
      <c r="D29" s="242" t="s">
        <v>534</v>
      </c>
    </row>
    <row r="30" spans="1:4" x14ac:dyDescent="0.25">
      <c r="A30" s="279" t="s">
        <v>535</v>
      </c>
      <c r="B30" s="276"/>
      <c r="C30" s="242" t="s">
        <v>236</v>
      </c>
      <c r="D30" s="242" t="s">
        <v>536</v>
      </c>
    </row>
    <row r="31" spans="1:4" x14ac:dyDescent="0.25">
      <c r="A31" s="279" t="s">
        <v>537</v>
      </c>
      <c r="B31" s="276"/>
      <c r="C31" s="242" t="s">
        <v>236</v>
      </c>
      <c r="D31" s="242" t="s">
        <v>538</v>
      </c>
    </row>
    <row r="32" spans="1:4" x14ac:dyDescent="0.25">
      <c r="A32" s="279" t="s">
        <v>539</v>
      </c>
      <c r="B32" s="276"/>
      <c r="C32" s="242" t="s">
        <v>236</v>
      </c>
      <c r="D32" s="242" t="s">
        <v>540</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00000000-0002-0000-0200-000000000000}">
      <formula1>LifecycleStatus</formula1>
    </dataValidation>
  </dataValidations>
  <pageMargins left="0.70866141732283472" right="0.70866141732283472" top="0.78740157480314965" bottom="0.78740157480314965" header="0.31496062992125984" footer="0.31496062992125984"/>
  <pageSetup paperSize="9" scale="45" orientation="landscape" r:id="rId1"/>
  <headerFooter>
    <oddHeader>&amp;CIFMA Schweiz</oddHeader>
    <oddFooter>&amp;L&amp;"Aptos Narrow,Standard"Data_Template_Flächenmanagement&amp;ROkt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F17"/>
  <sheetViews>
    <sheetView showGridLines="0" tabSelected="1" topLeftCell="L1" zoomScale="85" zoomScaleNormal="85" workbookViewId="0">
      <pane ySplit="6" topLeftCell="A7" activePane="bottomLeft" state="frozen"/>
      <selection activeCell="D15" sqref="D15"/>
      <selection pane="bottomLeft" activeCell="AN10" sqref="AN10"/>
    </sheetView>
  </sheetViews>
  <sheetFormatPr baseColWidth="10" defaultColWidth="11.7109375" defaultRowHeight="15" outlineLevelRow="1" outlineLevelCol="1" x14ac:dyDescent="0.25"/>
  <cols>
    <col min="1" max="1" width="4.7109375" style="127" customWidth="1"/>
    <col min="2" max="2" width="25.7109375" style="89" customWidth="1" outlineLevel="1"/>
    <col min="3" max="3" width="4.7109375" style="127" customWidth="1"/>
    <col min="4" max="6" width="25.7109375" style="89" customWidth="1" outlineLevel="1"/>
    <col min="7" max="7" width="4.7109375" style="127" customWidth="1"/>
    <col min="8" max="8" width="25.7109375" style="89" hidden="1" customWidth="1" outlineLevel="1"/>
    <col min="9" max="10" width="25.7109375" style="89" customWidth="1" outlineLevel="1"/>
    <col min="11" max="11" width="25.7109375" customWidth="1" outlineLevel="1"/>
    <col min="12" max="12" width="25.7109375" style="89" customWidth="1" outlineLevel="1"/>
    <col min="13" max="13" width="6.7109375" hidden="1" customWidth="1" outlineLevel="1"/>
    <col min="14" max="14" width="6.7109375" style="89" hidden="1" customWidth="1" outlineLevel="1"/>
    <col min="15" max="15" width="25.7109375" style="127" customWidth="1" outlineLevel="1"/>
    <col min="16" max="16" width="25.7109375" style="128" customWidth="1" outlineLevel="1"/>
    <col min="17" max="18" width="6.7109375" style="128" hidden="1" customWidth="1" outlineLevel="1"/>
    <col min="19" max="19" width="25.7109375" customWidth="1" outlineLevel="1"/>
    <col min="20" max="20" width="25.7109375" style="128" customWidth="1" outlineLevel="1"/>
    <col min="21" max="21" width="6.7109375" style="127" hidden="1" customWidth="1" outlineLevel="1"/>
    <col min="22" max="22" width="6.7109375" style="89" hidden="1" customWidth="1" outlineLevel="1"/>
    <col min="23" max="23" width="4.7109375" style="89" customWidth="1"/>
    <col min="24" max="24" width="25.7109375" style="89" customWidth="1" outlineLevel="1"/>
    <col min="25" max="25" width="25.7109375" style="127" customWidth="1" outlineLevel="1"/>
    <col min="26" max="28" width="25.7109375" style="89" customWidth="1" outlineLevel="1"/>
    <col min="29" max="29" width="4.7109375" style="89" customWidth="1"/>
    <col min="30" max="32" width="25.7109375" style="89" customWidth="1" outlineLevel="1"/>
    <col min="33" max="33" width="4.7109375" style="89" customWidth="1"/>
    <col min="34" max="34" width="25.7109375" style="89" customWidth="1" outlineLevel="1"/>
    <col min="35" max="35" width="27.140625" style="89" customWidth="1" outlineLevel="1"/>
    <col min="36" max="36" width="4.7109375" style="89" customWidth="1" outlineLevel="1"/>
    <col min="37" max="37" width="11.7109375" style="89" customWidth="1" outlineLevel="1"/>
    <col min="38" max="57" width="4.7109375" style="89" customWidth="1" outlineLevel="1"/>
    <col min="58" max="58" width="4.7109375" style="89" customWidth="1"/>
    <col min="59" max="16384" width="11.7109375" style="89"/>
  </cols>
  <sheetData>
    <row r="1" spans="1:58" s="122" customFormat="1" ht="200.1" customHeight="1" x14ac:dyDescent="0.25">
      <c r="A1" s="56" t="s">
        <v>256</v>
      </c>
      <c r="B1" s="57" t="s">
        <v>33</v>
      </c>
      <c r="C1" s="117" t="s">
        <v>112</v>
      </c>
      <c r="D1" s="57" t="s">
        <v>113</v>
      </c>
      <c r="E1" s="57" t="s">
        <v>114</v>
      </c>
      <c r="F1" s="57" t="s">
        <v>115</v>
      </c>
      <c r="G1" s="118" t="s">
        <v>116</v>
      </c>
      <c r="H1" s="57" t="s">
        <v>117</v>
      </c>
      <c r="I1" s="57" t="s">
        <v>118</v>
      </c>
      <c r="J1" s="57" t="s">
        <v>119</v>
      </c>
      <c r="K1" s="57" t="s">
        <v>120</v>
      </c>
      <c r="L1" s="57" t="s">
        <v>121</v>
      </c>
      <c r="M1" s="57" t="s">
        <v>122</v>
      </c>
      <c r="N1" s="57" t="s">
        <v>123</v>
      </c>
      <c r="O1" s="57" t="s">
        <v>124</v>
      </c>
      <c r="P1" s="57" t="s">
        <v>125</v>
      </c>
      <c r="Q1" s="57" t="s">
        <v>126</v>
      </c>
      <c r="R1" s="57" t="s">
        <v>127</v>
      </c>
      <c r="S1" s="57" t="s">
        <v>128</v>
      </c>
      <c r="T1" s="57" t="s">
        <v>129</v>
      </c>
      <c r="U1" s="57" t="s">
        <v>130</v>
      </c>
      <c r="V1" s="57" t="s">
        <v>131</v>
      </c>
      <c r="W1" s="119" t="s">
        <v>132</v>
      </c>
      <c r="X1" s="57" t="s">
        <v>133</v>
      </c>
      <c r="Y1" s="57" t="s">
        <v>134</v>
      </c>
      <c r="Z1" s="57" t="s">
        <v>135</v>
      </c>
      <c r="AA1" s="57" t="s">
        <v>136</v>
      </c>
      <c r="AB1" s="57" t="s">
        <v>137</v>
      </c>
      <c r="AC1" s="120" t="s">
        <v>25</v>
      </c>
      <c r="AD1" s="57" t="s">
        <v>1</v>
      </c>
      <c r="AE1" s="57" t="s">
        <v>138</v>
      </c>
      <c r="AF1" s="57" t="s">
        <v>139</v>
      </c>
      <c r="AG1" s="241" t="s">
        <v>140</v>
      </c>
      <c r="AH1" s="57" t="s">
        <v>141</v>
      </c>
      <c r="AI1" s="57" t="s">
        <v>257</v>
      </c>
      <c r="AK1" s="56" t="s">
        <v>258</v>
      </c>
      <c r="AL1" s="57"/>
      <c r="AM1" s="57"/>
      <c r="AN1" s="57"/>
      <c r="AO1" s="57"/>
      <c r="AP1" s="57"/>
      <c r="AQ1" s="57"/>
      <c r="AR1" s="57"/>
      <c r="AS1" s="57"/>
      <c r="AT1" s="57"/>
      <c r="AU1" s="57"/>
      <c r="AV1" s="57"/>
      <c r="AW1" s="57"/>
      <c r="AX1" s="57"/>
      <c r="AY1" s="57"/>
      <c r="AZ1" s="57"/>
      <c r="BA1" s="57"/>
      <c r="BB1" s="57"/>
      <c r="BC1" s="57"/>
      <c r="BD1" s="57"/>
      <c r="BE1" s="57"/>
      <c r="BF1" s="57"/>
    </row>
    <row r="2" spans="1:58" s="66" customFormat="1" ht="12.75" customHeight="1" outlineLevel="1" x14ac:dyDescent="0.25">
      <c r="A2" s="63"/>
      <c r="B2" s="62" t="s">
        <v>51</v>
      </c>
      <c r="C2" s="63"/>
      <c r="D2" s="73" t="s">
        <v>259</v>
      </c>
      <c r="E2" s="73" t="s">
        <v>259</v>
      </c>
      <c r="F2" s="73" t="s">
        <v>259</v>
      </c>
      <c r="G2" s="63"/>
      <c r="H2" s="64" t="s">
        <v>260</v>
      </c>
      <c r="I2" s="64" t="s">
        <v>260</v>
      </c>
      <c r="J2" s="64" t="s">
        <v>261</v>
      </c>
      <c r="K2" s="64" t="s">
        <v>261</v>
      </c>
      <c r="L2" s="64"/>
      <c r="M2" s="64"/>
      <c r="N2" s="64"/>
      <c r="O2" s="64" t="s">
        <v>261</v>
      </c>
      <c r="P2" s="64" t="s">
        <v>261</v>
      </c>
      <c r="Q2" s="64" t="s">
        <v>259</v>
      </c>
      <c r="R2" s="64" t="s">
        <v>259</v>
      </c>
      <c r="S2" s="64" t="s">
        <v>262</v>
      </c>
      <c r="T2" s="64" t="s">
        <v>262</v>
      </c>
      <c r="U2" s="64" t="s">
        <v>259</v>
      </c>
      <c r="V2" s="64" t="s">
        <v>259</v>
      </c>
      <c r="W2" s="63"/>
      <c r="X2" s="64" t="s">
        <v>261</v>
      </c>
      <c r="Y2" s="64" t="s">
        <v>261</v>
      </c>
      <c r="Z2" s="64" t="s">
        <v>261</v>
      </c>
      <c r="AA2" s="64" t="s">
        <v>261</v>
      </c>
      <c r="AB2" s="64" t="s">
        <v>261</v>
      </c>
      <c r="AC2" s="63"/>
      <c r="AD2" s="64" t="s">
        <v>261</v>
      </c>
      <c r="AE2" s="64" t="s">
        <v>261</v>
      </c>
      <c r="AF2" s="64" t="s">
        <v>261</v>
      </c>
      <c r="AG2" s="63"/>
      <c r="AH2" s="64" t="s">
        <v>259</v>
      </c>
      <c r="AI2" s="64" t="s">
        <v>259</v>
      </c>
    </row>
    <row r="3" spans="1:58" s="68" customFormat="1" ht="14.1" customHeight="1" outlineLevel="1" x14ac:dyDescent="0.25">
      <c r="A3" s="63"/>
      <c r="B3" s="62" t="s">
        <v>52</v>
      </c>
      <c r="C3" s="63"/>
      <c r="D3" s="73" t="s">
        <v>263</v>
      </c>
      <c r="E3" s="64" t="s">
        <v>263</v>
      </c>
      <c r="F3" s="64" t="s">
        <v>263</v>
      </c>
      <c r="G3" s="63"/>
      <c r="H3" s="64" t="s">
        <v>264</v>
      </c>
      <c r="I3" s="64" t="s">
        <v>264</v>
      </c>
      <c r="J3" s="64" t="s">
        <v>264</v>
      </c>
      <c r="K3" s="64" t="s">
        <v>263</v>
      </c>
      <c r="L3" s="64" t="s">
        <v>265</v>
      </c>
      <c r="M3" s="64" t="s">
        <v>266</v>
      </c>
      <c r="N3" s="64" t="s">
        <v>267</v>
      </c>
      <c r="O3" s="64" t="s">
        <v>268</v>
      </c>
      <c r="P3" s="64" t="s">
        <v>265</v>
      </c>
      <c r="Q3" s="64" t="s">
        <v>266</v>
      </c>
      <c r="R3" s="64" t="s">
        <v>267</v>
      </c>
      <c r="S3" s="64" t="s">
        <v>268</v>
      </c>
      <c r="T3" s="64" t="s">
        <v>265</v>
      </c>
      <c r="U3" s="64" t="s">
        <v>266</v>
      </c>
      <c r="V3" s="64" t="s">
        <v>267</v>
      </c>
      <c r="W3" s="63"/>
      <c r="X3" s="64" t="s">
        <v>263</v>
      </c>
      <c r="Y3" s="64" t="s">
        <v>263</v>
      </c>
      <c r="Z3" s="64" t="s">
        <v>263</v>
      </c>
      <c r="AA3" s="64" t="s">
        <v>263</v>
      </c>
      <c r="AB3" s="64" t="s">
        <v>263</v>
      </c>
      <c r="AC3" s="63"/>
      <c r="AD3" s="64" t="s">
        <v>268</v>
      </c>
      <c r="AE3" s="64" t="s">
        <v>264</v>
      </c>
      <c r="AF3" s="64" t="s">
        <v>268</v>
      </c>
      <c r="AG3" s="63"/>
      <c r="AH3" s="64" t="s">
        <v>268</v>
      </c>
      <c r="AI3" s="64" t="s">
        <v>263</v>
      </c>
    </row>
    <row r="4" spans="1:58" s="68" customFormat="1" ht="14.1" customHeight="1" outlineLevel="1" x14ac:dyDescent="0.25">
      <c r="A4" s="63"/>
      <c r="B4" s="62" t="s">
        <v>53</v>
      </c>
      <c r="C4" s="63"/>
      <c r="D4" s="73"/>
      <c r="E4" s="64"/>
      <c r="F4" s="64"/>
      <c r="G4" s="63"/>
      <c r="H4" s="64" t="s">
        <v>269</v>
      </c>
      <c r="I4" s="64" t="s">
        <v>270</v>
      </c>
      <c r="J4" s="64"/>
      <c r="K4" s="64"/>
      <c r="L4" s="64" t="s">
        <v>270</v>
      </c>
      <c r="M4" s="64" t="s">
        <v>270</v>
      </c>
      <c r="N4" s="64" t="s">
        <v>270</v>
      </c>
      <c r="O4" s="64"/>
      <c r="P4" s="64"/>
      <c r="Q4" s="64"/>
      <c r="R4" s="64"/>
      <c r="S4" s="64"/>
      <c r="T4" s="64"/>
      <c r="U4" s="64"/>
      <c r="V4" s="64"/>
      <c r="W4" s="63"/>
      <c r="X4" s="64" t="s">
        <v>269</v>
      </c>
      <c r="Y4" s="64" t="s">
        <v>269</v>
      </c>
      <c r="Z4" s="64" t="s">
        <v>269</v>
      </c>
      <c r="AA4" s="64" t="s">
        <v>269</v>
      </c>
      <c r="AB4" s="64" t="s">
        <v>269</v>
      </c>
      <c r="AC4" s="63"/>
      <c r="AD4" s="64" t="s">
        <v>269</v>
      </c>
      <c r="AE4" s="64" t="s">
        <v>269</v>
      </c>
      <c r="AF4" s="64" t="s">
        <v>269</v>
      </c>
      <c r="AG4" s="63"/>
      <c r="AH4" s="64" t="s">
        <v>269</v>
      </c>
      <c r="AI4" s="64" t="s">
        <v>269</v>
      </c>
    </row>
    <row r="5" spans="1:58" s="68" customFormat="1" ht="15" customHeight="1" outlineLevel="1" x14ac:dyDescent="0.25">
      <c r="A5" s="63"/>
      <c r="B5" s="62" t="s">
        <v>271</v>
      </c>
      <c r="C5" s="63"/>
      <c r="D5" s="73"/>
      <c r="E5" s="64"/>
      <c r="F5" s="64"/>
      <c r="G5" s="63"/>
      <c r="H5" s="64"/>
      <c r="I5" s="64"/>
      <c r="J5" s="64"/>
      <c r="K5" s="64" t="s">
        <v>272</v>
      </c>
      <c r="L5" s="64" t="s">
        <v>273</v>
      </c>
      <c r="M5" s="64" t="s">
        <v>274</v>
      </c>
      <c r="N5" s="64" t="s">
        <v>275</v>
      </c>
      <c r="O5" s="64"/>
      <c r="P5" s="64"/>
      <c r="Q5" s="64"/>
      <c r="R5" s="64"/>
      <c r="S5" s="64"/>
      <c r="T5" s="64"/>
      <c r="U5" s="64"/>
      <c r="V5" s="64"/>
      <c r="W5" s="63"/>
      <c r="X5" s="64"/>
      <c r="Y5" s="64"/>
      <c r="Z5" s="64"/>
      <c r="AA5" s="64"/>
      <c r="AB5" s="64"/>
      <c r="AC5" s="63"/>
      <c r="AD5" s="64" t="s">
        <v>276</v>
      </c>
      <c r="AE5" s="64"/>
      <c r="AF5" s="69"/>
      <c r="AG5" s="63"/>
      <c r="AH5" s="64"/>
      <c r="AI5" s="64"/>
    </row>
    <row r="6" spans="1:58" s="76" customFormat="1" ht="56.25" customHeight="1" outlineLevel="1" x14ac:dyDescent="0.25">
      <c r="A6" s="72"/>
      <c r="B6" s="71" t="s">
        <v>277</v>
      </c>
      <c r="C6" s="72"/>
      <c r="D6" s="73" t="s">
        <v>278</v>
      </c>
      <c r="E6" s="73" t="s">
        <v>278</v>
      </c>
      <c r="F6" s="73" t="s">
        <v>278</v>
      </c>
      <c r="G6" s="72"/>
      <c r="H6" s="73" t="s">
        <v>279</v>
      </c>
      <c r="I6" s="73" t="s">
        <v>280</v>
      </c>
      <c r="J6" s="73" t="s">
        <v>278</v>
      </c>
      <c r="K6" s="73" t="s">
        <v>281</v>
      </c>
      <c r="L6" s="73" t="s">
        <v>282</v>
      </c>
      <c r="M6" s="73" t="s">
        <v>282</v>
      </c>
      <c r="N6" s="73" t="s">
        <v>282</v>
      </c>
      <c r="O6" s="73" t="s">
        <v>278</v>
      </c>
      <c r="P6" s="73" t="s">
        <v>278</v>
      </c>
      <c r="Q6" s="73" t="s">
        <v>278</v>
      </c>
      <c r="R6" s="73" t="s">
        <v>278</v>
      </c>
      <c r="S6" s="73" t="s">
        <v>278</v>
      </c>
      <c r="T6" s="73" t="s">
        <v>278</v>
      </c>
      <c r="U6" s="73" t="s">
        <v>278</v>
      </c>
      <c r="V6" s="73" t="s">
        <v>278</v>
      </c>
      <c r="W6" s="72"/>
      <c r="X6" s="73" t="s">
        <v>283</v>
      </c>
      <c r="Y6" s="73" t="s">
        <v>284</v>
      </c>
      <c r="Z6" s="73" t="s">
        <v>284</v>
      </c>
      <c r="AA6" s="73" t="s">
        <v>285</v>
      </c>
      <c r="AB6" s="73" t="s">
        <v>284</v>
      </c>
      <c r="AC6" s="72"/>
      <c r="AD6" s="73" t="s">
        <v>286</v>
      </c>
      <c r="AE6" s="73" t="s">
        <v>287</v>
      </c>
      <c r="AF6" s="73" t="s">
        <v>278</v>
      </c>
      <c r="AG6" s="72"/>
      <c r="AH6" s="73" t="s">
        <v>288</v>
      </c>
      <c r="AI6" s="73" t="s">
        <v>289</v>
      </c>
    </row>
    <row r="7" spans="1:58" s="78" customFormat="1" ht="51" x14ac:dyDescent="0.25">
      <c r="A7" s="123"/>
      <c r="B7" s="124"/>
      <c r="C7" s="123"/>
      <c r="D7" s="80"/>
      <c r="E7" s="125"/>
      <c r="F7" s="80"/>
      <c r="G7" s="123"/>
      <c r="H7" s="102"/>
      <c r="I7" s="79"/>
      <c r="J7" s="80" t="s">
        <v>546</v>
      </c>
      <c r="K7" s="80" t="s">
        <v>290</v>
      </c>
      <c r="L7" s="113" t="s">
        <v>291</v>
      </c>
      <c r="M7" s="113" t="s">
        <v>422</v>
      </c>
      <c r="N7" s="113" t="s">
        <v>423</v>
      </c>
      <c r="O7" s="80" t="s">
        <v>547</v>
      </c>
      <c r="P7" s="80" t="s">
        <v>548</v>
      </c>
      <c r="Q7" s="81"/>
      <c r="R7" s="81"/>
      <c r="S7" s="80" t="s">
        <v>549</v>
      </c>
      <c r="T7" s="80" t="s">
        <v>550</v>
      </c>
      <c r="U7" s="81"/>
      <c r="V7" s="81"/>
      <c r="W7" s="123"/>
      <c r="X7" s="126" t="s">
        <v>617</v>
      </c>
      <c r="Y7" s="80" t="s">
        <v>599</v>
      </c>
      <c r="Z7" s="80" t="s">
        <v>599</v>
      </c>
      <c r="AA7" s="80"/>
      <c r="AB7" s="80"/>
      <c r="AC7" s="123"/>
      <c r="AD7" s="80" t="s">
        <v>292</v>
      </c>
      <c r="AE7" s="80" t="s">
        <v>624</v>
      </c>
      <c r="AF7" s="80" t="s">
        <v>625</v>
      </c>
      <c r="AG7" s="123"/>
      <c r="AH7" s="80"/>
      <c r="AI7" s="80"/>
      <c r="AL7" s="80"/>
      <c r="AM7" s="80"/>
      <c r="AN7" s="80"/>
      <c r="AO7" s="80"/>
      <c r="AP7" s="80"/>
      <c r="AQ7" s="80"/>
      <c r="AR7" s="80"/>
      <c r="AS7" s="80"/>
      <c r="AT7" s="80"/>
      <c r="AU7" s="80"/>
      <c r="AV7" s="80"/>
      <c r="AW7" s="80"/>
      <c r="AX7" s="80"/>
      <c r="AY7" s="80"/>
      <c r="AZ7" s="80"/>
      <c r="BA7" s="80"/>
      <c r="BB7" s="80"/>
      <c r="BC7" s="80"/>
      <c r="BD7" s="80"/>
      <c r="BE7" s="80"/>
      <c r="BF7" s="80"/>
    </row>
    <row r="8" spans="1:58" s="78" customFormat="1" ht="63.75" x14ac:dyDescent="0.25">
      <c r="A8" s="123"/>
      <c r="B8" s="124"/>
      <c r="C8" s="123"/>
      <c r="D8" s="80"/>
      <c r="E8" s="125"/>
      <c r="F8" s="80"/>
      <c r="G8" s="123"/>
      <c r="H8" s="102"/>
      <c r="I8" s="79"/>
      <c r="J8" s="80" t="s">
        <v>551</v>
      </c>
      <c r="K8" s="80" t="s">
        <v>290</v>
      </c>
      <c r="L8" s="113" t="s">
        <v>291</v>
      </c>
      <c r="M8" s="113" t="s">
        <v>422</v>
      </c>
      <c r="N8" s="113" t="s">
        <v>423</v>
      </c>
      <c r="O8" s="80" t="s">
        <v>552</v>
      </c>
      <c r="P8" s="80" t="s">
        <v>553</v>
      </c>
      <c r="Q8" s="81"/>
      <c r="R8" s="81"/>
      <c r="S8" s="80" t="s">
        <v>554</v>
      </c>
      <c r="T8" s="80" t="s">
        <v>555</v>
      </c>
      <c r="U8" s="81"/>
      <c r="V8" s="81"/>
      <c r="W8" s="123"/>
      <c r="X8" s="126" t="s">
        <v>618</v>
      </c>
      <c r="Y8" s="80" t="s">
        <v>600</v>
      </c>
      <c r="Z8" s="80" t="s">
        <v>601</v>
      </c>
      <c r="AA8" s="80" t="s">
        <v>602</v>
      </c>
      <c r="AB8" s="80" t="s">
        <v>603</v>
      </c>
      <c r="AC8" s="123"/>
      <c r="AD8" s="80" t="s">
        <v>292</v>
      </c>
      <c r="AE8" s="80" t="s">
        <v>624</v>
      </c>
      <c r="AF8" s="80" t="s">
        <v>625</v>
      </c>
      <c r="AG8" s="123"/>
      <c r="AH8" s="80" t="s">
        <v>947</v>
      </c>
      <c r="AI8" s="80"/>
      <c r="AL8" s="80"/>
      <c r="AM8" s="80"/>
      <c r="AN8" s="80"/>
      <c r="AO8" s="80"/>
      <c r="AP8" s="80"/>
      <c r="AQ8" s="80"/>
      <c r="AR8" s="80"/>
      <c r="AS8" s="80"/>
      <c r="AT8" s="80"/>
      <c r="AU8" s="80"/>
      <c r="AV8" s="80"/>
      <c r="AW8" s="80"/>
      <c r="AX8" s="80"/>
      <c r="AY8" s="80"/>
      <c r="AZ8" s="80"/>
      <c r="BA8" s="80"/>
      <c r="BB8" s="80"/>
      <c r="BC8" s="80"/>
      <c r="BD8" s="80"/>
      <c r="BE8" s="80"/>
      <c r="BF8" s="80"/>
    </row>
    <row r="9" spans="1:58" s="78" customFormat="1" ht="127.5" x14ac:dyDescent="0.25">
      <c r="A9" s="123"/>
      <c r="B9" s="124"/>
      <c r="C9" s="123"/>
      <c r="D9" s="80"/>
      <c r="E9" s="125"/>
      <c r="F9" s="80"/>
      <c r="G9" s="123"/>
      <c r="H9" s="102"/>
      <c r="I9" s="79"/>
      <c r="J9" s="80" t="s">
        <v>556</v>
      </c>
      <c r="K9" s="80" t="s">
        <v>290</v>
      </c>
      <c r="L9" s="113" t="s">
        <v>291</v>
      </c>
      <c r="M9" s="113" t="s">
        <v>422</v>
      </c>
      <c r="N9" s="113" t="s">
        <v>423</v>
      </c>
      <c r="O9" s="80" t="s">
        <v>557</v>
      </c>
      <c r="P9" s="80" t="s">
        <v>558</v>
      </c>
      <c r="Q9" s="81"/>
      <c r="R9" s="81"/>
      <c r="S9" s="80" t="s">
        <v>559</v>
      </c>
      <c r="T9" s="80" t="s">
        <v>560</v>
      </c>
      <c r="U9" s="81"/>
      <c r="V9" s="81"/>
      <c r="W9" s="123"/>
      <c r="X9" s="126" t="s">
        <v>618</v>
      </c>
      <c r="Y9" s="80" t="s">
        <v>600</v>
      </c>
      <c r="Z9" s="80" t="s">
        <v>601</v>
      </c>
      <c r="AA9" s="80" t="s">
        <v>602</v>
      </c>
      <c r="AB9" s="80" t="s">
        <v>604</v>
      </c>
      <c r="AC9" s="123"/>
      <c r="AD9" s="80" t="s">
        <v>292</v>
      </c>
      <c r="AE9" s="80" t="s">
        <v>624</v>
      </c>
      <c r="AF9" s="80" t="s">
        <v>625</v>
      </c>
      <c r="AG9" s="123"/>
      <c r="AH9" s="80" t="s">
        <v>947</v>
      </c>
      <c r="AI9" s="80"/>
      <c r="AL9" s="80"/>
      <c r="AM9" s="80"/>
      <c r="AN9" s="80"/>
      <c r="AO9" s="80"/>
      <c r="AP9" s="80"/>
      <c r="AQ9" s="80"/>
      <c r="AR9" s="80"/>
      <c r="AS9" s="80"/>
      <c r="AT9" s="80"/>
      <c r="AU9" s="80"/>
      <c r="AV9" s="80"/>
      <c r="AW9" s="80"/>
      <c r="AX9" s="80"/>
      <c r="AY9" s="80"/>
      <c r="AZ9" s="80"/>
      <c r="BA9" s="80"/>
      <c r="BB9" s="80"/>
      <c r="BC9" s="80"/>
      <c r="BD9" s="80"/>
      <c r="BE9" s="80"/>
      <c r="BF9" s="80"/>
    </row>
    <row r="10" spans="1:58" s="78" customFormat="1" ht="102" x14ac:dyDescent="0.25">
      <c r="A10" s="123"/>
      <c r="B10" s="124"/>
      <c r="C10" s="123"/>
      <c r="D10" s="80"/>
      <c r="E10" s="125"/>
      <c r="F10" s="80"/>
      <c r="G10" s="123"/>
      <c r="H10" s="102"/>
      <c r="I10" s="79"/>
      <c r="J10" s="80" t="s">
        <v>561</v>
      </c>
      <c r="K10" s="80" t="s">
        <v>290</v>
      </c>
      <c r="L10" s="113" t="s">
        <v>291</v>
      </c>
      <c r="M10" s="113" t="s">
        <v>422</v>
      </c>
      <c r="N10" s="113" t="s">
        <v>423</v>
      </c>
      <c r="O10" s="84" t="s">
        <v>562</v>
      </c>
      <c r="P10" s="84" t="s">
        <v>563</v>
      </c>
      <c r="Q10" s="85"/>
      <c r="R10" s="85"/>
      <c r="S10" s="80" t="s">
        <v>564</v>
      </c>
      <c r="T10" s="80" t="s">
        <v>565</v>
      </c>
      <c r="U10" s="81"/>
      <c r="V10" s="81"/>
      <c r="W10" s="123"/>
      <c r="X10" s="126" t="s">
        <v>619</v>
      </c>
      <c r="Y10" s="80" t="s">
        <v>600</v>
      </c>
      <c r="Z10" s="80" t="s">
        <v>601</v>
      </c>
      <c r="AA10" s="80" t="s">
        <v>605</v>
      </c>
      <c r="AB10" s="80"/>
      <c r="AC10" s="123"/>
      <c r="AD10" s="80" t="s">
        <v>292</v>
      </c>
      <c r="AE10" s="80" t="s">
        <v>624</v>
      </c>
      <c r="AF10" s="80" t="s">
        <v>625</v>
      </c>
      <c r="AG10" s="123"/>
      <c r="AH10" s="80" t="s">
        <v>947</v>
      </c>
      <c r="AI10" s="80"/>
      <c r="AL10" s="80"/>
      <c r="AM10" s="80"/>
      <c r="AN10" s="80"/>
      <c r="AO10" s="80"/>
      <c r="AP10" s="80"/>
      <c r="AQ10" s="80"/>
      <c r="AR10" s="80"/>
      <c r="AS10" s="80"/>
      <c r="AT10" s="80"/>
      <c r="AU10" s="80"/>
      <c r="AV10" s="80"/>
      <c r="AW10" s="80"/>
      <c r="AX10" s="80"/>
      <c r="AY10" s="80"/>
      <c r="AZ10" s="80"/>
      <c r="BA10" s="80"/>
      <c r="BB10" s="80"/>
      <c r="BC10" s="80"/>
      <c r="BD10" s="80"/>
      <c r="BE10" s="80"/>
      <c r="BF10" s="80"/>
    </row>
    <row r="11" spans="1:58" s="78" customFormat="1" ht="89.25" x14ac:dyDescent="0.25">
      <c r="A11" s="123"/>
      <c r="B11" s="124"/>
      <c r="C11" s="123"/>
      <c r="D11" s="80"/>
      <c r="E11" s="125"/>
      <c r="F11" s="80"/>
      <c r="G11" s="123"/>
      <c r="H11" s="102"/>
      <c r="I11" s="79"/>
      <c r="J11" s="80" t="s">
        <v>566</v>
      </c>
      <c r="K11" s="80" t="s">
        <v>290</v>
      </c>
      <c r="L11" s="113" t="s">
        <v>291</v>
      </c>
      <c r="M11" s="113" t="s">
        <v>422</v>
      </c>
      <c r="N11" s="113" t="s">
        <v>423</v>
      </c>
      <c r="O11" s="80" t="s">
        <v>567</v>
      </c>
      <c r="P11" s="80" t="s">
        <v>568</v>
      </c>
      <c r="Q11" s="81"/>
      <c r="R11" s="81"/>
      <c r="S11" s="80" t="s">
        <v>569</v>
      </c>
      <c r="T11" s="80" t="s">
        <v>570</v>
      </c>
      <c r="U11" s="81"/>
      <c r="V11" s="81"/>
      <c r="W11" s="123"/>
      <c r="X11" s="126" t="s">
        <v>618</v>
      </c>
      <c r="Y11" s="80" t="s">
        <v>600</v>
      </c>
      <c r="Z11" s="80" t="s">
        <v>601</v>
      </c>
      <c r="AA11" s="80" t="s">
        <v>602</v>
      </c>
      <c r="AB11" s="80" t="s">
        <v>606</v>
      </c>
      <c r="AC11" s="123"/>
      <c r="AD11" s="80" t="s">
        <v>292</v>
      </c>
      <c r="AE11" s="80" t="s">
        <v>624</v>
      </c>
      <c r="AF11" s="80" t="s">
        <v>625</v>
      </c>
      <c r="AG11" s="123"/>
      <c r="AH11" s="80" t="s">
        <v>947</v>
      </c>
      <c r="AI11" s="80"/>
      <c r="AL11" s="80"/>
      <c r="AM11" s="80"/>
      <c r="AN11" s="80"/>
      <c r="AO11" s="80"/>
      <c r="AP11" s="80"/>
      <c r="AQ11" s="80"/>
      <c r="AR11" s="80"/>
      <c r="AS11" s="80"/>
      <c r="AT11" s="80"/>
      <c r="AU11" s="80"/>
      <c r="AV11" s="80"/>
      <c r="AW11" s="80"/>
      <c r="AX11" s="80"/>
      <c r="AY11" s="80"/>
      <c r="AZ11" s="80"/>
      <c r="BA11" s="80"/>
      <c r="BB11" s="80"/>
      <c r="BC11" s="80"/>
      <c r="BD11" s="80"/>
      <c r="BE11" s="80"/>
      <c r="BF11" s="80"/>
    </row>
    <row r="12" spans="1:58" s="78" customFormat="1" ht="89.25" x14ac:dyDescent="0.25">
      <c r="A12" s="123"/>
      <c r="B12" s="124"/>
      <c r="C12" s="123"/>
      <c r="D12" s="80"/>
      <c r="E12" s="125"/>
      <c r="F12" s="80"/>
      <c r="G12" s="123"/>
      <c r="H12" s="102"/>
      <c r="I12" s="79"/>
      <c r="J12" s="80" t="s">
        <v>571</v>
      </c>
      <c r="K12" s="80" t="s">
        <v>290</v>
      </c>
      <c r="L12" s="113" t="s">
        <v>291</v>
      </c>
      <c r="M12" s="113" t="s">
        <v>422</v>
      </c>
      <c r="N12" s="113" t="s">
        <v>423</v>
      </c>
      <c r="O12" s="80" t="s">
        <v>572</v>
      </c>
      <c r="P12" s="80" t="s">
        <v>573</v>
      </c>
      <c r="Q12" s="81"/>
      <c r="R12" s="81"/>
      <c r="S12" s="80" t="s">
        <v>574</v>
      </c>
      <c r="T12" s="80" t="s">
        <v>575</v>
      </c>
      <c r="U12" s="81"/>
      <c r="V12" s="81"/>
      <c r="W12" s="123"/>
      <c r="X12" s="126" t="s">
        <v>618</v>
      </c>
      <c r="Y12" s="80" t="s">
        <v>600</v>
      </c>
      <c r="Z12" s="80" t="s">
        <v>601</v>
      </c>
      <c r="AA12" s="80" t="s">
        <v>602</v>
      </c>
      <c r="AB12" s="80" t="s">
        <v>607</v>
      </c>
      <c r="AC12" s="123"/>
      <c r="AD12" s="80" t="s">
        <v>292</v>
      </c>
      <c r="AE12" s="80" t="s">
        <v>624</v>
      </c>
      <c r="AF12" s="80" t="s">
        <v>625</v>
      </c>
      <c r="AG12" s="123"/>
      <c r="AH12" s="80" t="s">
        <v>947</v>
      </c>
      <c r="AI12" s="80"/>
      <c r="AL12" s="80"/>
      <c r="AM12" s="80"/>
      <c r="AN12" s="80"/>
      <c r="AO12" s="80"/>
      <c r="AP12" s="80"/>
      <c r="AQ12" s="80"/>
      <c r="AR12" s="80"/>
      <c r="AS12" s="80"/>
      <c r="AT12" s="80"/>
      <c r="AU12" s="80"/>
      <c r="AV12" s="80"/>
      <c r="AW12" s="80"/>
      <c r="AX12" s="80"/>
      <c r="AY12" s="80"/>
      <c r="AZ12" s="80"/>
      <c r="BA12" s="80"/>
      <c r="BB12" s="80"/>
      <c r="BC12" s="80"/>
      <c r="BD12" s="80"/>
      <c r="BE12" s="80"/>
      <c r="BF12" s="80"/>
    </row>
    <row r="13" spans="1:58" s="78" customFormat="1" ht="76.5" x14ac:dyDescent="0.25">
      <c r="A13" s="123"/>
      <c r="B13" s="124"/>
      <c r="C13" s="123"/>
      <c r="D13" s="80"/>
      <c r="E13" s="125"/>
      <c r="F13" s="80"/>
      <c r="G13" s="123"/>
      <c r="H13" s="102"/>
      <c r="I13" s="79"/>
      <c r="J13" s="80" t="s">
        <v>576</v>
      </c>
      <c r="K13" s="80" t="s">
        <v>290</v>
      </c>
      <c r="L13" s="113" t="s">
        <v>291</v>
      </c>
      <c r="M13" s="113" t="s">
        <v>422</v>
      </c>
      <c r="N13" s="113" t="s">
        <v>423</v>
      </c>
      <c r="O13" s="80" t="s">
        <v>577</v>
      </c>
      <c r="P13" s="80" t="s">
        <v>578</v>
      </c>
      <c r="Q13" s="81"/>
      <c r="R13" s="81"/>
      <c r="S13" s="80" t="s">
        <v>579</v>
      </c>
      <c r="T13" s="80" t="s">
        <v>580</v>
      </c>
      <c r="U13" s="81"/>
      <c r="V13" s="81"/>
      <c r="W13" s="123"/>
      <c r="X13" s="126" t="s">
        <v>618</v>
      </c>
      <c r="Y13" s="80" t="s">
        <v>600</v>
      </c>
      <c r="Z13" s="80" t="s">
        <v>601</v>
      </c>
      <c r="AA13" s="80" t="s">
        <v>608</v>
      </c>
      <c r="AB13" s="80"/>
      <c r="AC13" s="123"/>
      <c r="AD13" s="80" t="s">
        <v>292</v>
      </c>
      <c r="AE13" s="80" t="s">
        <v>624</v>
      </c>
      <c r="AF13" s="80" t="s">
        <v>625</v>
      </c>
      <c r="AG13" s="123"/>
      <c r="AH13" s="80"/>
      <c r="AI13" s="80"/>
      <c r="AL13" s="80"/>
      <c r="AM13" s="80"/>
      <c r="AN13" s="80"/>
      <c r="AO13" s="80"/>
      <c r="AP13" s="80"/>
      <c r="AQ13" s="80"/>
      <c r="AR13" s="80"/>
      <c r="AS13" s="80"/>
      <c r="AT13" s="80"/>
      <c r="AU13" s="80"/>
      <c r="AV13" s="80"/>
      <c r="AW13" s="80"/>
      <c r="AX13" s="80"/>
      <c r="AY13" s="80"/>
      <c r="AZ13" s="80"/>
      <c r="BA13" s="80"/>
      <c r="BB13" s="80"/>
      <c r="BC13" s="80"/>
      <c r="BD13" s="80"/>
      <c r="BE13" s="80"/>
      <c r="BF13" s="80"/>
    </row>
    <row r="14" spans="1:58" s="78" customFormat="1" ht="191.25" x14ac:dyDescent="0.25">
      <c r="A14" s="123"/>
      <c r="B14" s="124"/>
      <c r="C14" s="123"/>
      <c r="D14" s="80"/>
      <c r="E14" s="125"/>
      <c r="F14" s="80"/>
      <c r="G14" s="123"/>
      <c r="H14" s="102"/>
      <c r="I14" s="79"/>
      <c r="J14" s="80" t="s">
        <v>581</v>
      </c>
      <c r="K14" s="80" t="s">
        <v>290</v>
      </c>
      <c r="L14" s="113" t="s">
        <v>291</v>
      </c>
      <c r="M14" s="113" t="s">
        <v>422</v>
      </c>
      <c r="N14" s="113" t="s">
        <v>423</v>
      </c>
      <c r="O14" s="80" t="s">
        <v>582</v>
      </c>
      <c r="P14" s="80" t="s">
        <v>583</v>
      </c>
      <c r="Q14" s="81"/>
      <c r="R14" s="81"/>
      <c r="S14" s="80" t="s">
        <v>584</v>
      </c>
      <c r="T14" s="80" t="s">
        <v>585</v>
      </c>
      <c r="U14" s="81"/>
      <c r="V14" s="81"/>
      <c r="W14" s="123"/>
      <c r="X14" s="126" t="s">
        <v>620</v>
      </c>
      <c r="Y14" s="80" t="s">
        <v>609</v>
      </c>
      <c r="Z14" s="80" t="s">
        <v>610</v>
      </c>
      <c r="AA14" s="80" t="s">
        <v>611</v>
      </c>
      <c r="AB14" s="80"/>
      <c r="AC14" s="123"/>
      <c r="AD14" s="80" t="s">
        <v>292</v>
      </c>
      <c r="AE14" s="80" t="s">
        <v>624</v>
      </c>
      <c r="AF14" s="80" t="s">
        <v>625</v>
      </c>
      <c r="AG14" s="123"/>
      <c r="AH14" s="80"/>
      <c r="AI14" s="80"/>
      <c r="AL14" s="80"/>
      <c r="AM14" s="80"/>
      <c r="AN14" s="80"/>
      <c r="AO14" s="80"/>
      <c r="AP14" s="80"/>
      <c r="AQ14" s="80"/>
      <c r="AR14" s="80"/>
      <c r="AS14" s="80"/>
      <c r="AT14" s="80"/>
      <c r="AU14" s="80"/>
      <c r="AV14" s="80"/>
      <c r="AW14" s="80"/>
      <c r="AX14" s="80"/>
      <c r="AY14" s="80"/>
      <c r="AZ14" s="80"/>
      <c r="BA14" s="80"/>
      <c r="BB14" s="80"/>
      <c r="BC14" s="80"/>
      <c r="BD14" s="80"/>
      <c r="BE14" s="80"/>
      <c r="BF14" s="80"/>
    </row>
    <row r="15" spans="1:58" s="78" customFormat="1" ht="102" x14ac:dyDescent="0.25">
      <c r="A15" s="123"/>
      <c r="B15" s="124"/>
      <c r="C15" s="123"/>
      <c r="D15" s="80"/>
      <c r="E15" s="125"/>
      <c r="F15" s="80"/>
      <c r="G15" s="123"/>
      <c r="H15" s="102"/>
      <c r="I15" s="79"/>
      <c r="J15" s="80" t="s">
        <v>586</v>
      </c>
      <c r="K15" s="80" t="s">
        <v>290</v>
      </c>
      <c r="L15" s="113" t="s">
        <v>291</v>
      </c>
      <c r="M15" s="113" t="s">
        <v>422</v>
      </c>
      <c r="N15" s="113" t="s">
        <v>423</v>
      </c>
      <c r="O15" s="80" t="s">
        <v>587</v>
      </c>
      <c r="P15" s="80" t="s">
        <v>588</v>
      </c>
      <c r="Q15" s="81"/>
      <c r="R15" s="81"/>
      <c r="S15" s="80" t="s">
        <v>589</v>
      </c>
      <c r="T15" s="80" t="s">
        <v>590</v>
      </c>
      <c r="U15" s="81"/>
      <c r="V15" s="81"/>
      <c r="W15" s="123"/>
      <c r="X15" s="126" t="s">
        <v>621</v>
      </c>
      <c r="Y15" s="80" t="s">
        <v>612</v>
      </c>
      <c r="Z15" s="80" t="s">
        <v>613</v>
      </c>
      <c r="AA15" s="80"/>
      <c r="AB15" s="80" t="s">
        <v>614</v>
      </c>
      <c r="AC15" s="123"/>
      <c r="AD15" s="80" t="s">
        <v>292</v>
      </c>
      <c r="AE15" s="80" t="s">
        <v>624</v>
      </c>
      <c r="AF15" s="80" t="s">
        <v>625</v>
      </c>
      <c r="AG15" s="123"/>
      <c r="AH15" s="80"/>
      <c r="AI15" s="80"/>
      <c r="AL15" s="80"/>
      <c r="AM15" s="80"/>
      <c r="AN15" s="80"/>
      <c r="AO15" s="80"/>
      <c r="AP15" s="80"/>
      <c r="AQ15" s="80"/>
      <c r="AR15" s="80"/>
      <c r="AS15" s="80"/>
      <c r="AT15" s="80"/>
      <c r="AU15" s="80"/>
      <c r="AV15" s="80"/>
      <c r="AW15" s="80"/>
      <c r="AX15" s="80"/>
      <c r="AY15" s="80"/>
      <c r="AZ15" s="80"/>
      <c r="BA15" s="80"/>
      <c r="BB15" s="80"/>
      <c r="BC15" s="80"/>
      <c r="BD15" s="80"/>
      <c r="BE15" s="80"/>
      <c r="BF15" s="80"/>
    </row>
    <row r="16" spans="1:58" s="78" customFormat="1" ht="63.75" x14ac:dyDescent="0.25">
      <c r="A16" s="123"/>
      <c r="B16" s="124"/>
      <c r="C16" s="123"/>
      <c r="D16" s="80"/>
      <c r="E16" s="125"/>
      <c r="F16" s="80"/>
      <c r="G16" s="123"/>
      <c r="H16" s="102"/>
      <c r="I16" s="79"/>
      <c r="J16" s="80" t="s">
        <v>591</v>
      </c>
      <c r="K16" s="80" t="s">
        <v>290</v>
      </c>
      <c r="L16" s="113" t="s">
        <v>291</v>
      </c>
      <c r="M16" s="113" t="s">
        <v>422</v>
      </c>
      <c r="N16" s="113" t="s">
        <v>423</v>
      </c>
      <c r="O16" s="80" t="s">
        <v>592</v>
      </c>
      <c r="P16" s="80" t="s">
        <v>593</v>
      </c>
      <c r="Q16" s="81"/>
      <c r="R16" s="81"/>
      <c r="S16" s="80"/>
      <c r="T16" s="80" t="s">
        <v>594</v>
      </c>
      <c r="U16" s="81"/>
      <c r="V16" s="81"/>
      <c r="W16" s="123"/>
      <c r="X16" s="126" t="s">
        <v>622</v>
      </c>
      <c r="Y16" s="80" t="s">
        <v>615</v>
      </c>
      <c r="Z16" s="80" t="s">
        <v>613</v>
      </c>
      <c r="AA16" s="80"/>
      <c r="AB16" s="80"/>
      <c r="AC16" s="123"/>
      <c r="AD16" s="80" t="s">
        <v>292</v>
      </c>
      <c r="AE16" s="80" t="s">
        <v>624</v>
      </c>
      <c r="AF16" s="80" t="s">
        <v>625</v>
      </c>
      <c r="AG16" s="123"/>
      <c r="AH16" s="80"/>
      <c r="AI16" s="80"/>
      <c r="AL16" s="80"/>
      <c r="AM16" s="80"/>
      <c r="AN16" s="80"/>
      <c r="AO16" s="80"/>
      <c r="AP16" s="80"/>
      <c r="AQ16" s="80"/>
      <c r="AR16" s="80"/>
      <c r="AS16" s="80"/>
      <c r="AT16" s="80"/>
      <c r="AU16" s="80"/>
      <c r="AV16" s="80"/>
      <c r="AW16" s="80"/>
      <c r="AX16" s="80"/>
      <c r="AY16" s="80"/>
      <c r="AZ16" s="80"/>
      <c r="BA16" s="80"/>
      <c r="BB16" s="80"/>
      <c r="BC16" s="80"/>
      <c r="BD16" s="80"/>
      <c r="BE16" s="80"/>
      <c r="BF16" s="80"/>
    </row>
    <row r="17" spans="1:58" s="78" customFormat="1" ht="51" x14ac:dyDescent="0.25">
      <c r="A17" s="123"/>
      <c r="B17" s="124"/>
      <c r="C17" s="123"/>
      <c r="D17" s="80"/>
      <c r="E17" s="125"/>
      <c r="F17" s="80"/>
      <c r="G17" s="123"/>
      <c r="H17" s="102"/>
      <c r="I17" s="79"/>
      <c r="J17" s="80" t="s">
        <v>595</v>
      </c>
      <c r="K17" s="80" t="s">
        <v>290</v>
      </c>
      <c r="L17" s="113" t="s">
        <v>291</v>
      </c>
      <c r="M17" s="113" t="s">
        <v>422</v>
      </c>
      <c r="N17" s="113" t="s">
        <v>423</v>
      </c>
      <c r="O17" s="80" t="s">
        <v>596</v>
      </c>
      <c r="P17" s="80" t="s">
        <v>597</v>
      </c>
      <c r="Q17" s="81"/>
      <c r="R17" s="81"/>
      <c r="S17" s="80"/>
      <c r="T17" s="80" t="s">
        <v>598</v>
      </c>
      <c r="U17" s="81"/>
      <c r="V17" s="81"/>
      <c r="W17" s="123"/>
      <c r="X17" s="126" t="s">
        <v>623</v>
      </c>
      <c r="Y17" s="80" t="s">
        <v>616</v>
      </c>
      <c r="Z17" s="80" t="s">
        <v>613</v>
      </c>
      <c r="AA17" s="80"/>
      <c r="AB17" s="80"/>
      <c r="AC17" s="123"/>
      <c r="AD17" s="80" t="s">
        <v>292</v>
      </c>
      <c r="AE17" s="80" t="s">
        <v>624</v>
      </c>
      <c r="AF17" s="80" t="s">
        <v>625</v>
      </c>
      <c r="AG17" s="123"/>
      <c r="AH17" s="80"/>
      <c r="AI17" s="80"/>
      <c r="AL17" s="80"/>
      <c r="AM17" s="80"/>
      <c r="AN17" s="80"/>
      <c r="AO17" s="80"/>
      <c r="AP17" s="80"/>
      <c r="AQ17" s="80"/>
      <c r="AR17" s="80"/>
      <c r="AS17" s="80"/>
      <c r="AT17" s="80"/>
      <c r="AU17" s="80"/>
      <c r="AV17" s="80"/>
      <c r="AW17" s="80"/>
      <c r="AX17" s="80"/>
      <c r="AY17" s="80"/>
      <c r="AZ17" s="80"/>
      <c r="BA17" s="80"/>
      <c r="BB17" s="80"/>
      <c r="BC17" s="80"/>
      <c r="BD17" s="80"/>
      <c r="BE17" s="80"/>
      <c r="BF17" s="80"/>
    </row>
  </sheetData>
  <autoFilter ref="A6:AE6" xr:uid="{00000000-0009-0000-0000-000003000000}"/>
  <dataValidations xWindow="1091" yWindow="456" count="6">
    <dataValidation type="date" operator="greaterThanOrEqual" sqref="AE7:AE17 AB7:AB1984" xr:uid="{00000000-0002-0000-0300-000000000000}">
      <formula1>DATE(2000,1,1)</formula1>
    </dataValidation>
    <dataValidation type="list" allowBlank="1" sqref="AD7:AD1987" xr:uid="{00000000-0002-0000-0300-000001000000}">
      <formula1>Status</formula1>
    </dataValidation>
    <dataValidation type="list" allowBlank="1" sqref="K7:K1987" xr:uid="{00000000-0002-0000-0300-000002000000}">
      <formula1>Objekt_Einordnung</formula1>
    </dataValidation>
    <dataValidation type="list" allowBlank="1" sqref="L7:L1987" xr:uid="{00000000-0002-0000-0300-000003000000}">
      <formula1>Klassen_Zuordnung</formula1>
    </dataValidation>
    <dataValidation type="list" allowBlank="1" sqref="M7:M1987" xr:uid="{00000000-0002-0000-0300-000004000000}">
      <formula1>Affectation_de_classe</formula1>
    </dataValidation>
    <dataValidation type="list" allowBlank="1" sqref="N7:N1987" xr:uid="{00000000-0002-0000-0300-000005000000}">
      <formula1>Assegnazione_della_classe</formula1>
    </dataValidation>
  </dataValidations>
  <hyperlinks>
    <hyperlink ref="X14" r:id="rId1" xr:uid="{9C8773F5-6148-43DD-9FD5-224882CEE748}"/>
    <hyperlink ref="X15" r:id="rId2" xr:uid="{A0B437CF-BA70-4079-A61E-78A887B398C3}"/>
    <hyperlink ref="X17" r:id="rId3" xr:uid="{53C332ED-B091-40BC-9A08-AB2AA6F0D529}"/>
    <hyperlink ref="X13" r:id="rId4" xr:uid="{6C9BF9CF-FE28-47FC-AF63-3D525C5364B4}"/>
    <hyperlink ref="X10" r:id="rId5" xr:uid="{114931DC-C1D5-4268-AD66-8F67EF380B36}"/>
  </hyperlinks>
  <pageMargins left="0.70866141732283472" right="0.70866141732283472" top="0.78740157480314965" bottom="0.78740157480314965" header="0.31496062992125984" footer="0.31496062992125984"/>
  <pageSetup paperSize="9" scale="18" orientation="landscape" r:id="rId6"/>
  <headerFooter>
    <oddHeader>&amp;CIFMA Schweiz</oddHeader>
    <oddFooter>&amp;L&amp;"Aptos Narrow,Standard"Data_Template_Flächenmanagement&amp;ROkt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C339"/>
  <sheetViews>
    <sheetView showGridLines="0" zoomScale="85" zoomScaleNormal="85" workbookViewId="0">
      <pane ySplit="6" topLeftCell="A7" activePane="bottomLeft" state="frozen"/>
      <selection activeCell="D15" sqref="D15"/>
      <selection pane="bottomLeft" activeCell="A7" sqref="A7"/>
    </sheetView>
  </sheetViews>
  <sheetFormatPr baseColWidth="10" defaultColWidth="11.28515625" defaultRowHeight="29.1" customHeight="1" outlineLevelRow="1" outlineLevelCol="1" x14ac:dyDescent="0.25"/>
  <cols>
    <col min="1" max="1" width="4.7109375" style="86" customWidth="1"/>
    <col min="2" max="2" width="25.7109375" style="87" customWidth="1" outlineLevel="1"/>
    <col min="3" max="3" width="4.7109375" style="82" customWidth="1"/>
    <col min="4" max="4" width="25.7109375" style="88" hidden="1" customWidth="1" outlineLevel="1"/>
    <col min="5" max="6" width="25.7109375" style="88" customWidth="1" outlineLevel="1"/>
    <col min="7" max="7" width="25.7109375" customWidth="1" outlineLevel="1"/>
    <col min="8" max="8" width="25.7109375" style="88" customWidth="1" outlineLevel="1"/>
    <col min="9" max="10" width="6.7109375" style="115" hidden="1" customWidth="1" outlineLevel="1"/>
    <col min="11" max="12" width="25.7109375" style="115" customWidth="1" outlineLevel="1"/>
    <col min="13" max="13" width="6.7109375" hidden="1" customWidth="1" outlineLevel="1"/>
    <col min="14" max="14" width="6.7109375" style="88" hidden="1" customWidth="1" outlineLevel="1"/>
    <col min="15" max="15" width="35.7109375" customWidth="1" outlineLevel="1"/>
    <col min="16" max="16" width="35.7109375" style="88" customWidth="1" outlineLevel="1"/>
    <col min="17" max="17" width="6.7109375" style="82" hidden="1" customWidth="1" outlineLevel="1"/>
    <col min="18" max="18" width="6.7109375" style="88" hidden="1" customWidth="1" outlineLevel="1"/>
    <col min="19" max="19" width="25.7109375" style="88" customWidth="1" outlineLevel="1"/>
    <col min="20" max="20" width="25.7109375" style="82" customWidth="1" outlineLevel="1"/>
    <col min="21" max="21" width="25.7109375" style="87" customWidth="1" outlineLevel="1"/>
    <col min="22" max="22" width="4.7109375" style="87" customWidth="1"/>
    <col min="23" max="25" width="25.7109375" style="88" customWidth="1" outlineLevel="1"/>
    <col min="26" max="26" width="4.7109375" style="88" customWidth="1"/>
    <col min="27" max="27" width="25.7109375" style="88" customWidth="1" outlineLevel="1"/>
    <col min="28" max="29" width="25.7109375" style="89" customWidth="1" outlineLevel="1"/>
    <col min="30" max="30" width="4.7109375" style="89" customWidth="1"/>
    <col min="31" max="31" width="25.7109375" style="89" customWidth="1" outlineLevel="1"/>
    <col min="32" max="32" width="27.140625" style="89" customWidth="1" outlineLevel="1"/>
    <col min="33" max="33" width="4.7109375" style="89" customWidth="1" outlineLevel="1"/>
    <col min="34" max="34" width="5.7109375" style="89" bestFit="1" customWidth="1" outlineLevel="1"/>
    <col min="35" max="51" width="4.7109375" style="89" customWidth="1" outlineLevel="1"/>
    <col min="52" max="54" width="4.7109375" style="88" customWidth="1" outlineLevel="1"/>
    <col min="55" max="55" width="4.7109375" style="88" customWidth="1"/>
    <col min="56" max="16384" width="11.28515625" style="88"/>
  </cols>
  <sheetData>
    <row r="1" spans="1:55" s="106" customFormat="1" ht="200.1" customHeight="1" x14ac:dyDescent="0.25">
      <c r="A1" s="56" t="s">
        <v>256</v>
      </c>
      <c r="B1" s="57" t="s">
        <v>33</v>
      </c>
      <c r="C1" s="58" t="s">
        <v>293</v>
      </c>
      <c r="D1" s="91" t="s">
        <v>117</v>
      </c>
      <c r="E1" s="105" t="s">
        <v>164</v>
      </c>
      <c r="F1" s="105" t="s">
        <v>165</v>
      </c>
      <c r="G1" s="105" t="s">
        <v>166</v>
      </c>
      <c r="H1" s="105" t="s">
        <v>167</v>
      </c>
      <c r="I1" s="105" t="s">
        <v>168</v>
      </c>
      <c r="J1" s="105" t="s">
        <v>169</v>
      </c>
      <c r="K1" s="105" t="s">
        <v>124</v>
      </c>
      <c r="L1" s="105" t="s">
        <v>125</v>
      </c>
      <c r="M1" s="105" t="s">
        <v>126</v>
      </c>
      <c r="N1" s="105" t="s">
        <v>127</v>
      </c>
      <c r="O1" s="91" t="s">
        <v>128</v>
      </c>
      <c r="P1" s="105" t="s">
        <v>129</v>
      </c>
      <c r="Q1" s="91" t="s">
        <v>130</v>
      </c>
      <c r="R1" s="91" t="s">
        <v>131</v>
      </c>
      <c r="S1" s="91" t="s">
        <v>294</v>
      </c>
      <c r="T1" s="91" t="s">
        <v>295</v>
      </c>
      <c r="U1" s="91" t="s">
        <v>172</v>
      </c>
      <c r="V1" s="58" t="s">
        <v>132</v>
      </c>
      <c r="W1" s="57" t="s">
        <v>133</v>
      </c>
      <c r="X1" s="57" t="s">
        <v>296</v>
      </c>
      <c r="Y1" s="57" t="s">
        <v>174</v>
      </c>
      <c r="Z1" s="92" t="s">
        <v>25</v>
      </c>
      <c r="AA1" s="91" t="s">
        <v>1</v>
      </c>
      <c r="AB1" s="91" t="s">
        <v>138</v>
      </c>
      <c r="AC1" s="57" t="s">
        <v>139</v>
      </c>
      <c r="AD1" s="241" t="s">
        <v>140</v>
      </c>
      <c r="AE1" s="57" t="s">
        <v>141</v>
      </c>
      <c r="AF1" s="57" t="s">
        <v>257</v>
      </c>
      <c r="AH1" s="56" t="s">
        <v>258</v>
      </c>
      <c r="AI1" s="57"/>
      <c r="AJ1" s="57"/>
      <c r="AK1" s="57"/>
      <c r="AL1" s="57"/>
      <c r="AM1" s="57"/>
      <c r="AN1" s="57"/>
      <c r="AO1" s="57"/>
      <c r="AP1" s="57"/>
      <c r="AQ1" s="57"/>
      <c r="AR1" s="57"/>
      <c r="AS1" s="57"/>
      <c r="AT1" s="57"/>
      <c r="AU1" s="57"/>
      <c r="AV1" s="57"/>
      <c r="AW1" s="57"/>
      <c r="AX1" s="57"/>
      <c r="AY1" s="57"/>
      <c r="AZ1" s="57"/>
      <c r="BA1" s="57"/>
      <c r="BB1" s="57"/>
      <c r="BC1" s="57"/>
    </row>
    <row r="2" spans="1:55" s="65" customFormat="1" ht="12.75" customHeight="1" outlineLevel="1" x14ac:dyDescent="0.25">
      <c r="A2" s="107"/>
      <c r="B2" s="62" t="s">
        <v>51</v>
      </c>
      <c r="C2" s="107"/>
      <c r="D2" s="64" t="s">
        <v>260</v>
      </c>
      <c r="E2" s="64" t="s">
        <v>260</v>
      </c>
      <c r="F2" s="64" t="s">
        <v>261</v>
      </c>
      <c r="G2" s="64" t="s">
        <v>261</v>
      </c>
      <c r="H2" s="64"/>
      <c r="I2" s="64"/>
      <c r="J2" s="64"/>
      <c r="K2" s="64" t="s">
        <v>261</v>
      </c>
      <c r="L2" s="64" t="s">
        <v>261</v>
      </c>
      <c r="M2" s="64" t="s">
        <v>259</v>
      </c>
      <c r="N2" s="64" t="s">
        <v>259</v>
      </c>
      <c r="O2" s="64" t="s">
        <v>261</v>
      </c>
      <c r="P2" s="64" t="s">
        <v>261</v>
      </c>
      <c r="Q2" s="64" t="s">
        <v>259</v>
      </c>
      <c r="R2" s="64" t="s">
        <v>259</v>
      </c>
      <c r="S2" s="64" t="s">
        <v>261</v>
      </c>
      <c r="T2" s="64" t="s">
        <v>261</v>
      </c>
      <c r="U2" s="64" t="s">
        <v>261</v>
      </c>
      <c r="V2" s="107"/>
      <c r="W2" s="64" t="s">
        <v>261</v>
      </c>
      <c r="X2" s="64" t="s">
        <v>261</v>
      </c>
      <c r="Y2" s="64" t="s">
        <v>261</v>
      </c>
      <c r="Z2" s="108"/>
      <c r="AA2" s="64" t="s">
        <v>261</v>
      </c>
      <c r="AB2" s="64" t="s">
        <v>261</v>
      </c>
      <c r="AC2" s="64" t="s">
        <v>261</v>
      </c>
      <c r="AD2" s="63"/>
      <c r="AE2" s="64" t="s">
        <v>259</v>
      </c>
      <c r="AF2" s="64" t="s">
        <v>259</v>
      </c>
      <c r="AH2" s="66"/>
      <c r="AI2" s="66"/>
      <c r="AJ2" s="66"/>
      <c r="AK2" s="66"/>
      <c r="AL2" s="66"/>
      <c r="AM2" s="66"/>
      <c r="AN2" s="66"/>
      <c r="AO2" s="66"/>
      <c r="AP2" s="66"/>
      <c r="AQ2" s="66"/>
      <c r="AR2" s="66"/>
      <c r="AS2" s="66"/>
      <c r="AT2" s="66"/>
      <c r="AU2" s="66"/>
      <c r="AV2" s="66"/>
      <c r="AW2" s="66"/>
      <c r="AX2" s="66"/>
      <c r="AY2" s="66"/>
      <c r="AZ2" s="66"/>
      <c r="BA2" s="66"/>
      <c r="BB2" s="66"/>
      <c r="BC2" s="66"/>
    </row>
    <row r="3" spans="1:55" s="67" customFormat="1" ht="13.5" customHeight="1" outlineLevel="1" x14ac:dyDescent="0.25">
      <c r="A3" s="107"/>
      <c r="B3" s="62" t="s">
        <v>52</v>
      </c>
      <c r="C3" s="107"/>
      <c r="D3" s="73" t="s">
        <v>264</v>
      </c>
      <c r="E3" s="73" t="s">
        <v>264</v>
      </c>
      <c r="F3" s="73" t="s">
        <v>264</v>
      </c>
      <c r="G3" s="73" t="s">
        <v>264</v>
      </c>
      <c r="H3" s="73" t="s">
        <v>265</v>
      </c>
      <c r="I3" s="73" t="s">
        <v>266</v>
      </c>
      <c r="J3" s="73" t="s">
        <v>267</v>
      </c>
      <c r="K3" s="64" t="s">
        <v>268</v>
      </c>
      <c r="L3" s="64" t="s">
        <v>265</v>
      </c>
      <c r="M3" s="64" t="s">
        <v>266</v>
      </c>
      <c r="N3" s="64" t="s">
        <v>267</v>
      </c>
      <c r="O3" s="64" t="s">
        <v>268</v>
      </c>
      <c r="P3" s="64" t="s">
        <v>265</v>
      </c>
      <c r="Q3" s="64" t="s">
        <v>266</v>
      </c>
      <c r="R3" s="64" t="s">
        <v>267</v>
      </c>
      <c r="S3" s="73" t="s">
        <v>264</v>
      </c>
      <c r="T3" s="73" t="s">
        <v>264</v>
      </c>
      <c r="U3" s="64" t="s">
        <v>268</v>
      </c>
      <c r="V3" s="107"/>
      <c r="W3" s="73" t="s">
        <v>264</v>
      </c>
      <c r="X3" s="64" t="s">
        <v>268</v>
      </c>
      <c r="Y3" s="73" t="s">
        <v>264</v>
      </c>
      <c r="Z3" s="108"/>
      <c r="AA3" s="64" t="s">
        <v>268</v>
      </c>
      <c r="AB3" s="64" t="s">
        <v>264</v>
      </c>
      <c r="AC3" s="64" t="s">
        <v>268</v>
      </c>
      <c r="AD3" s="63"/>
      <c r="AE3" s="64" t="s">
        <v>268</v>
      </c>
      <c r="AF3" s="64" t="s">
        <v>263</v>
      </c>
      <c r="AH3" s="68"/>
      <c r="AI3" s="68"/>
      <c r="AJ3" s="68"/>
      <c r="AK3" s="68"/>
      <c r="AL3" s="68"/>
      <c r="AM3" s="68"/>
      <c r="AN3" s="68"/>
      <c r="AO3" s="68"/>
      <c r="AP3" s="68"/>
      <c r="AQ3" s="68"/>
      <c r="AR3" s="68"/>
      <c r="AS3" s="68"/>
      <c r="AT3" s="68"/>
      <c r="AU3" s="68"/>
      <c r="AV3" s="68"/>
      <c r="AW3" s="68"/>
      <c r="AX3" s="68"/>
      <c r="AY3" s="68"/>
      <c r="AZ3" s="68"/>
      <c r="BA3" s="68"/>
      <c r="BB3" s="68"/>
      <c r="BC3" s="68"/>
    </row>
    <row r="4" spans="1:55" s="67" customFormat="1" ht="13.5" customHeight="1" outlineLevel="1" x14ac:dyDescent="0.25">
      <c r="A4" s="107"/>
      <c r="B4" s="62" t="s">
        <v>53</v>
      </c>
      <c r="C4" s="107"/>
      <c r="D4" s="73" t="s">
        <v>269</v>
      </c>
      <c r="E4" s="73" t="s">
        <v>270</v>
      </c>
      <c r="F4" s="64"/>
      <c r="G4" s="64"/>
      <c r="H4" s="64" t="s">
        <v>270</v>
      </c>
      <c r="I4" s="64" t="s">
        <v>270</v>
      </c>
      <c r="J4" s="64" t="s">
        <v>270</v>
      </c>
      <c r="K4" s="64"/>
      <c r="L4" s="64"/>
      <c r="M4" s="64"/>
      <c r="N4" s="64"/>
      <c r="O4" s="64"/>
      <c r="P4" s="64"/>
      <c r="Q4" s="64"/>
      <c r="R4" s="64"/>
      <c r="S4" s="64" t="s">
        <v>269</v>
      </c>
      <c r="T4" s="64" t="s">
        <v>269</v>
      </c>
      <c r="U4" s="64" t="s">
        <v>269</v>
      </c>
      <c r="V4" s="107"/>
      <c r="W4" s="64" t="s">
        <v>269</v>
      </c>
      <c r="X4" s="64" t="s">
        <v>269</v>
      </c>
      <c r="Y4" s="64"/>
      <c r="Z4" s="108"/>
      <c r="AA4" s="64" t="s">
        <v>269</v>
      </c>
      <c r="AB4" s="64" t="s">
        <v>269</v>
      </c>
      <c r="AC4" s="64" t="s">
        <v>269</v>
      </c>
      <c r="AD4" s="63"/>
      <c r="AE4" s="64" t="s">
        <v>269</v>
      </c>
      <c r="AF4" s="64" t="s">
        <v>269</v>
      </c>
      <c r="AH4" s="68"/>
      <c r="AI4" s="68"/>
      <c r="AJ4" s="68"/>
      <c r="AK4" s="68"/>
      <c r="AL4" s="68"/>
      <c r="AM4" s="68"/>
      <c r="AN4" s="68"/>
      <c r="AO4" s="68"/>
      <c r="AP4" s="68"/>
      <c r="AQ4" s="68"/>
      <c r="AR4" s="68"/>
      <c r="AS4" s="68"/>
      <c r="AT4" s="68"/>
      <c r="AU4" s="68"/>
      <c r="AV4" s="68"/>
      <c r="AW4" s="68"/>
      <c r="AX4" s="68"/>
      <c r="AY4" s="68"/>
      <c r="AZ4" s="68"/>
      <c r="BA4" s="68"/>
      <c r="BB4" s="68"/>
      <c r="BC4" s="68"/>
    </row>
    <row r="5" spans="1:55" s="67" customFormat="1" ht="14.1" customHeight="1" outlineLevel="1" x14ac:dyDescent="0.25">
      <c r="A5" s="107"/>
      <c r="B5" s="62" t="s">
        <v>271</v>
      </c>
      <c r="C5" s="107"/>
      <c r="D5" s="73"/>
      <c r="E5" s="73"/>
      <c r="F5" s="64"/>
      <c r="G5" s="64" t="s">
        <v>297</v>
      </c>
      <c r="H5" s="64" t="s">
        <v>298</v>
      </c>
      <c r="I5" s="64" t="s">
        <v>299</v>
      </c>
      <c r="J5" s="64" t="s">
        <v>300</v>
      </c>
      <c r="K5" s="64"/>
      <c r="L5" s="64"/>
      <c r="M5" s="64"/>
      <c r="N5" s="64"/>
      <c r="O5" s="64"/>
      <c r="P5" s="64"/>
      <c r="Q5" s="64"/>
      <c r="R5" s="64"/>
      <c r="S5" s="64" t="s">
        <v>301</v>
      </c>
      <c r="T5" s="64" t="s">
        <v>302</v>
      </c>
      <c r="U5" s="64"/>
      <c r="V5" s="107"/>
      <c r="W5" s="64"/>
      <c r="X5" s="64"/>
      <c r="Y5" s="64"/>
      <c r="Z5" s="108"/>
      <c r="AA5" s="64" t="s">
        <v>276</v>
      </c>
      <c r="AB5" s="64"/>
      <c r="AC5" s="69"/>
      <c r="AD5" s="63"/>
      <c r="AE5" s="64"/>
      <c r="AF5" s="64"/>
      <c r="AH5" s="68"/>
      <c r="AI5" s="68"/>
      <c r="AJ5" s="68"/>
      <c r="AK5" s="68"/>
      <c r="AL5" s="68"/>
      <c r="AM5" s="68"/>
      <c r="AN5" s="68"/>
      <c r="AO5" s="68"/>
      <c r="AP5" s="68"/>
      <c r="AQ5" s="68"/>
      <c r="AR5" s="68"/>
      <c r="AS5" s="68"/>
      <c r="AT5" s="68"/>
      <c r="AU5" s="68"/>
      <c r="AV5" s="68"/>
      <c r="AW5" s="68"/>
      <c r="AX5" s="68"/>
      <c r="AY5" s="68"/>
      <c r="AZ5" s="68"/>
      <c r="BA5" s="68"/>
      <c r="BB5" s="68"/>
      <c r="BC5" s="68"/>
    </row>
    <row r="6" spans="1:55" s="75" customFormat="1" ht="56.25" customHeight="1" outlineLevel="1" x14ac:dyDescent="0.25">
      <c r="A6" s="77"/>
      <c r="B6" s="71" t="s">
        <v>277</v>
      </c>
      <c r="C6" s="77"/>
      <c r="D6" s="73" t="s">
        <v>279</v>
      </c>
      <c r="E6" s="73" t="s">
        <v>280</v>
      </c>
      <c r="F6" s="73" t="s">
        <v>278</v>
      </c>
      <c r="G6" s="73" t="s">
        <v>303</v>
      </c>
      <c r="H6" s="73" t="s">
        <v>304</v>
      </c>
      <c r="I6" s="73" t="s">
        <v>304</v>
      </c>
      <c r="J6" s="73" t="s">
        <v>304</v>
      </c>
      <c r="K6" s="73" t="s">
        <v>278</v>
      </c>
      <c r="L6" s="73" t="s">
        <v>278</v>
      </c>
      <c r="M6" s="73" t="s">
        <v>278</v>
      </c>
      <c r="N6" s="73" t="s">
        <v>278</v>
      </c>
      <c r="O6" s="73" t="s">
        <v>278</v>
      </c>
      <c r="P6" s="73" t="s">
        <v>278</v>
      </c>
      <c r="Q6" s="73" t="s">
        <v>278</v>
      </c>
      <c r="R6" s="73" t="s">
        <v>278</v>
      </c>
      <c r="S6" s="73" t="s">
        <v>305</v>
      </c>
      <c r="T6" s="73" t="s">
        <v>306</v>
      </c>
      <c r="U6" s="73" t="s">
        <v>307</v>
      </c>
      <c r="V6" s="77"/>
      <c r="W6" s="73" t="s">
        <v>283</v>
      </c>
      <c r="X6" s="73" t="s">
        <v>308</v>
      </c>
      <c r="Y6" s="73" t="s">
        <v>278</v>
      </c>
      <c r="Z6" s="109"/>
      <c r="AA6" s="73" t="s">
        <v>286</v>
      </c>
      <c r="AB6" s="73" t="s">
        <v>287</v>
      </c>
      <c r="AC6" s="73" t="s">
        <v>278</v>
      </c>
      <c r="AD6" s="72"/>
      <c r="AE6" s="73" t="s">
        <v>288</v>
      </c>
      <c r="AF6" s="73" t="s">
        <v>289</v>
      </c>
      <c r="AH6" s="76"/>
      <c r="AI6" s="76"/>
      <c r="AJ6" s="76"/>
      <c r="AK6" s="76"/>
      <c r="AL6" s="76"/>
      <c r="AM6" s="76"/>
      <c r="AN6" s="76"/>
      <c r="AO6" s="76"/>
      <c r="AP6" s="76"/>
      <c r="AQ6" s="76"/>
      <c r="AR6" s="76"/>
      <c r="AS6" s="76"/>
      <c r="AT6" s="76"/>
      <c r="AU6" s="76"/>
      <c r="AV6" s="76"/>
      <c r="AW6" s="76"/>
      <c r="AX6" s="76"/>
      <c r="AY6" s="76"/>
      <c r="AZ6" s="76"/>
      <c r="BA6" s="76"/>
      <c r="BB6" s="76"/>
      <c r="BC6" s="76"/>
    </row>
    <row r="7" spans="1:55" s="111" customFormat="1" ht="76.5" x14ac:dyDescent="0.25">
      <c r="A7" s="110"/>
      <c r="C7" s="110"/>
      <c r="D7" s="243"/>
      <c r="E7" s="79"/>
      <c r="F7" s="84" t="s">
        <v>626</v>
      </c>
      <c r="G7" s="84" t="s">
        <v>309</v>
      </c>
      <c r="H7" s="42" t="s">
        <v>415</v>
      </c>
      <c r="I7" s="113" t="s">
        <v>416</v>
      </c>
      <c r="J7" s="113" t="s">
        <v>417</v>
      </c>
      <c r="K7" s="103" t="s">
        <v>627</v>
      </c>
      <c r="L7" s="103" t="s">
        <v>627</v>
      </c>
      <c r="M7" s="104"/>
      <c r="N7" s="104"/>
      <c r="O7" s="84" t="s">
        <v>628</v>
      </c>
      <c r="P7" s="103" t="s">
        <v>629</v>
      </c>
      <c r="Q7" s="85"/>
      <c r="R7" s="85"/>
      <c r="S7" s="84" t="s">
        <v>310</v>
      </c>
      <c r="T7" s="84" t="s">
        <v>311</v>
      </c>
      <c r="U7" s="84"/>
      <c r="V7" s="110"/>
      <c r="W7" s="112" t="s">
        <v>882</v>
      </c>
      <c r="X7" s="84" t="s">
        <v>885</v>
      </c>
      <c r="Y7" s="84"/>
      <c r="Z7" s="110"/>
      <c r="AA7" s="80" t="s">
        <v>292</v>
      </c>
      <c r="AB7" s="80" t="s">
        <v>624</v>
      </c>
      <c r="AC7" s="80" t="s">
        <v>625</v>
      </c>
      <c r="AD7" s="123"/>
      <c r="AE7" s="80"/>
      <c r="AF7" s="80"/>
      <c r="AH7" s="78"/>
      <c r="AI7" s="80"/>
      <c r="AJ7" s="80"/>
      <c r="AK7" s="80"/>
      <c r="AL7" s="80"/>
      <c r="AM7" s="80"/>
      <c r="AN7" s="80"/>
      <c r="AO7" s="80"/>
      <c r="AP7" s="80"/>
      <c r="AQ7" s="80"/>
      <c r="AR7" s="80"/>
      <c r="AS7" s="80"/>
      <c r="AT7" s="80"/>
      <c r="AU7" s="80"/>
      <c r="AV7" s="80"/>
      <c r="AW7" s="80"/>
      <c r="AX7" s="80"/>
      <c r="AY7" s="80"/>
      <c r="AZ7" s="80"/>
      <c r="BA7" s="80"/>
      <c r="BB7" s="80"/>
      <c r="BC7" s="80"/>
    </row>
    <row r="8" spans="1:55" s="111" customFormat="1" ht="76.5" x14ac:dyDescent="0.25">
      <c r="A8" s="110"/>
      <c r="C8" s="110"/>
      <c r="D8" s="243"/>
      <c r="E8" s="79"/>
      <c r="F8" s="84" t="s">
        <v>630</v>
      </c>
      <c r="G8" s="84" t="s">
        <v>309</v>
      </c>
      <c r="H8" s="42" t="s">
        <v>415</v>
      </c>
      <c r="I8" s="113" t="s">
        <v>416</v>
      </c>
      <c r="J8" s="113" t="s">
        <v>417</v>
      </c>
      <c r="K8" s="103" t="s">
        <v>631</v>
      </c>
      <c r="L8" s="103" t="s">
        <v>632</v>
      </c>
      <c r="M8" s="104"/>
      <c r="N8" s="104"/>
      <c r="O8" s="84" t="s">
        <v>633</v>
      </c>
      <c r="P8" s="103" t="s">
        <v>634</v>
      </c>
      <c r="Q8" s="85"/>
      <c r="R8" s="85"/>
      <c r="S8" s="84" t="s">
        <v>310</v>
      </c>
      <c r="T8" s="84" t="s">
        <v>311</v>
      </c>
      <c r="U8" s="84"/>
      <c r="V8" s="110"/>
      <c r="W8" s="112" t="s">
        <v>883</v>
      </c>
      <c r="X8" s="84" t="s">
        <v>885</v>
      </c>
      <c r="Y8" s="84"/>
      <c r="Z8" s="110"/>
      <c r="AA8" s="80" t="s">
        <v>292</v>
      </c>
      <c r="AB8" s="80" t="s">
        <v>624</v>
      </c>
      <c r="AC8" s="80" t="s">
        <v>625</v>
      </c>
      <c r="AD8" s="123"/>
      <c r="AE8" s="80"/>
      <c r="AF8" s="80"/>
      <c r="AH8" s="78"/>
      <c r="AI8" s="80"/>
      <c r="AJ8" s="80"/>
      <c r="AK8" s="80"/>
      <c r="AL8" s="80"/>
      <c r="AM8" s="80"/>
      <c r="AN8" s="80"/>
      <c r="AO8" s="80"/>
      <c r="AP8" s="80"/>
      <c r="AQ8" s="80"/>
      <c r="AR8" s="80"/>
      <c r="AS8" s="80"/>
      <c r="AT8" s="80"/>
      <c r="AU8" s="80"/>
      <c r="AV8" s="80"/>
      <c r="AW8" s="80"/>
      <c r="AX8" s="80"/>
      <c r="AY8" s="80"/>
      <c r="AZ8" s="80"/>
      <c r="BA8" s="80"/>
      <c r="BB8" s="80"/>
      <c r="BC8" s="80"/>
    </row>
    <row r="9" spans="1:55" s="111" customFormat="1" ht="76.5" x14ac:dyDescent="0.25">
      <c r="A9" s="110"/>
      <c r="C9" s="110"/>
      <c r="D9" s="243"/>
      <c r="E9" s="79"/>
      <c r="F9" s="84" t="s">
        <v>635</v>
      </c>
      <c r="G9" s="84" t="s">
        <v>309</v>
      </c>
      <c r="H9" s="42" t="s">
        <v>415</v>
      </c>
      <c r="I9" s="113" t="s">
        <v>416</v>
      </c>
      <c r="J9" s="113" t="s">
        <v>417</v>
      </c>
      <c r="K9" s="103" t="s">
        <v>636</v>
      </c>
      <c r="L9" s="103" t="s">
        <v>636</v>
      </c>
      <c r="M9" s="104"/>
      <c r="N9" s="104"/>
      <c r="O9" s="84" t="s">
        <v>637</v>
      </c>
      <c r="P9" s="103" t="s">
        <v>638</v>
      </c>
      <c r="Q9" s="85"/>
      <c r="R9" s="85"/>
      <c r="S9" s="84" t="s">
        <v>310</v>
      </c>
      <c r="T9" s="84" t="s">
        <v>311</v>
      </c>
      <c r="U9" s="84" t="s">
        <v>639</v>
      </c>
      <c r="V9" s="110"/>
      <c r="W9" s="112"/>
      <c r="X9" s="84"/>
      <c r="Y9" s="84"/>
      <c r="Z9" s="110"/>
      <c r="AA9" s="80" t="s">
        <v>292</v>
      </c>
      <c r="AB9" s="80" t="s">
        <v>624</v>
      </c>
      <c r="AC9" s="80" t="s">
        <v>625</v>
      </c>
      <c r="AD9" s="123"/>
      <c r="AE9" s="80"/>
      <c r="AF9" s="80"/>
      <c r="AH9" s="78"/>
      <c r="AI9" s="80"/>
      <c r="AJ9" s="80"/>
      <c r="AK9" s="80"/>
      <c r="AL9" s="80"/>
      <c r="AM9" s="80"/>
      <c r="AN9" s="80"/>
      <c r="AO9" s="80"/>
      <c r="AP9" s="80"/>
      <c r="AQ9" s="80"/>
      <c r="AR9" s="80"/>
      <c r="AS9" s="80"/>
      <c r="AT9" s="80"/>
      <c r="AU9" s="80"/>
      <c r="AV9" s="80"/>
      <c r="AW9" s="80"/>
      <c r="AX9" s="80"/>
      <c r="AY9" s="80"/>
      <c r="AZ9" s="80"/>
      <c r="BA9" s="80"/>
      <c r="BB9" s="80"/>
      <c r="BC9" s="80"/>
    </row>
    <row r="10" spans="1:55" s="111" customFormat="1" ht="76.5" x14ac:dyDescent="0.25">
      <c r="A10" s="110"/>
      <c r="C10" s="110"/>
      <c r="D10" s="243"/>
      <c r="E10" s="79"/>
      <c r="F10" s="103" t="s">
        <v>640</v>
      </c>
      <c r="G10" s="84" t="s">
        <v>309</v>
      </c>
      <c r="H10" s="42" t="s">
        <v>415</v>
      </c>
      <c r="I10" s="113" t="s">
        <v>416</v>
      </c>
      <c r="J10" s="113" t="s">
        <v>417</v>
      </c>
      <c r="K10" s="103" t="s">
        <v>641</v>
      </c>
      <c r="L10" s="103" t="s">
        <v>641</v>
      </c>
      <c r="M10" s="104" t="s">
        <v>641</v>
      </c>
      <c r="N10" s="104"/>
      <c r="O10" s="103" t="s">
        <v>642</v>
      </c>
      <c r="P10" s="103" t="s">
        <v>643</v>
      </c>
      <c r="Q10" s="85"/>
      <c r="R10" s="85"/>
      <c r="S10" s="84" t="s">
        <v>310</v>
      </c>
      <c r="T10" s="84" t="s">
        <v>311</v>
      </c>
      <c r="U10" s="84" t="s">
        <v>644</v>
      </c>
      <c r="V10" s="110"/>
      <c r="W10" s="112"/>
      <c r="X10" s="84"/>
      <c r="Y10" s="84"/>
      <c r="Z10" s="110"/>
      <c r="AA10" s="80" t="s">
        <v>292</v>
      </c>
      <c r="AB10" s="80" t="s">
        <v>624</v>
      </c>
      <c r="AC10" s="80" t="s">
        <v>625</v>
      </c>
      <c r="AD10" s="123"/>
      <c r="AE10" s="80"/>
      <c r="AF10" s="80"/>
      <c r="AH10" s="78"/>
      <c r="AI10" s="80"/>
      <c r="AJ10" s="80"/>
      <c r="AK10" s="80"/>
      <c r="AL10" s="80"/>
      <c r="AM10" s="80"/>
      <c r="AN10" s="80"/>
      <c r="AO10" s="80"/>
      <c r="AP10" s="80"/>
      <c r="AQ10" s="80"/>
      <c r="AR10" s="80"/>
      <c r="AS10" s="80"/>
      <c r="AT10" s="80"/>
      <c r="AU10" s="80"/>
      <c r="AV10" s="80"/>
      <c r="AW10" s="80"/>
      <c r="AX10" s="80"/>
      <c r="AY10" s="80"/>
      <c r="AZ10" s="80"/>
      <c r="BA10" s="80"/>
      <c r="BB10" s="80"/>
      <c r="BC10" s="80"/>
    </row>
    <row r="11" spans="1:55" s="111" customFormat="1" ht="76.5" x14ac:dyDescent="0.25">
      <c r="A11" s="110"/>
      <c r="C11" s="110"/>
      <c r="D11" s="243"/>
      <c r="E11" s="79"/>
      <c r="F11" s="84" t="s">
        <v>645</v>
      </c>
      <c r="G11" s="84" t="s">
        <v>309</v>
      </c>
      <c r="H11" s="42" t="s">
        <v>415</v>
      </c>
      <c r="I11" s="113" t="s">
        <v>416</v>
      </c>
      <c r="J11" s="113" t="s">
        <v>417</v>
      </c>
      <c r="K11" s="103" t="s">
        <v>646</v>
      </c>
      <c r="L11" s="103" t="s">
        <v>646</v>
      </c>
      <c r="M11" s="104" t="s">
        <v>646</v>
      </c>
      <c r="N11" s="104"/>
      <c r="O11" s="84" t="s">
        <v>647</v>
      </c>
      <c r="P11" s="103" t="s">
        <v>648</v>
      </c>
      <c r="Q11" s="85"/>
      <c r="R11" s="85"/>
      <c r="S11" s="84" t="s">
        <v>310</v>
      </c>
      <c r="T11" s="84" t="s">
        <v>311</v>
      </c>
      <c r="U11" s="84" t="s">
        <v>649</v>
      </c>
      <c r="V11" s="110"/>
      <c r="W11" s="112"/>
      <c r="X11" s="84"/>
      <c r="Y11" s="84"/>
      <c r="Z11" s="110"/>
      <c r="AA11" s="80" t="s">
        <v>292</v>
      </c>
      <c r="AB11" s="80" t="s">
        <v>624</v>
      </c>
      <c r="AC11" s="80" t="s">
        <v>625</v>
      </c>
      <c r="AD11" s="123"/>
      <c r="AE11" s="80"/>
      <c r="AF11" s="80"/>
      <c r="AH11" s="78"/>
      <c r="AI11" s="80"/>
      <c r="AJ11" s="80"/>
      <c r="AK11" s="80"/>
      <c r="AL11" s="80"/>
      <c r="AM11" s="80"/>
      <c r="AN11" s="80"/>
      <c r="AO11" s="80"/>
      <c r="AP11" s="80"/>
      <c r="AQ11" s="80"/>
      <c r="AR11" s="80"/>
      <c r="AS11" s="80"/>
      <c r="AT11" s="80"/>
      <c r="AU11" s="80"/>
      <c r="AV11" s="80"/>
      <c r="AW11" s="80"/>
      <c r="AX11" s="80"/>
      <c r="AY11" s="80"/>
      <c r="AZ11" s="80"/>
      <c r="BA11" s="80"/>
      <c r="BB11" s="80"/>
      <c r="BC11" s="80"/>
    </row>
    <row r="12" spans="1:55" s="111" customFormat="1" ht="76.5" x14ac:dyDescent="0.25">
      <c r="A12" s="110"/>
      <c r="C12" s="110"/>
      <c r="D12" s="243"/>
      <c r="E12" s="79"/>
      <c r="F12" s="84" t="s">
        <v>650</v>
      </c>
      <c r="G12" s="84" t="s">
        <v>309</v>
      </c>
      <c r="H12" s="42" t="s">
        <v>415</v>
      </c>
      <c r="I12" s="113" t="s">
        <v>416</v>
      </c>
      <c r="J12" s="113" t="s">
        <v>417</v>
      </c>
      <c r="K12" s="103" t="s">
        <v>651</v>
      </c>
      <c r="L12" s="103" t="s">
        <v>651</v>
      </c>
      <c r="M12" s="104" t="s">
        <v>652</v>
      </c>
      <c r="N12" s="104"/>
      <c r="O12" s="84" t="s">
        <v>653</v>
      </c>
      <c r="P12" s="103" t="s">
        <v>654</v>
      </c>
      <c r="Q12" s="85"/>
      <c r="R12" s="85"/>
      <c r="S12" s="84" t="s">
        <v>310</v>
      </c>
      <c r="T12" s="84" t="s">
        <v>311</v>
      </c>
      <c r="U12" s="84" t="s">
        <v>655</v>
      </c>
      <c r="V12" s="110"/>
      <c r="W12" s="112"/>
      <c r="X12" s="84"/>
      <c r="Y12" s="84"/>
      <c r="Z12" s="110"/>
      <c r="AA12" s="80" t="s">
        <v>292</v>
      </c>
      <c r="AB12" s="80" t="s">
        <v>624</v>
      </c>
      <c r="AC12" s="80" t="s">
        <v>625</v>
      </c>
      <c r="AD12" s="123"/>
      <c r="AE12" s="80"/>
      <c r="AF12" s="80"/>
      <c r="AH12" s="78"/>
      <c r="AI12" s="80"/>
      <c r="AJ12" s="80"/>
      <c r="AK12" s="80"/>
      <c r="AL12" s="80"/>
      <c r="AM12" s="80"/>
      <c r="AN12" s="80"/>
      <c r="AO12" s="80"/>
      <c r="AP12" s="80"/>
      <c r="AQ12" s="80"/>
      <c r="AR12" s="80"/>
      <c r="AS12" s="80"/>
      <c r="AT12" s="80"/>
      <c r="AU12" s="80"/>
      <c r="AV12" s="80"/>
      <c r="AW12" s="80"/>
      <c r="AX12" s="80"/>
      <c r="AY12" s="80"/>
      <c r="AZ12" s="80"/>
      <c r="BA12" s="80"/>
      <c r="BB12" s="80"/>
      <c r="BC12" s="80"/>
    </row>
    <row r="13" spans="1:55" s="111" customFormat="1" ht="76.5" x14ac:dyDescent="0.25">
      <c r="A13" s="110"/>
      <c r="C13" s="110"/>
      <c r="D13" s="243"/>
      <c r="E13" s="79"/>
      <c r="F13" s="84" t="s">
        <v>656</v>
      </c>
      <c r="G13" s="84" t="s">
        <v>312</v>
      </c>
      <c r="H13" s="42" t="s">
        <v>464</v>
      </c>
      <c r="I13" s="113" t="s">
        <v>465</v>
      </c>
      <c r="J13" s="113" t="s">
        <v>466</v>
      </c>
      <c r="K13" s="103" t="s">
        <v>657</v>
      </c>
      <c r="L13" s="103" t="s">
        <v>658</v>
      </c>
      <c r="M13" s="104"/>
      <c r="N13" s="104"/>
      <c r="O13" s="84" t="s">
        <v>659</v>
      </c>
      <c r="P13" s="103" t="s">
        <v>660</v>
      </c>
      <c r="Q13" s="85"/>
      <c r="R13" s="85"/>
      <c r="S13" s="84" t="s">
        <v>310</v>
      </c>
      <c r="T13" s="84" t="s">
        <v>311</v>
      </c>
      <c r="U13" s="84"/>
      <c r="V13" s="110"/>
      <c r="W13" s="112"/>
      <c r="X13" s="84"/>
      <c r="Y13" s="84"/>
      <c r="Z13" s="110"/>
      <c r="AA13" s="80" t="s">
        <v>292</v>
      </c>
      <c r="AB13" s="80" t="s">
        <v>624</v>
      </c>
      <c r="AC13" s="80" t="s">
        <v>625</v>
      </c>
      <c r="AD13" s="123"/>
      <c r="AE13" s="80"/>
      <c r="AF13" s="80"/>
      <c r="AH13" s="78"/>
      <c r="AI13" s="80"/>
      <c r="AJ13" s="80"/>
      <c r="AK13" s="80"/>
      <c r="AL13" s="80"/>
      <c r="AM13" s="80"/>
      <c r="AN13" s="80"/>
      <c r="AO13" s="80"/>
      <c r="AP13" s="80"/>
      <c r="AQ13" s="80"/>
      <c r="AR13" s="80"/>
      <c r="AS13" s="80"/>
      <c r="AT13" s="80"/>
      <c r="AU13" s="80"/>
      <c r="AV13" s="80"/>
      <c r="AW13" s="80"/>
      <c r="AX13" s="80"/>
      <c r="AY13" s="80"/>
      <c r="AZ13" s="80"/>
      <c r="BA13" s="80"/>
      <c r="BB13" s="80"/>
      <c r="BC13" s="80"/>
    </row>
    <row r="14" spans="1:55" s="111" customFormat="1" ht="76.5" x14ac:dyDescent="0.25">
      <c r="A14" s="110"/>
      <c r="C14" s="110"/>
      <c r="D14" s="243"/>
      <c r="E14" s="79"/>
      <c r="F14" s="84" t="s">
        <v>661</v>
      </c>
      <c r="G14" s="84" t="s">
        <v>312</v>
      </c>
      <c r="H14" s="42" t="s">
        <v>464</v>
      </c>
      <c r="I14" s="113" t="s">
        <v>465</v>
      </c>
      <c r="J14" s="113" t="s">
        <v>466</v>
      </c>
      <c r="K14" s="103" t="s">
        <v>662</v>
      </c>
      <c r="L14" s="103" t="s">
        <v>663</v>
      </c>
      <c r="M14" s="104"/>
      <c r="N14" s="104"/>
      <c r="O14" s="84" t="s">
        <v>664</v>
      </c>
      <c r="P14" s="103" t="s">
        <v>665</v>
      </c>
      <c r="Q14" s="85"/>
      <c r="R14" s="85"/>
      <c r="S14" s="84" t="s">
        <v>310</v>
      </c>
      <c r="T14" s="84" t="s">
        <v>311</v>
      </c>
      <c r="U14" s="84"/>
      <c r="V14" s="110"/>
      <c r="W14" s="112"/>
      <c r="X14" s="84"/>
      <c r="Y14" s="84"/>
      <c r="Z14" s="110"/>
      <c r="AA14" s="80" t="s">
        <v>292</v>
      </c>
      <c r="AB14" s="80" t="s">
        <v>624</v>
      </c>
      <c r="AC14" s="80" t="s">
        <v>625</v>
      </c>
      <c r="AD14" s="123"/>
      <c r="AE14" s="80"/>
      <c r="AF14" s="80"/>
      <c r="AH14" s="78"/>
      <c r="AI14" s="80"/>
      <c r="AJ14" s="80"/>
      <c r="AK14" s="80"/>
      <c r="AL14" s="80"/>
      <c r="AM14" s="80"/>
      <c r="AN14" s="80"/>
      <c r="AO14" s="80"/>
      <c r="AP14" s="80"/>
      <c r="AQ14" s="80"/>
      <c r="AR14" s="80"/>
      <c r="AS14" s="80"/>
      <c r="AT14" s="80"/>
      <c r="AU14" s="80"/>
      <c r="AV14" s="80"/>
      <c r="AW14" s="80"/>
      <c r="AX14" s="80"/>
      <c r="AY14" s="80"/>
      <c r="AZ14" s="80"/>
      <c r="BA14" s="80"/>
      <c r="BB14" s="80"/>
      <c r="BC14" s="80"/>
    </row>
    <row r="15" spans="1:55" s="111" customFormat="1" ht="76.5" x14ac:dyDescent="0.25">
      <c r="A15" s="110"/>
      <c r="C15" s="110"/>
      <c r="D15" s="243"/>
      <c r="E15" s="79"/>
      <c r="F15" s="84" t="s">
        <v>666</v>
      </c>
      <c r="G15" s="84" t="s">
        <v>309</v>
      </c>
      <c r="H15" s="42" t="s">
        <v>415</v>
      </c>
      <c r="I15" s="113" t="s">
        <v>416</v>
      </c>
      <c r="J15" s="113" t="s">
        <v>417</v>
      </c>
      <c r="K15" s="103" t="s">
        <v>667</v>
      </c>
      <c r="L15" s="103" t="s">
        <v>668</v>
      </c>
      <c r="M15" s="104"/>
      <c r="N15" s="104"/>
      <c r="O15" s="84" t="s">
        <v>669</v>
      </c>
      <c r="P15" s="103" t="s">
        <v>670</v>
      </c>
      <c r="Q15" s="85"/>
      <c r="R15" s="85"/>
      <c r="S15" s="84" t="s">
        <v>310</v>
      </c>
      <c r="T15" s="84" t="s">
        <v>311</v>
      </c>
      <c r="U15" s="84"/>
      <c r="V15" s="110"/>
      <c r="W15" s="112"/>
      <c r="X15" s="84"/>
      <c r="Y15" s="84"/>
      <c r="Z15" s="110"/>
      <c r="AA15" s="80" t="s">
        <v>292</v>
      </c>
      <c r="AB15" s="80" t="s">
        <v>624</v>
      </c>
      <c r="AC15" s="80" t="s">
        <v>625</v>
      </c>
      <c r="AD15" s="123"/>
      <c r="AE15" s="80"/>
      <c r="AF15" s="80"/>
      <c r="AH15" s="78"/>
      <c r="AI15" s="80"/>
      <c r="AJ15" s="80"/>
      <c r="AK15" s="80"/>
      <c r="AL15" s="80"/>
      <c r="AM15" s="80"/>
      <c r="AN15" s="80"/>
      <c r="AO15" s="80"/>
      <c r="AP15" s="80"/>
      <c r="AQ15" s="80"/>
      <c r="AR15" s="80"/>
      <c r="AS15" s="80"/>
      <c r="AT15" s="80"/>
      <c r="AU15" s="80"/>
      <c r="AV15" s="80"/>
      <c r="AW15" s="80"/>
      <c r="AX15" s="80"/>
      <c r="AY15" s="80"/>
      <c r="AZ15" s="80"/>
      <c r="BA15" s="80"/>
      <c r="BB15" s="80"/>
      <c r="BC15" s="80"/>
    </row>
    <row r="16" spans="1:55" s="111" customFormat="1" ht="76.5" x14ac:dyDescent="0.25">
      <c r="A16" s="110"/>
      <c r="C16" s="110"/>
      <c r="D16" s="243"/>
      <c r="E16" s="79"/>
      <c r="F16" s="84" t="s">
        <v>671</v>
      </c>
      <c r="G16" s="84" t="s">
        <v>309</v>
      </c>
      <c r="H16" s="42" t="s">
        <v>415</v>
      </c>
      <c r="I16" s="113" t="s">
        <v>416</v>
      </c>
      <c r="J16" s="113" t="s">
        <v>417</v>
      </c>
      <c r="K16" s="103" t="s">
        <v>672</v>
      </c>
      <c r="L16" s="103" t="s">
        <v>673</v>
      </c>
      <c r="M16" s="104"/>
      <c r="N16" s="104"/>
      <c r="O16" s="84" t="s">
        <v>674</v>
      </c>
      <c r="P16" s="103" t="s">
        <v>675</v>
      </c>
      <c r="Q16" s="85"/>
      <c r="R16" s="85"/>
      <c r="S16" s="84" t="s">
        <v>310</v>
      </c>
      <c r="T16" s="84" t="s">
        <v>311</v>
      </c>
      <c r="U16" s="84"/>
      <c r="V16" s="110"/>
      <c r="W16" s="112"/>
      <c r="X16" s="84"/>
      <c r="Y16" s="84"/>
      <c r="Z16" s="110"/>
      <c r="AA16" s="80" t="s">
        <v>292</v>
      </c>
      <c r="AB16" s="80" t="s">
        <v>624</v>
      </c>
      <c r="AC16" s="80" t="s">
        <v>625</v>
      </c>
      <c r="AD16" s="123"/>
      <c r="AE16" s="80"/>
      <c r="AF16" s="80"/>
      <c r="AH16" s="78"/>
      <c r="AI16" s="80"/>
      <c r="AJ16" s="80"/>
      <c r="AK16" s="80"/>
      <c r="AL16" s="80"/>
      <c r="AM16" s="80"/>
      <c r="AN16" s="80"/>
      <c r="AO16" s="80"/>
      <c r="AP16" s="80"/>
      <c r="AQ16" s="80"/>
      <c r="AR16" s="80"/>
      <c r="AS16" s="80"/>
      <c r="AT16" s="80"/>
      <c r="AU16" s="80"/>
      <c r="AV16" s="80"/>
      <c r="AW16" s="80"/>
      <c r="AX16" s="80"/>
      <c r="AY16" s="80"/>
      <c r="AZ16" s="80"/>
      <c r="BA16" s="80"/>
      <c r="BB16" s="80"/>
      <c r="BC16" s="80"/>
    </row>
    <row r="17" spans="1:55" s="111" customFormat="1" ht="76.5" x14ac:dyDescent="0.25">
      <c r="A17" s="110"/>
      <c r="C17" s="110"/>
      <c r="D17" s="243"/>
      <c r="E17" s="79"/>
      <c r="F17" s="84" t="s">
        <v>676</v>
      </c>
      <c r="G17" s="84" t="s">
        <v>309</v>
      </c>
      <c r="H17" s="42" t="s">
        <v>415</v>
      </c>
      <c r="I17" s="113" t="s">
        <v>416</v>
      </c>
      <c r="J17" s="113" t="s">
        <v>417</v>
      </c>
      <c r="K17" s="103" t="s">
        <v>677</v>
      </c>
      <c r="L17" s="103" t="s">
        <v>677</v>
      </c>
      <c r="M17" s="104"/>
      <c r="N17" s="104"/>
      <c r="O17" s="84" t="s">
        <v>678</v>
      </c>
      <c r="P17" s="103" t="s">
        <v>679</v>
      </c>
      <c r="Q17" s="85"/>
      <c r="R17" s="85"/>
      <c r="S17" s="84" t="s">
        <v>310</v>
      </c>
      <c r="T17" s="84" t="s">
        <v>311</v>
      </c>
      <c r="U17" s="84"/>
      <c r="V17" s="110"/>
      <c r="W17" s="112"/>
      <c r="X17" s="84"/>
      <c r="Y17" s="84"/>
      <c r="Z17" s="110"/>
      <c r="AA17" s="80" t="s">
        <v>292</v>
      </c>
      <c r="AB17" s="80" t="s">
        <v>624</v>
      </c>
      <c r="AC17" s="80" t="s">
        <v>625</v>
      </c>
      <c r="AD17" s="123"/>
      <c r="AE17" s="80"/>
      <c r="AF17" s="80"/>
      <c r="AH17" s="78"/>
      <c r="AI17" s="80"/>
      <c r="AJ17" s="80"/>
      <c r="AK17" s="80"/>
      <c r="AL17" s="80"/>
      <c r="AM17" s="80"/>
      <c r="AN17" s="80"/>
      <c r="AO17" s="80"/>
      <c r="AP17" s="80"/>
      <c r="AQ17" s="80"/>
      <c r="AR17" s="80"/>
      <c r="AS17" s="80"/>
      <c r="AT17" s="80"/>
      <c r="AU17" s="80"/>
      <c r="AV17" s="80"/>
      <c r="AW17" s="80"/>
      <c r="AX17" s="80"/>
      <c r="AY17" s="80"/>
      <c r="AZ17" s="80"/>
      <c r="BA17" s="80"/>
      <c r="BB17" s="80"/>
      <c r="BC17" s="80"/>
    </row>
    <row r="18" spans="1:55" s="111" customFormat="1" ht="76.5" x14ac:dyDescent="0.25">
      <c r="A18" s="110"/>
      <c r="C18" s="110"/>
      <c r="D18" s="243"/>
      <c r="E18" s="79"/>
      <c r="F18" s="84" t="s">
        <v>680</v>
      </c>
      <c r="G18" s="84" t="s">
        <v>309</v>
      </c>
      <c r="H18" s="42" t="s">
        <v>415</v>
      </c>
      <c r="I18" s="113" t="s">
        <v>416</v>
      </c>
      <c r="J18" s="113" t="s">
        <v>417</v>
      </c>
      <c r="K18" s="103" t="s">
        <v>681</v>
      </c>
      <c r="L18" s="103" t="s">
        <v>682</v>
      </c>
      <c r="M18" s="104"/>
      <c r="N18" s="104"/>
      <c r="O18" s="84" t="s">
        <v>683</v>
      </c>
      <c r="P18" s="103" t="s">
        <v>684</v>
      </c>
      <c r="Q18" s="85"/>
      <c r="R18" s="85"/>
      <c r="S18" s="84" t="s">
        <v>310</v>
      </c>
      <c r="T18" s="84" t="s">
        <v>311</v>
      </c>
      <c r="U18" s="84"/>
      <c r="V18" s="110"/>
      <c r="W18" s="112"/>
      <c r="X18" s="84"/>
      <c r="Y18" s="84"/>
      <c r="Z18" s="110"/>
      <c r="AA18" s="80" t="s">
        <v>292</v>
      </c>
      <c r="AB18" s="80" t="s">
        <v>624</v>
      </c>
      <c r="AC18" s="80" t="s">
        <v>625</v>
      </c>
      <c r="AD18" s="123"/>
      <c r="AE18" s="80"/>
      <c r="AF18" s="80"/>
      <c r="AH18" s="78"/>
      <c r="AI18" s="80"/>
      <c r="AJ18" s="80"/>
      <c r="AK18" s="80"/>
      <c r="AL18" s="80"/>
      <c r="AM18" s="80"/>
      <c r="AN18" s="80"/>
      <c r="AO18" s="80"/>
      <c r="AP18" s="80"/>
      <c r="AQ18" s="80"/>
      <c r="AR18" s="80"/>
      <c r="AS18" s="80"/>
      <c r="AT18" s="80"/>
      <c r="AU18" s="80"/>
      <c r="AV18" s="80"/>
      <c r="AW18" s="80"/>
      <c r="AX18" s="80"/>
      <c r="AY18" s="80"/>
      <c r="AZ18" s="80"/>
      <c r="BA18" s="80"/>
      <c r="BB18" s="80"/>
      <c r="BC18" s="80"/>
    </row>
    <row r="19" spans="1:55" s="111" customFormat="1" ht="76.5" x14ac:dyDescent="0.25">
      <c r="A19" s="110"/>
      <c r="C19" s="110"/>
      <c r="D19" s="243"/>
      <c r="E19" s="79"/>
      <c r="F19" s="84" t="s">
        <v>685</v>
      </c>
      <c r="G19" s="84" t="s">
        <v>312</v>
      </c>
      <c r="H19" s="42" t="s">
        <v>464</v>
      </c>
      <c r="I19" s="113" t="s">
        <v>465</v>
      </c>
      <c r="J19" s="113" t="s">
        <v>466</v>
      </c>
      <c r="K19" s="103" t="s">
        <v>686</v>
      </c>
      <c r="L19" s="103" t="s">
        <v>687</v>
      </c>
      <c r="M19" s="104"/>
      <c r="N19" s="104"/>
      <c r="O19" s="84" t="s">
        <v>688</v>
      </c>
      <c r="P19" s="103" t="s">
        <v>687</v>
      </c>
      <c r="Q19" s="85"/>
      <c r="R19" s="85"/>
      <c r="S19" s="84" t="s">
        <v>310</v>
      </c>
      <c r="T19" s="84" t="s">
        <v>311</v>
      </c>
      <c r="U19" s="84"/>
      <c r="V19" s="110"/>
      <c r="W19" s="112"/>
      <c r="X19" s="84"/>
      <c r="Y19" s="84"/>
      <c r="Z19" s="110"/>
      <c r="AA19" s="80" t="s">
        <v>292</v>
      </c>
      <c r="AB19" s="80" t="s">
        <v>624</v>
      </c>
      <c r="AC19" s="80" t="s">
        <v>625</v>
      </c>
      <c r="AD19" s="123"/>
      <c r="AE19" s="80"/>
      <c r="AF19" s="80"/>
      <c r="AH19" s="78"/>
      <c r="AI19" s="80"/>
      <c r="AJ19" s="80"/>
      <c r="AK19" s="80"/>
      <c r="AL19" s="80"/>
      <c r="AM19" s="80"/>
      <c r="AN19" s="80"/>
      <c r="AO19" s="80"/>
      <c r="AP19" s="80"/>
      <c r="AQ19" s="80"/>
      <c r="AR19" s="80"/>
      <c r="AS19" s="80"/>
      <c r="AT19" s="80"/>
      <c r="AU19" s="80"/>
      <c r="AV19" s="80"/>
      <c r="AW19" s="80"/>
      <c r="AX19" s="80"/>
      <c r="AY19" s="80"/>
      <c r="AZ19" s="80"/>
      <c r="BA19" s="80"/>
      <c r="BB19" s="80"/>
      <c r="BC19" s="80"/>
    </row>
    <row r="20" spans="1:55" s="111" customFormat="1" ht="63.75" x14ac:dyDescent="0.25">
      <c r="A20" s="110"/>
      <c r="C20" s="110"/>
      <c r="D20" s="243"/>
      <c r="E20" s="79"/>
      <c r="F20" s="84" t="s">
        <v>689</v>
      </c>
      <c r="G20" s="84" t="s">
        <v>313</v>
      </c>
      <c r="H20" s="42" t="s">
        <v>446</v>
      </c>
      <c r="I20" s="113" t="s">
        <v>447</v>
      </c>
      <c r="J20" s="113" t="s">
        <v>448</v>
      </c>
      <c r="K20" s="103" t="s">
        <v>690</v>
      </c>
      <c r="L20" s="103" t="s">
        <v>691</v>
      </c>
      <c r="M20" s="104"/>
      <c r="N20" s="104"/>
      <c r="O20" s="84" t="s">
        <v>692</v>
      </c>
      <c r="P20" s="103" t="s">
        <v>693</v>
      </c>
      <c r="Q20" s="85"/>
      <c r="R20" s="85"/>
      <c r="S20" s="84" t="s">
        <v>314</v>
      </c>
      <c r="T20" s="84" t="s">
        <v>694</v>
      </c>
      <c r="U20" s="84"/>
      <c r="V20" s="110"/>
      <c r="W20" s="112"/>
      <c r="X20" s="84"/>
      <c r="Y20" s="84" t="s">
        <v>886</v>
      </c>
      <c r="Z20" s="110"/>
      <c r="AA20" s="80" t="s">
        <v>292</v>
      </c>
      <c r="AB20" s="80" t="s">
        <v>624</v>
      </c>
      <c r="AC20" s="80" t="s">
        <v>625</v>
      </c>
      <c r="AD20" s="123"/>
      <c r="AE20" s="80"/>
      <c r="AF20" s="80"/>
      <c r="AH20" s="78"/>
      <c r="AI20" s="80"/>
      <c r="AJ20" s="80"/>
      <c r="AK20" s="80"/>
      <c r="AL20" s="80"/>
      <c r="AM20" s="80"/>
      <c r="AN20" s="80"/>
      <c r="AO20" s="80"/>
      <c r="AP20" s="80"/>
      <c r="AQ20" s="80"/>
      <c r="AR20" s="80"/>
      <c r="AS20" s="80"/>
      <c r="AT20" s="80"/>
      <c r="AU20" s="80"/>
      <c r="AV20" s="80"/>
      <c r="AW20" s="80"/>
      <c r="AX20" s="80"/>
      <c r="AY20" s="80"/>
      <c r="AZ20" s="80"/>
      <c r="BA20" s="80"/>
      <c r="BB20" s="80"/>
      <c r="BC20" s="80"/>
    </row>
    <row r="21" spans="1:55" s="111" customFormat="1" ht="63.75" x14ac:dyDescent="0.25">
      <c r="A21" s="110"/>
      <c r="C21" s="110"/>
      <c r="D21" s="243"/>
      <c r="E21" s="79"/>
      <c r="F21" s="84" t="s">
        <v>695</v>
      </c>
      <c r="G21" s="84" t="s">
        <v>313</v>
      </c>
      <c r="H21" s="42" t="s">
        <v>446</v>
      </c>
      <c r="I21" s="113" t="s">
        <v>447</v>
      </c>
      <c r="J21" s="113" t="s">
        <v>448</v>
      </c>
      <c r="K21" s="103" t="s">
        <v>696</v>
      </c>
      <c r="L21" s="103" t="s">
        <v>697</v>
      </c>
      <c r="M21" s="104"/>
      <c r="N21" s="104"/>
      <c r="O21" s="84" t="s">
        <v>698</v>
      </c>
      <c r="P21" s="103" t="s">
        <v>699</v>
      </c>
      <c r="Q21" s="85"/>
      <c r="R21" s="85"/>
      <c r="S21" s="84" t="s">
        <v>314</v>
      </c>
      <c r="T21" s="84" t="s">
        <v>700</v>
      </c>
      <c r="U21" s="84"/>
      <c r="V21" s="110"/>
      <c r="W21" s="112"/>
      <c r="X21" s="84"/>
      <c r="Y21" s="84" t="s">
        <v>887</v>
      </c>
      <c r="Z21" s="110"/>
      <c r="AA21" s="80" t="s">
        <v>292</v>
      </c>
      <c r="AB21" s="80" t="s">
        <v>624</v>
      </c>
      <c r="AC21" s="80" t="s">
        <v>625</v>
      </c>
      <c r="AD21" s="123"/>
      <c r="AE21" s="80"/>
      <c r="AF21" s="80"/>
      <c r="AH21" s="114"/>
      <c r="AI21" s="80"/>
      <c r="AJ21" s="80"/>
      <c r="AK21" s="80"/>
      <c r="AL21" s="80"/>
      <c r="AM21" s="80"/>
      <c r="AN21" s="80"/>
      <c r="AO21" s="80"/>
      <c r="AP21" s="80"/>
      <c r="AQ21" s="80"/>
      <c r="AR21" s="80"/>
      <c r="AS21" s="80"/>
      <c r="AT21" s="80"/>
      <c r="AU21" s="80"/>
      <c r="AV21" s="80"/>
      <c r="AW21" s="80"/>
      <c r="AX21" s="80"/>
      <c r="AY21" s="80"/>
      <c r="AZ21" s="80"/>
      <c r="BA21" s="80"/>
      <c r="BB21" s="80"/>
      <c r="BC21" s="80"/>
    </row>
    <row r="22" spans="1:55" s="111" customFormat="1" ht="63.75" x14ac:dyDescent="0.25">
      <c r="A22" s="110"/>
      <c r="C22" s="110"/>
      <c r="D22" s="243"/>
      <c r="E22" s="79"/>
      <c r="F22" s="84" t="s">
        <v>701</v>
      </c>
      <c r="G22" s="84" t="s">
        <v>313</v>
      </c>
      <c r="H22" s="42" t="s">
        <v>446</v>
      </c>
      <c r="I22" s="113" t="s">
        <v>447</v>
      </c>
      <c r="J22" s="113" t="s">
        <v>448</v>
      </c>
      <c r="K22" s="103" t="s">
        <v>702</v>
      </c>
      <c r="L22" s="103" t="s">
        <v>703</v>
      </c>
      <c r="M22" s="104"/>
      <c r="N22" s="104"/>
      <c r="O22" s="84" t="s">
        <v>704</v>
      </c>
      <c r="P22" s="103" t="s">
        <v>705</v>
      </c>
      <c r="Q22" s="85"/>
      <c r="R22" s="85"/>
      <c r="S22" s="84" t="s">
        <v>315</v>
      </c>
      <c r="T22" s="84" t="s">
        <v>494</v>
      </c>
      <c r="U22" s="84"/>
      <c r="V22" s="110"/>
      <c r="W22" s="112"/>
      <c r="X22" s="84"/>
      <c r="Y22" s="84"/>
      <c r="Z22" s="110"/>
      <c r="AA22" s="80" t="s">
        <v>292</v>
      </c>
      <c r="AB22" s="80" t="s">
        <v>624</v>
      </c>
      <c r="AC22" s="80" t="s">
        <v>625</v>
      </c>
      <c r="AD22" s="123"/>
      <c r="AE22" s="80"/>
      <c r="AF22" s="80"/>
      <c r="AH22" s="114"/>
      <c r="AI22" s="80"/>
      <c r="AJ22" s="80"/>
      <c r="AK22" s="80"/>
      <c r="AL22" s="80"/>
      <c r="AM22" s="80"/>
      <c r="AN22" s="80"/>
      <c r="AO22" s="80"/>
      <c r="AP22" s="80"/>
      <c r="AQ22" s="80"/>
      <c r="AR22" s="80"/>
      <c r="AS22" s="80"/>
      <c r="AT22" s="80"/>
      <c r="AU22" s="80"/>
      <c r="AV22" s="80"/>
      <c r="AW22" s="80"/>
      <c r="AX22" s="80"/>
      <c r="AY22" s="80"/>
      <c r="AZ22" s="80"/>
      <c r="BA22" s="80"/>
      <c r="BB22" s="80"/>
      <c r="BC22" s="80"/>
    </row>
    <row r="23" spans="1:55" s="111" customFormat="1" ht="63.75" x14ac:dyDescent="0.25">
      <c r="A23" s="110"/>
      <c r="C23" s="110"/>
      <c r="D23" s="243"/>
      <c r="E23" s="79"/>
      <c r="F23" s="84" t="s">
        <v>706</v>
      </c>
      <c r="G23" s="84" t="s">
        <v>313</v>
      </c>
      <c r="H23" s="42" t="s">
        <v>446</v>
      </c>
      <c r="I23" s="113" t="s">
        <v>447</v>
      </c>
      <c r="J23" s="113" t="s">
        <v>448</v>
      </c>
      <c r="K23" s="103" t="s">
        <v>707</v>
      </c>
      <c r="L23" s="103" t="s">
        <v>708</v>
      </c>
      <c r="M23" s="104"/>
      <c r="N23" s="104"/>
      <c r="O23" s="84" t="s">
        <v>709</v>
      </c>
      <c r="P23" s="103" t="s">
        <v>710</v>
      </c>
      <c r="Q23" s="85"/>
      <c r="R23" s="85"/>
      <c r="S23" s="84" t="s">
        <v>314</v>
      </c>
      <c r="T23" s="84" t="s">
        <v>328</v>
      </c>
      <c r="U23" s="84"/>
      <c r="V23" s="110"/>
      <c r="W23" s="112"/>
      <c r="X23" s="84"/>
      <c r="Y23" s="84" t="s">
        <v>888</v>
      </c>
      <c r="Z23" s="110"/>
      <c r="AA23" s="80" t="s">
        <v>292</v>
      </c>
      <c r="AB23" s="80" t="s">
        <v>624</v>
      </c>
      <c r="AC23" s="80" t="s">
        <v>625</v>
      </c>
      <c r="AD23" s="123"/>
      <c r="AE23" s="80"/>
      <c r="AF23" s="80"/>
      <c r="AH23" s="114"/>
      <c r="AI23" s="80"/>
      <c r="AJ23" s="80"/>
      <c r="AK23" s="80"/>
      <c r="AL23" s="80"/>
      <c r="AM23" s="80"/>
      <c r="AN23" s="80"/>
      <c r="AO23" s="80"/>
      <c r="AP23" s="80"/>
      <c r="AQ23" s="80"/>
      <c r="AR23" s="80"/>
      <c r="AS23" s="80"/>
      <c r="AT23" s="80"/>
      <c r="AU23" s="80"/>
      <c r="AV23" s="80"/>
      <c r="AW23" s="80"/>
      <c r="AX23" s="80"/>
      <c r="AY23" s="80"/>
      <c r="AZ23" s="80"/>
      <c r="BA23" s="80"/>
      <c r="BB23" s="80"/>
      <c r="BC23" s="80"/>
    </row>
    <row r="24" spans="1:55" s="111" customFormat="1" ht="114.75" x14ac:dyDescent="0.25">
      <c r="A24" s="110"/>
      <c r="C24" s="110"/>
      <c r="D24" s="243"/>
      <c r="E24" s="79"/>
      <c r="F24" s="84" t="s">
        <v>711</v>
      </c>
      <c r="G24" s="84" t="s">
        <v>317</v>
      </c>
      <c r="H24" s="42" t="s">
        <v>474</v>
      </c>
      <c r="I24" s="113" t="s">
        <v>475</v>
      </c>
      <c r="J24" s="113" t="s">
        <v>476</v>
      </c>
      <c r="K24" s="103" t="s">
        <v>712</v>
      </c>
      <c r="L24" s="103" t="s">
        <v>713</v>
      </c>
      <c r="M24" s="104"/>
      <c r="N24" s="104"/>
      <c r="O24" s="84" t="s">
        <v>714</v>
      </c>
      <c r="P24" s="103" t="s">
        <v>715</v>
      </c>
      <c r="Q24" s="85"/>
      <c r="R24" s="85"/>
      <c r="S24" s="84" t="s">
        <v>315</v>
      </c>
      <c r="T24" s="84" t="s">
        <v>494</v>
      </c>
      <c r="U24" s="84"/>
      <c r="V24" s="110"/>
      <c r="W24" s="112"/>
      <c r="X24" s="84"/>
      <c r="Y24" s="84"/>
      <c r="Z24" s="110"/>
      <c r="AA24" s="80" t="s">
        <v>292</v>
      </c>
      <c r="AB24" s="80" t="s">
        <v>624</v>
      </c>
      <c r="AC24" s="80" t="s">
        <v>625</v>
      </c>
      <c r="AD24" s="123"/>
      <c r="AE24" s="80"/>
      <c r="AF24" s="80"/>
      <c r="AH24" s="114"/>
      <c r="AI24" s="80"/>
      <c r="AJ24" s="80"/>
      <c r="AK24" s="80"/>
      <c r="AL24" s="80"/>
      <c r="AM24" s="80"/>
      <c r="AN24" s="80"/>
      <c r="AO24" s="80"/>
      <c r="AP24" s="80"/>
      <c r="AQ24" s="80"/>
      <c r="AR24" s="80"/>
      <c r="AS24" s="80"/>
      <c r="AT24" s="80"/>
      <c r="AU24" s="80"/>
      <c r="AV24" s="80"/>
      <c r="AW24" s="80"/>
      <c r="AX24" s="80"/>
      <c r="AY24" s="80"/>
      <c r="AZ24" s="80"/>
      <c r="BA24" s="80"/>
      <c r="BB24" s="80"/>
      <c r="BC24" s="80"/>
    </row>
    <row r="25" spans="1:55" s="111" customFormat="1" ht="76.5" x14ac:dyDescent="0.25">
      <c r="A25" s="110"/>
      <c r="C25" s="110"/>
      <c r="D25" s="243"/>
      <c r="E25" s="79"/>
      <c r="F25" s="84" t="s">
        <v>716</v>
      </c>
      <c r="G25" s="84" t="s">
        <v>312</v>
      </c>
      <c r="H25" s="42" t="s">
        <v>464</v>
      </c>
      <c r="I25" s="113" t="s">
        <v>465</v>
      </c>
      <c r="J25" s="113" t="s">
        <v>466</v>
      </c>
      <c r="K25" s="103" t="s">
        <v>717</v>
      </c>
      <c r="L25" s="103" t="s">
        <v>718</v>
      </c>
      <c r="M25" s="104"/>
      <c r="N25" s="104"/>
      <c r="O25" s="84" t="s">
        <v>719</v>
      </c>
      <c r="P25" s="103" t="s">
        <v>720</v>
      </c>
      <c r="Q25" s="85"/>
      <c r="R25" s="85"/>
      <c r="S25" s="84" t="s">
        <v>310</v>
      </c>
      <c r="T25" s="84" t="s">
        <v>311</v>
      </c>
      <c r="U25" s="84"/>
      <c r="V25" s="110"/>
      <c r="W25" s="112"/>
      <c r="X25" s="84"/>
      <c r="Y25" s="84"/>
      <c r="Z25" s="110"/>
      <c r="AA25" s="80" t="s">
        <v>292</v>
      </c>
      <c r="AB25" s="80" t="s">
        <v>624</v>
      </c>
      <c r="AC25" s="80" t="s">
        <v>625</v>
      </c>
      <c r="AD25" s="89"/>
      <c r="AE25" s="80"/>
      <c r="AF25" s="80"/>
      <c r="AH25" s="114"/>
      <c r="AI25" s="80"/>
      <c r="AJ25" s="80"/>
      <c r="AK25" s="80"/>
      <c r="AL25" s="80"/>
      <c r="AM25" s="80"/>
      <c r="AN25" s="80"/>
      <c r="AO25" s="80"/>
      <c r="AP25" s="80"/>
      <c r="AQ25" s="80"/>
      <c r="AR25" s="80"/>
      <c r="AS25" s="80"/>
      <c r="AT25" s="80"/>
      <c r="AU25" s="80"/>
      <c r="AV25" s="80"/>
      <c r="AW25" s="80"/>
      <c r="AX25" s="80"/>
      <c r="AY25" s="80"/>
      <c r="AZ25" s="80"/>
      <c r="BA25" s="80"/>
      <c r="BB25" s="80"/>
      <c r="BC25" s="80"/>
    </row>
    <row r="26" spans="1:55" s="111" customFormat="1" ht="76.5" x14ac:dyDescent="0.25">
      <c r="A26" s="110"/>
      <c r="C26" s="110"/>
      <c r="D26" s="243"/>
      <c r="E26" s="79"/>
      <c r="F26" s="84" t="s">
        <v>721</v>
      </c>
      <c r="G26" s="84" t="s">
        <v>312</v>
      </c>
      <c r="H26" s="42" t="s">
        <v>464</v>
      </c>
      <c r="I26" s="113" t="s">
        <v>465</v>
      </c>
      <c r="J26" s="113" t="s">
        <v>466</v>
      </c>
      <c r="K26" s="103" t="s">
        <v>722</v>
      </c>
      <c r="L26" s="103" t="s">
        <v>723</v>
      </c>
      <c r="M26" s="104"/>
      <c r="N26" s="104"/>
      <c r="O26" s="84" t="s">
        <v>724</v>
      </c>
      <c r="P26" s="103" t="s">
        <v>725</v>
      </c>
      <c r="Q26" s="85"/>
      <c r="R26" s="85"/>
      <c r="S26" s="84" t="s">
        <v>315</v>
      </c>
      <c r="T26" s="84" t="s">
        <v>494</v>
      </c>
      <c r="U26" s="84"/>
      <c r="V26" s="110"/>
      <c r="W26" s="112"/>
      <c r="X26" s="84"/>
      <c r="Y26" s="84"/>
      <c r="Z26" s="110"/>
      <c r="AA26" s="80" t="s">
        <v>292</v>
      </c>
      <c r="AB26" s="80" t="s">
        <v>624</v>
      </c>
      <c r="AC26" s="80" t="s">
        <v>625</v>
      </c>
      <c r="AD26" s="89"/>
      <c r="AE26" s="80"/>
      <c r="AF26" s="80"/>
      <c r="AH26" s="114"/>
      <c r="AI26" s="80"/>
      <c r="AJ26" s="80"/>
      <c r="AK26" s="80"/>
      <c r="AL26" s="80"/>
      <c r="AM26" s="80"/>
      <c r="AN26" s="80"/>
      <c r="AO26" s="80"/>
      <c r="AP26" s="80"/>
      <c r="AQ26" s="80"/>
      <c r="AR26" s="80"/>
      <c r="AS26" s="80"/>
      <c r="AT26" s="80"/>
      <c r="AU26" s="80"/>
      <c r="AV26" s="80"/>
      <c r="AW26" s="80"/>
      <c r="AX26" s="80"/>
      <c r="AY26" s="80"/>
      <c r="AZ26" s="80"/>
      <c r="BA26" s="80"/>
      <c r="BB26" s="80"/>
      <c r="BC26" s="80"/>
    </row>
    <row r="27" spans="1:55" s="111" customFormat="1" ht="63.75" x14ac:dyDescent="0.25">
      <c r="A27" s="110"/>
      <c r="C27" s="110"/>
      <c r="D27" s="243"/>
      <c r="E27" s="79"/>
      <c r="F27" s="84" t="s">
        <v>726</v>
      </c>
      <c r="G27" s="84" t="s">
        <v>318</v>
      </c>
      <c r="H27" s="42" t="s">
        <v>482</v>
      </c>
      <c r="I27" s="113" t="s">
        <v>483</v>
      </c>
      <c r="J27" s="113" t="s">
        <v>484</v>
      </c>
      <c r="K27" s="103" t="s">
        <v>727</v>
      </c>
      <c r="L27" s="103" t="s">
        <v>728</v>
      </c>
      <c r="M27" s="104"/>
      <c r="N27" s="104"/>
      <c r="O27" s="84" t="s">
        <v>729</v>
      </c>
      <c r="P27" s="103" t="s">
        <v>730</v>
      </c>
      <c r="Q27" s="85"/>
      <c r="R27" s="85"/>
      <c r="S27" s="84" t="s">
        <v>315</v>
      </c>
      <c r="T27" s="84" t="s">
        <v>494</v>
      </c>
      <c r="U27" s="84"/>
      <c r="V27" s="110"/>
      <c r="W27" s="112"/>
      <c r="X27" s="84"/>
      <c r="Y27" s="84"/>
      <c r="Z27" s="110"/>
      <c r="AA27" s="80" t="s">
        <v>292</v>
      </c>
      <c r="AB27" s="80" t="s">
        <v>624</v>
      </c>
      <c r="AC27" s="80" t="s">
        <v>625</v>
      </c>
      <c r="AD27" s="89"/>
      <c r="AE27" s="80"/>
      <c r="AF27" s="80"/>
      <c r="AH27" s="114"/>
      <c r="AI27" s="80"/>
      <c r="AJ27" s="80"/>
      <c r="AK27" s="80"/>
      <c r="AL27" s="80"/>
      <c r="AM27" s="80"/>
      <c r="AN27" s="80"/>
      <c r="AO27" s="80"/>
      <c r="AP27" s="80"/>
      <c r="AQ27" s="80"/>
      <c r="AR27" s="80"/>
      <c r="AS27" s="80"/>
      <c r="AT27" s="80"/>
      <c r="AU27" s="80"/>
      <c r="AV27" s="80"/>
      <c r="AW27" s="80"/>
      <c r="AX27" s="80"/>
      <c r="AY27" s="80"/>
      <c r="AZ27" s="80"/>
      <c r="BA27" s="80"/>
      <c r="BB27" s="80"/>
      <c r="BC27" s="80"/>
    </row>
    <row r="28" spans="1:55" s="111" customFormat="1" ht="63.75" x14ac:dyDescent="0.25">
      <c r="A28" s="110"/>
      <c r="C28" s="110"/>
      <c r="D28" s="243"/>
      <c r="E28" s="79"/>
      <c r="F28" s="84" t="s">
        <v>731</v>
      </c>
      <c r="G28" s="84" t="s">
        <v>318</v>
      </c>
      <c r="H28" s="42" t="s">
        <v>482</v>
      </c>
      <c r="I28" s="113" t="s">
        <v>483</v>
      </c>
      <c r="J28" s="113" t="s">
        <v>484</v>
      </c>
      <c r="K28" s="103" t="s">
        <v>732</v>
      </c>
      <c r="L28" s="103" t="s">
        <v>733</v>
      </c>
      <c r="M28" s="104"/>
      <c r="N28" s="104"/>
      <c r="O28" s="84" t="s">
        <v>734</v>
      </c>
      <c r="P28" s="103" t="s">
        <v>735</v>
      </c>
      <c r="Q28" s="85"/>
      <c r="R28" s="85"/>
      <c r="S28" s="84" t="s">
        <v>315</v>
      </c>
      <c r="T28" s="84" t="s">
        <v>494</v>
      </c>
      <c r="U28" s="84"/>
      <c r="V28" s="110"/>
      <c r="W28" s="112"/>
      <c r="X28" s="84"/>
      <c r="Y28" s="84"/>
      <c r="Z28" s="110"/>
      <c r="AA28" s="80" t="s">
        <v>292</v>
      </c>
      <c r="AB28" s="80" t="s">
        <v>624</v>
      </c>
      <c r="AC28" s="80" t="s">
        <v>625</v>
      </c>
      <c r="AD28" s="89"/>
      <c r="AE28" s="80"/>
      <c r="AF28" s="80"/>
      <c r="AH28" s="114"/>
      <c r="AI28" s="80"/>
      <c r="AJ28" s="80"/>
      <c r="AK28" s="80"/>
      <c r="AL28" s="80"/>
      <c r="AM28" s="80"/>
      <c r="AN28" s="80"/>
      <c r="AO28" s="80"/>
      <c r="AP28" s="80"/>
      <c r="AQ28" s="80"/>
      <c r="AR28" s="80"/>
      <c r="AS28" s="80"/>
      <c r="AT28" s="80"/>
      <c r="AU28" s="80"/>
      <c r="AV28" s="80"/>
      <c r="AW28" s="80"/>
      <c r="AX28" s="80"/>
      <c r="AY28" s="80"/>
      <c r="AZ28" s="80"/>
      <c r="BA28" s="80"/>
      <c r="BB28" s="80"/>
      <c r="BC28" s="80"/>
    </row>
    <row r="29" spans="1:55" s="111" customFormat="1" ht="76.5" x14ac:dyDescent="0.25">
      <c r="A29" s="110"/>
      <c r="C29" s="110"/>
      <c r="D29" s="243"/>
      <c r="E29" s="79"/>
      <c r="F29" s="84" t="s">
        <v>736</v>
      </c>
      <c r="G29" s="84" t="s">
        <v>312</v>
      </c>
      <c r="H29" s="42" t="s">
        <v>464</v>
      </c>
      <c r="I29" s="113" t="s">
        <v>465</v>
      </c>
      <c r="J29" s="113" t="s">
        <v>466</v>
      </c>
      <c r="K29" s="103" t="s">
        <v>737</v>
      </c>
      <c r="L29" s="103" t="s">
        <v>738</v>
      </c>
      <c r="M29" s="104"/>
      <c r="N29" s="104"/>
      <c r="O29" s="84" t="s">
        <v>739</v>
      </c>
      <c r="P29" s="103" t="s">
        <v>738</v>
      </c>
      <c r="Q29" s="85"/>
      <c r="R29" s="85"/>
      <c r="S29" s="84" t="s">
        <v>315</v>
      </c>
      <c r="T29" s="84" t="s">
        <v>494</v>
      </c>
      <c r="U29" s="84"/>
      <c r="V29" s="110"/>
      <c r="W29" s="112"/>
      <c r="X29" s="84"/>
      <c r="Y29" s="84"/>
      <c r="Z29" s="110"/>
      <c r="AA29" s="80" t="s">
        <v>292</v>
      </c>
      <c r="AB29" s="80" t="s">
        <v>624</v>
      </c>
      <c r="AC29" s="80" t="s">
        <v>625</v>
      </c>
      <c r="AD29" s="89"/>
      <c r="AE29" s="80"/>
      <c r="AF29" s="80"/>
      <c r="AH29" s="114"/>
      <c r="AI29" s="80"/>
      <c r="AJ29" s="80"/>
      <c r="AK29" s="80"/>
      <c r="AL29" s="80"/>
      <c r="AM29" s="80"/>
      <c r="AN29" s="80"/>
      <c r="AO29" s="80"/>
      <c r="AP29" s="80"/>
      <c r="AQ29" s="80"/>
      <c r="AR29" s="80"/>
      <c r="AS29" s="80"/>
      <c r="AT29" s="80"/>
      <c r="AU29" s="80"/>
      <c r="AV29" s="80"/>
      <c r="AW29" s="80"/>
      <c r="AX29" s="80"/>
      <c r="AY29" s="80"/>
      <c r="AZ29" s="80"/>
      <c r="BA29" s="80"/>
      <c r="BB29" s="80"/>
      <c r="BC29" s="80"/>
    </row>
    <row r="30" spans="1:55" s="111" customFormat="1" ht="76.5" x14ac:dyDescent="0.25">
      <c r="A30" s="110"/>
      <c r="C30" s="110"/>
      <c r="D30" s="243" t="s">
        <v>862</v>
      </c>
      <c r="E30" s="79"/>
      <c r="F30" s="84" t="s">
        <v>740</v>
      </c>
      <c r="G30" s="84" t="s">
        <v>309</v>
      </c>
      <c r="H30" s="42" t="s">
        <v>415</v>
      </c>
      <c r="I30" s="113" t="s">
        <v>416</v>
      </c>
      <c r="J30" s="113" t="s">
        <v>417</v>
      </c>
      <c r="K30" s="103" t="s">
        <v>741</v>
      </c>
      <c r="L30" s="103" t="s">
        <v>573</v>
      </c>
      <c r="M30" s="104"/>
      <c r="N30" s="104"/>
      <c r="O30" s="84" t="s">
        <v>742</v>
      </c>
      <c r="P30" s="103" t="s">
        <v>743</v>
      </c>
      <c r="Q30" s="85"/>
      <c r="R30" s="85"/>
      <c r="S30" s="84" t="s">
        <v>315</v>
      </c>
      <c r="T30" s="84" t="s">
        <v>316</v>
      </c>
      <c r="U30" s="84"/>
      <c r="V30" s="110"/>
      <c r="W30" s="112" t="s">
        <v>862</v>
      </c>
      <c r="X30" s="84" t="s">
        <v>889</v>
      </c>
      <c r="Y30" s="84"/>
      <c r="Z30" s="110"/>
      <c r="AA30" s="80" t="s">
        <v>292</v>
      </c>
      <c r="AB30" s="80" t="s">
        <v>624</v>
      </c>
      <c r="AC30" s="80" t="s">
        <v>625</v>
      </c>
      <c r="AD30" s="89"/>
      <c r="AE30" s="80"/>
      <c r="AF30" s="80"/>
      <c r="AH30" s="114"/>
      <c r="AI30" s="80"/>
      <c r="AJ30" s="80"/>
      <c r="AK30" s="80"/>
      <c r="AL30" s="80"/>
      <c r="AM30" s="80"/>
      <c r="AN30" s="80"/>
      <c r="AO30" s="80"/>
      <c r="AP30" s="80"/>
      <c r="AQ30" s="80"/>
      <c r="AR30" s="80"/>
      <c r="AS30" s="80"/>
      <c r="AT30" s="80"/>
      <c r="AU30" s="80"/>
      <c r="AV30" s="80"/>
      <c r="AW30" s="80"/>
      <c r="AX30" s="80"/>
      <c r="AY30" s="80"/>
      <c r="AZ30" s="80"/>
      <c r="BA30" s="80"/>
      <c r="BB30" s="80"/>
      <c r="BC30" s="80"/>
    </row>
    <row r="31" spans="1:55" s="111" customFormat="1" ht="76.5" x14ac:dyDescent="0.25">
      <c r="A31" s="110"/>
      <c r="C31" s="110"/>
      <c r="D31" s="243" t="s">
        <v>863</v>
      </c>
      <c r="E31" s="79"/>
      <c r="F31" s="84" t="s">
        <v>744</v>
      </c>
      <c r="G31" s="84" t="s">
        <v>312</v>
      </c>
      <c r="H31" s="42" t="s">
        <v>464</v>
      </c>
      <c r="I31" s="113" t="s">
        <v>465</v>
      </c>
      <c r="J31" s="113" t="s">
        <v>466</v>
      </c>
      <c r="K31" s="103" t="s">
        <v>745</v>
      </c>
      <c r="L31" s="103" t="s">
        <v>746</v>
      </c>
      <c r="M31" s="104"/>
      <c r="N31" s="104"/>
      <c r="O31" s="84" t="s">
        <v>747</v>
      </c>
      <c r="P31" s="103" t="s">
        <v>748</v>
      </c>
      <c r="Q31" s="85"/>
      <c r="R31" s="85"/>
      <c r="S31" s="84" t="s">
        <v>310</v>
      </c>
      <c r="T31" s="84" t="s">
        <v>311</v>
      </c>
      <c r="U31" s="84"/>
      <c r="V31" s="110"/>
      <c r="W31" s="112" t="s">
        <v>863</v>
      </c>
      <c r="X31" s="84" t="s">
        <v>890</v>
      </c>
      <c r="Y31" s="84"/>
      <c r="Z31" s="110"/>
      <c r="AA31" s="80" t="s">
        <v>292</v>
      </c>
      <c r="AB31" s="80" t="s">
        <v>624</v>
      </c>
      <c r="AC31" s="80" t="s">
        <v>625</v>
      </c>
      <c r="AD31" s="89"/>
      <c r="AE31" s="80"/>
      <c r="AF31" s="80"/>
      <c r="AH31" s="114"/>
      <c r="AI31" s="80"/>
      <c r="AJ31" s="80"/>
      <c r="AK31" s="80"/>
      <c r="AL31" s="80"/>
      <c r="AM31" s="80"/>
      <c r="AN31" s="80"/>
      <c r="AO31" s="80"/>
      <c r="AP31" s="80"/>
      <c r="AQ31" s="80"/>
      <c r="AR31" s="80"/>
      <c r="AS31" s="80"/>
      <c r="AT31" s="80"/>
      <c r="AU31" s="80"/>
      <c r="AV31" s="80"/>
      <c r="AW31" s="80"/>
      <c r="AX31" s="80"/>
      <c r="AY31" s="80"/>
      <c r="AZ31" s="80"/>
      <c r="BA31" s="80"/>
      <c r="BB31" s="80"/>
      <c r="BC31" s="80"/>
    </row>
    <row r="32" spans="1:55" s="111" customFormat="1" ht="63.75" x14ac:dyDescent="0.25">
      <c r="A32" s="110"/>
      <c r="C32" s="110"/>
      <c r="D32" s="243"/>
      <c r="E32" s="79"/>
      <c r="F32" s="84" t="s">
        <v>749</v>
      </c>
      <c r="G32" s="84" t="s">
        <v>319</v>
      </c>
      <c r="H32" s="42" t="s">
        <v>435</v>
      </c>
      <c r="I32" s="113" t="s">
        <v>436</v>
      </c>
      <c r="J32" s="113" t="s">
        <v>437</v>
      </c>
      <c r="K32" s="103" t="s">
        <v>750</v>
      </c>
      <c r="L32" s="103" t="s">
        <v>751</v>
      </c>
      <c r="M32" s="104"/>
      <c r="N32" s="104"/>
      <c r="O32" s="84" t="s">
        <v>752</v>
      </c>
      <c r="P32" s="103" t="s">
        <v>753</v>
      </c>
      <c r="Q32" s="85"/>
      <c r="R32" s="85"/>
      <c r="S32" s="84" t="s">
        <v>314</v>
      </c>
      <c r="T32" s="84" t="s">
        <v>320</v>
      </c>
      <c r="U32" s="84"/>
      <c r="V32" s="110"/>
      <c r="W32" s="112" t="s">
        <v>898</v>
      </c>
      <c r="X32" s="84" t="s">
        <v>890</v>
      </c>
      <c r="Y32" s="84" t="s">
        <v>891</v>
      </c>
      <c r="Z32" s="110"/>
      <c r="AA32" s="80" t="s">
        <v>292</v>
      </c>
      <c r="AB32" s="80" t="s">
        <v>624</v>
      </c>
      <c r="AC32" s="80" t="s">
        <v>625</v>
      </c>
      <c r="AD32" s="89"/>
      <c r="AE32" s="80"/>
      <c r="AF32" s="80"/>
      <c r="AH32" s="114"/>
      <c r="AI32" s="80"/>
      <c r="AJ32" s="80"/>
      <c r="AK32" s="80"/>
      <c r="AL32" s="80"/>
      <c r="AM32" s="80"/>
      <c r="AN32" s="80"/>
      <c r="AO32" s="80"/>
      <c r="AP32" s="80"/>
      <c r="AQ32" s="80"/>
      <c r="AR32" s="80"/>
      <c r="AS32" s="80"/>
      <c r="AT32" s="80"/>
      <c r="AU32" s="80"/>
      <c r="AV32" s="80"/>
      <c r="AW32" s="80"/>
      <c r="AX32" s="80"/>
      <c r="AY32" s="80"/>
      <c r="AZ32" s="80"/>
      <c r="BA32" s="80"/>
      <c r="BB32" s="80"/>
      <c r="BC32" s="80"/>
    </row>
    <row r="33" spans="1:55" s="111" customFormat="1" ht="76.5" x14ac:dyDescent="0.25">
      <c r="A33" s="110"/>
      <c r="C33" s="110"/>
      <c r="D33" s="243" t="s">
        <v>864</v>
      </c>
      <c r="E33" s="79"/>
      <c r="F33" s="84" t="s">
        <v>754</v>
      </c>
      <c r="G33" s="84" t="s">
        <v>312</v>
      </c>
      <c r="H33" s="42" t="s">
        <v>464</v>
      </c>
      <c r="I33" s="113" t="s">
        <v>465</v>
      </c>
      <c r="J33" s="113" t="s">
        <v>466</v>
      </c>
      <c r="K33" s="103" t="s">
        <v>755</v>
      </c>
      <c r="L33" s="103" t="s">
        <v>756</v>
      </c>
      <c r="M33" s="104"/>
      <c r="N33" s="104"/>
      <c r="O33" s="84" t="s">
        <v>757</v>
      </c>
      <c r="P33" s="103" t="s">
        <v>758</v>
      </c>
      <c r="Q33" s="85"/>
      <c r="R33" s="85"/>
      <c r="S33" s="84" t="s">
        <v>321</v>
      </c>
      <c r="T33" s="84" t="s">
        <v>322</v>
      </c>
      <c r="U33" s="84"/>
      <c r="V33" s="110"/>
      <c r="W33" s="112" t="s">
        <v>864</v>
      </c>
      <c r="X33" s="84" t="s">
        <v>890</v>
      </c>
      <c r="Y33" s="84"/>
      <c r="Z33" s="110"/>
      <c r="AA33" s="80" t="s">
        <v>292</v>
      </c>
      <c r="AB33" s="80" t="s">
        <v>624</v>
      </c>
      <c r="AC33" s="80" t="s">
        <v>625</v>
      </c>
      <c r="AD33" s="89"/>
      <c r="AE33" s="80"/>
      <c r="AF33" s="80"/>
      <c r="AH33" s="114"/>
      <c r="AI33" s="80"/>
      <c r="AJ33" s="80"/>
      <c r="AK33" s="80"/>
      <c r="AL33" s="80"/>
      <c r="AM33" s="80"/>
      <c r="AN33" s="80"/>
      <c r="AO33" s="80"/>
      <c r="AP33" s="80"/>
      <c r="AQ33" s="80"/>
      <c r="AR33" s="80"/>
      <c r="AS33" s="80"/>
      <c r="AT33" s="80"/>
      <c r="AU33" s="80"/>
      <c r="AV33" s="80"/>
      <c r="AW33" s="80"/>
      <c r="AX33" s="80"/>
      <c r="AY33" s="80"/>
      <c r="AZ33" s="80"/>
      <c r="BA33" s="80"/>
      <c r="BB33" s="80"/>
      <c r="BC33" s="80"/>
    </row>
    <row r="34" spans="1:55" s="111" customFormat="1" ht="76.5" x14ac:dyDescent="0.25">
      <c r="A34" s="110"/>
      <c r="C34" s="110"/>
      <c r="D34" s="243" t="s">
        <v>865</v>
      </c>
      <c r="E34" s="79"/>
      <c r="F34" s="84" t="s">
        <v>759</v>
      </c>
      <c r="G34" s="84" t="s">
        <v>312</v>
      </c>
      <c r="H34" s="42" t="s">
        <v>464</v>
      </c>
      <c r="I34" s="113" t="s">
        <v>465</v>
      </c>
      <c r="J34" s="113" t="s">
        <v>466</v>
      </c>
      <c r="K34" s="103" t="s">
        <v>760</v>
      </c>
      <c r="L34" s="103" t="s">
        <v>761</v>
      </c>
      <c r="M34" s="104"/>
      <c r="N34" s="104"/>
      <c r="O34" s="84" t="s">
        <v>762</v>
      </c>
      <c r="P34" s="103" t="s">
        <v>763</v>
      </c>
      <c r="Q34" s="85"/>
      <c r="R34" s="85"/>
      <c r="S34" s="84" t="s">
        <v>321</v>
      </c>
      <c r="T34" s="84" t="s">
        <v>322</v>
      </c>
      <c r="U34" s="84"/>
      <c r="V34" s="110"/>
      <c r="W34" s="112" t="s">
        <v>865</v>
      </c>
      <c r="X34" s="84" t="s">
        <v>890</v>
      </c>
      <c r="Y34" s="84"/>
      <c r="Z34" s="110"/>
      <c r="AA34" s="80" t="s">
        <v>292</v>
      </c>
      <c r="AB34" s="80" t="s">
        <v>624</v>
      </c>
      <c r="AC34" s="80" t="s">
        <v>625</v>
      </c>
      <c r="AD34" s="89"/>
      <c r="AE34" s="80"/>
      <c r="AF34" s="80"/>
      <c r="AH34" s="114"/>
      <c r="AI34" s="80"/>
      <c r="AJ34" s="80"/>
      <c r="AK34" s="80"/>
      <c r="AL34" s="80"/>
      <c r="AM34" s="80"/>
      <c r="AN34" s="80"/>
      <c r="AO34" s="80"/>
      <c r="AP34" s="80"/>
      <c r="AQ34" s="80"/>
      <c r="AR34" s="80"/>
      <c r="AS34" s="80"/>
      <c r="AT34" s="80"/>
      <c r="AU34" s="80"/>
      <c r="AV34" s="80"/>
      <c r="AW34" s="80"/>
      <c r="AX34" s="80"/>
      <c r="AY34" s="80"/>
      <c r="AZ34" s="80"/>
      <c r="BA34" s="80"/>
      <c r="BB34" s="80"/>
      <c r="BC34" s="80"/>
    </row>
    <row r="35" spans="1:55" s="111" customFormat="1" ht="153" x14ac:dyDescent="0.25">
      <c r="A35" s="110"/>
      <c r="C35" s="110"/>
      <c r="D35" s="243" t="s">
        <v>866</v>
      </c>
      <c r="E35" s="79"/>
      <c r="F35" s="84" t="s">
        <v>764</v>
      </c>
      <c r="G35" s="84" t="s">
        <v>323</v>
      </c>
      <c r="H35" s="42" t="s">
        <v>455</v>
      </c>
      <c r="I35" s="113" t="s">
        <v>456</v>
      </c>
      <c r="J35" s="113" t="s">
        <v>457</v>
      </c>
      <c r="K35" s="103" t="s">
        <v>765</v>
      </c>
      <c r="L35" s="103" t="s">
        <v>766</v>
      </c>
      <c r="M35" s="104"/>
      <c r="N35" s="104"/>
      <c r="O35" s="84" t="s">
        <v>767</v>
      </c>
      <c r="P35" s="103" t="s">
        <v>768</v>
      </c>
      <c r="Q35" s="85"/>
      <c r="R35" s="85"/>
      <c r="S35" s="84" t="s">
        <v>310</v>
      </c>
      <c r="T35" s="84" t="s">
        <v>311</v>
      </c>
      <c r="U35" s="84"/>
      <c r="V35" s="110"/>
      <c r="W35" s="112" t="s">
        <v>866</v>
      </c>
      <c r="X35" s="84" t="s">
        <v>892</v>
      </c>
      <c r="Y35" s="84"/>
      <c r="Z35" s="110"/>
      <c r="AA35" s="80" t="s">
        <v>292</v>
      </c>
      <c r="AB35" s="80" t="s">
        <v>624</v>
      </c>
      <c r="AC35" s="80" t="s">
        <v>625</v>
      </c>
      <c r="AD35" s="89"/>
      <c r="AE35" s="80"/>
      <c r="AF35" s="80"/>
      <c r="AH35" s="114"/>
      <c r="AI35" s="80"/>
      <c r="AJ35" s="80"/>
      <c r="AK35" s="80"/>
      <c r="AL35" s="80"/>
      <c r="AM35" s="80"/>
      <c r="AN35" s="80"/>
      <c r="AO35" s="80"/>
      <c r="AP35" s="80"/>
      <c r="AQ35" s="80"/>
      <c r="AR35" s="80"/>
      <c r="AS35" s="80"/>
      <c r="AT35" s="80"/>
      <c r="AU35" s="80"/>
      <c r="AV35" s="80"/>
      <c r="AW35" s="80"/>
      <c r="AX35" s="80"/>
      <c r="AY35" s="80"/>
      <c r="AZ35" s="80"/>
      <c r="BA35" s="80"/>
      <c r="BB35" s="80"/>
      <c r="BC35" s="80"/>
    </row>
    <row r="36" spans="1:55" s="111" customFormat="1" ht="153" x14ac:dyDescent="0.25">
      <c r="A36" s="110"/>
      <c r="C36" s="110"/>
      <c r="D36" s="243" t="s">
        <v>867</v>
      </c>
      <c r="E36" s="79"/>
      <c r="F36" s="84" t="s">
        <v>769</v>
      </c>
      <c r="G36" s="84" t="s">
        <v>324</v>
      </c>
      <c r="H36" s="42" t="s">
        <v>424</v>
      </c>
      <c r="I36" s="113" t="s">
        <v>425</v>
      </c>
      <c r="J36" s="113" t="s">
        <v>426</v>
      </c>
      <c r="K36" s="103" t="s">
        <v>770</v>
      </c>
      <c r="L36" s="103" t="s">
        <v>771</v>
      </c>
      <c r="M36" s="104"/>
      <c r="N36" s="104"/>
      <c r="O36" s="84" t="s">
        <v>772</v>
      </c>
      <c r="P36" s="103" t="s">
        <v>773</v>
      </c>
      <c r="Q36" s="85"/>
      <c r="R36" s="85"/>
      <c r="S36" s="84" t="s">
        <v>310</v>
      </c>
      <c r="T36" s="84" t="s">
        <v>311</v>
      </c>
      <c r="U36" s="84"/>
      <c r="V36" s="110"/>
      <c r="W36" s="112" t="s">
        <v>867</v>
      </c>
      <c r="X36" s="84" t="s">
        <v>892</v>
      </c>
      <c r="Y36" s="84"/>
      <c r="Z36" s="110"/>
      <c r="AA36" s="80" t="s">
        <v>292</v>
      </c>
      <c r="AB36" s="80" t="s">
        <v>624</v>
      </c>
      <c r="AC36" s="80" t="s">
        <v>625</v>
      </c>
      <c r="AD36" s="89"/>
      <c r="AE36" s="80"/>
      <c r="AF36" s="80"/>
      <c r="AH36" s="114"/>
      <c r="AI36" s="80"/>
      <c r="AJ36" s="80"/>
      <c r="AK36" s="80"/>
      <c r="AL36" s="80"/>
      <c r="AM36" s="80"/>
      <c r="AN36" s="80"/>
      <c r="AO36" s="80"/>
      <c r="AP36" s="80"/>
      <c r="AQ36" s="80"/>
      <c r="AR36" s="80"/>
      <c r="AS36" s="80"/>
      <c r="AT36" s="80"/>
      <c r="AU36" s="80"/>
      <c r="AV36" s="80"/>
      <c r="AW36" s="80"/>
      <c r="AX36" s="80"/>
      <c r="AY36" s="80"/>
      <c r="AZ36" s="80"/>
      <c r="BA36" s="80"/>
      <c r="BB36" s="80"/>
      <c r="BC36" s="80"/>
    </row>
    <row r="37" spans="1:55" s="111" customFormat="1" ht="153" x14ac:dyDescent="0.25">
      <c r="A37" s="110"/>
      <c r="C37" s="110"/>
      <c r="D37" s="243" t="s">
        <v>868</v>
      </c>
      <c r="E37" s="79"/>
      <c r="F37" s="84" t="s">
        <v>774</v>
      </c>
      <c r="G37" s="84" t="s">
        <v>323</v>
      </c>
      <c r="H37" s="42" t="s">
        <v>455</v>
      </c>
      <c r="I37" s="113" t="s">
        <v>456</v>
      </c>
      <c r="J37" s="113" t="s">
        <v>457</v>
      </c>
      <c r="K37" s="103" t="s">
        <v>775</v>
      </c>
      <c r="L37" s="103" t="s">
        <v>776</v>
      </c>
      <c r="M37" s="104"/>
      <c r="N37" s="104"/>
      <c r="O37" s="84" t="s">
        <v>777</v>
      </c>
      <c r="P37" s="103" t="s">
        <v>778</v>
      </c>
      <c r="Q37" s="85"/>
      <c r="R37" s="85"/>
      <c r="S37" s="84" t="s">
        <v>310</v>
      </c>
      <c r="T37" s="84" t="s">
        <v>311</v>
      </c>
      <c r="U37" s="84"/>
      <c r="V37" s="110"/>
      <c r="W37" s="112" t="s">
        <v>868</v>
      </c>
      <c r="X37" s="84" t="s">
        <v>892</v>
      </c>
      <c r="Y37" s="84"/>
      <c r="Z37" s="110"/>
      <c r="AA37" s="80" t="s">
        <v>292</v>
      </c>
      <c r="AB37" s="80" t="s">
        <v>624</v>
      </c>
      <c r="AC37" s="80" t="s">
        <v>625</v>
      </c>
      <c r="AD37" s="89"/>
      <c r="AE37" s="80"/>
      <c r="AF37" s="80"/>
      <c r="AH37" s="114"/>
      <c r="AI37" s="80"/>
      <c r="AJ37" s="80"/>
      <c r="AK37" s="80"/>
      <c r="AL37" s="80"/>
      <c r="AM37" s="80"/>
      <c r="AN37" s="80"/>
      <c r="AO37" s="80"/>
      <c r="AP37" s="80"/>
      <c r="AQ37" s="80"/>
      <c r="AR37" s="80"/>
      <c r="AS37" s="80"/>
      <c r="AT37" s="80"/>
      <c r="AU37" s="80"/>
      <c r="AV37" s="80"/>
      <c r="AW37" s="80"/>
      <c r="AX37" s="80"/>
      <c r="AY37" s="80"/>
      <c r="AZ37" s="80"/>
      <c r="BA37" s="80"/>
      <c r="BB37" s="80"/>
      <c r="BC37" s="80"/>
    </row>
    <row r="38" spans="1:55" s="111" customFormat="1" ht="63.75" x14ac:dyDescent="0.25">
      <c r="A38" s="110"/>
      <c r="C38" s="110"/>
      <c r="D38" s="243" t="s">
        <v>869</v>
      </c>
      <c r="E38" s="79"/>
      <c r="F38" s="84" t="s">
        <v>779</v>
      </c>
      <c r="G38" s="84" t="s">
        <v>318</v>
      </c>
      <c r="H38" s="42" t="s">
        <v>482</v>
      </c>
      <c r="I38" s="113" t="s">
        <v>483</v>
      </c>
      <c r="J38" s="113" t="s">
        <v>484</v>
      </c>
      <c r="K38" s="103" t="s">
        <v>780</v>
      </c>
      <c r="L38" s="103" t="s">
        <v>781</v>
      </c>
      <c r="M38" s="104"/>
      <c r="N38" s="104"/>
      <c r="O38" s="84" t="s">
        <v>782</v>
      </c>
      <c r="P38" s="103" t="s">
        <v>783</v>
      </c>
      <c r="Q38" s="85"/>
      <c r="R38" s="85"/>
      <c r="S38" s="84" t="s">
        <v>315</v>
      </c>
      <c r="T38" s="84" t="s">
        <v>316</v>
      </c>
      <c r="U38" s="84"/>
      <c r="V38" s="110"/>
      <c r="W38" s="112" t="s">
        <v>869</v>
      </c>
      <c r="X38" s="84" t="s">
        <v>893</v>
      </c>
      <c r="Y38" s="84"/>
      <c r="Z38" s="110"/>
      <c r="AA38" s="80" t="s">
        <v>292</v>
      </c>
      <c r="AB38" s="80" t="s">
        <v>624</v>
      </c>
      <c r="AC38" s="80" t="s">
        <v>625</v>
      </c>
      <c r="AD38" s="89"/>
      <c r="AE38" s="80"/>
      <c r="AF38" s="80"/>
      <c r="AH38" s="114"/>
      <c r="AI38" s="80"/>
      <c r="AJ38" s="80"/>
      <c r="AK38" s="80"/>
      <c r="AL38" s="80"/>
      <c r="AM38" s="80"/>
      <c r="AN38" s="80"/>
      <c r="AO38" s="80"/>
      <c r="AP38" s="80"/>
      <c r="AQ38" s="80"/>
      <c r="AR38" s="80"/>
      <c r="AS38" s="80"/>
      <c r="AT38" s="80"/>
      <c r="AU38" s="80"/>
      <c r="AV38" s="80"/>
      <c r="AW38" s="80"/>
      <c r="AX38" s="80"/>
      <c r="AY38" s="80"/>
      <c r="AZ38" s="80"/>
      <c r="BA38" s="80"/>
      <c r="BB38" s="80"/>
      <c r="BC38" s="80"/>
    </row>
    <row r="39" spans="1:55" s="111" customFormat="1" ht="102" x14ac:dyDescent="0.25">
      <c r="A39" s="110"/>
      <c r="C39" s="110"/>
      <c r="D39" s="243" t="s">
        <v>870</v>
      </c>
      <c r="E39" s="79"/>
      <c r="F39" s="84" t="s">
        <v>784</v>
      </c>
      <c r="G39" s="84" t="s">
        <v>325</v>
      </c>
      <c r="H39" s="42" t="s">
        <v>478</v>
      </c>
      <c r="I39" s="113" t="s">
        <v>479</v>
      </c>
      <c r="J39" s="113" t="s">
        <v>480</v>
      </c>
      <c r="K39" s="103" t="s">
        <v>785</v>
      </c>
      <c r="L39" s="103" t="s">
        <v>786</v>
      </c>
      <c r="M39" s="104"/>
      <c r="N39" s="104"/>
      <c r="O39" s="84" t="s">
        <v>787</v>
      </c>
      <c r="P39" s="103" t="s">
        <v>788</v>
      </c>
      <c r="Q39" s="85"/>
      <c r="R39" s="85"/>
      <c r="S39" s="84" t="s">
        <v>314</v>
      </c>
      <c r="T39" s="84" t="s">
        <v>789</v>
      </c>
      <c r="U39" s="84"/>
      <c r="V39" s="110"/>
      <c r="W39" s="112" t="s">
        <v>870</v>
      </c>
      <c r="X39" s="84" t="s">
        <v>893</v>
      </c>
      <c r="Y39" s="84" t="s">
        <v>894</v>
      </c>
      <c r="Z39" s="110"/>
      <c r="AA39" s="80" t="s">
        <v>292</v>
      </c>
      <c r="AB39" s="80" t="s">
        <v>624</v>
      </c>
      <c r="AC39" s="80" t="s">
        <v>625</v>
      </c>
      <c r="AD39" s="89"/>
      <c r="AE39" s="80"/>
      <c r="AF39" s="80"/>
      <c r="AH39" s="114"/>
      <c r="AI39" s="80"/>
      <c r="AJ39" s="80"/>
      <c r="AK39" s="80"/>
      <c r="AL39" s="80"/>
      <c r="AM39" s="80"/>
      <c r="AN39" s="80"/>
      <c r="AO39" s="80"/>
      <c r="AP39" s="80"/>
      <c r="AQ39" s="80"/>
      <c r="AR39" s="80"/>
      <c r="AS39" s="80"/>
      <c r="AT39" s="80"/>
      <c r="AU39" s="80"/>
      <c r="AV39" s="80"/>
      <c r="AW39" s="80"/>
      <c r="AX39" s="80"/>
      <c r="AY39" s="80"/>
      <c r="AZ39" s="80"/>
      <c r="BA39" s="80"/>
      <c r="BB39" s="80"/>
      <c r="BC39" s="80"/>
    </row>
    <row r="40" spans="1:55" s="111" customFormat="1" ht="114.75" x14ac:dyDescent="0.25">
      <c r="A40" s="110"/>
      <c r="C40" s="110"/>
      <c r="D40" s="243" t="s">
        <v>871</v>
      </c>
      <c r="E40" s="79"/>
      <c r="F40" s="84" t="s">
        <v>790</v>
      </c>
      <c r="G40" s="84" t="s">
        <v>317</v>
      </c>
      <c r="H40" s="42" t="s">
        <v>474</v>
      </c>
      <c r="I40" s="113" t="s">
        <v>475</v>
      </c>
      <c r="J40" s="113" t="s">
        <v>476</v>
      </c>
      <c r="K40" s="103" t="s">
        <v>791</v>
      </c>
      <c r="L40" s="103" t="s">
        <v>792</v>
      </c>
      <c r="M40" s="104"/>
      <c r="N40" s="104"/>
      <c r="O40" s="84" t="s">
        <v>793</v>
      </c>
      <c r="P40" s="103" t="s">
        <v>794</v>
      </c>
      <c r="Q40" s="85"/>
      <c r="R40" s="85"/>
      <c r="S40" s="84" t="s">
        <v>315</v>
      </c>
      <c r="T40" s="84" t="s">
        <v>316</v>
      </c>
      <c r="U40" s="84"/>
      <c r="V40" s="110"/>
      <c r="W40" s="112" t="s">
        <v>871</v>
      </c>
      <c r="X40" s="84" t="s">
        <v>893</v>
      </c>
      <c r="Y40" s="84"/>
      <c r="Z40" s="110"/>
      <c r="AA40" s="80" t="s">
        <v>292</v>
      </c>
      <c r="AB40" s="80" t="s">
        <v>624</v>
      </c>
      <c r="AC40" s="80" t="s">
        <v>625</v>
      </c>
      <c r="AD40" s="89"/>
      <c r="AE40" s="80"/>
      <c r="AF40" s="80"/>
      <c r="AH40" s="114"/>
      <c r="AI40" s="80"/>
      <c r="AJ40" s="80"/>
      <c r="AK40" s="80"/>
      <c r="AL40" s="80"/>
      <c r="AM40" s="80"/>
      <c r="AN40" s="80"/>
      <c r="AO40" s="80"/>
      <c r="AP40" s="80"/>
      <c r="AQ40" s="80"/>
      <c r="AR40" s="80"/>
      <c r="AS40" s="80"/>
      <c r="AT40" s="80"/>
      <c r="AU40" s="80"/>
      <c r="AV40" s="80"/>
      <c r="AW40" s="80"/>
      <c r="AX40" s="80"/>
      <c r="AY40" s="80"/>
      <c r="AZ40" s="80"/>
      <c r="BA40" s="80"/>
      <c r="BB40" s="80"/>
      <c r="BC40" s="80"/>
    </row>
    <row r="41" spans="1:55" s="111" customFormat="1" ht="102" x14ac:dyDescent="0.25">
      <c r="A41" s="110"/>
      <c r="C41" s="110"/>
      <c r="D41" s="243" t="s">
        <v>872</v>
      </c>
      <c r="E41" s="79"/>
      <c r="F41" s="84" t="s">
        <v>795</v>
      </c>
      <c r="G41" s="84" t="s">
        <v>325</v>
      </c>
      <c r="H41" s="42" t="s">
        <v>478</v>
      </c>
      <c r="I41" s="113" t="s">
        <v>479</v>
      </c>
      <c r="J41" s="113" t="s">
        <v>480</v>
      </c>
      <c r="K41" s="103" t="s">
        <v>796</v>
      </c>
      <c r="L41" s="103" t="s">
        <v>797</v>
      </c>
      <c r="M41" s="104"/>
      <c r="N41" s="104"/>
      <c r="O41" s="84" t="s">
        <v>798</v>
      </c>
      <c r="P41" s="103" t="s">
        <v>799</v>
      </c>
      <c r="Q41" s="85"/>
      <c r="R41" s="85"/>
      <c r="S41" s="84" t="s">
        <v>314</v>
      </c>
      <c r="T41" s="84" t="s">
        <v>789</v>
      </c>
      <c r="U41" s="84"/>
      <c r="V41" s="110"/>
      <c r="W41" s="112" t="s">
        <v>872</v>
      </c>
      <c r="X41" s="84" t="s">
        <v>893</v>
      </c>
      <c r="Y41" s="84" t="s">
        <v>894</v>
      </c>
      <c r="Z41" s="110"/>
      <c r="AA41" s="80" t="s">
        <v>292</v>
      </c>
      <c r="AB41" s="80" t="s">
        <v>624</v>
      </c>
      <c r="AC41" s="80" t="s">
        <v>625</v>
      </c>
      <c r="AD41" s="89"/>
      <c r="AE41" s="80"/>
      <c r="AF41" s="80"/>
      <c r="AH41" s="114"/>
      <c r="AI41" s="80"/>
      <c r="AJ41" s="80"/>
      <c r="AK41" s="80"/>
      <c r="AL41" s="80"/>
      <c r="AM41" s="80"/>
      <c r="AN41" s="80"/>
      <c r="AO41" s="80"/>
      <c r="AP41" s="80"/>
      <c r="AQ41" s="80"/>
      <c r="AR41" s="80"/>
      <c r="AS41" s="80"/>
      <c r="AT41" s="80"/>
      <c r="AU41" s="80"/>
      <c r="AV41" s="80"/>
      <c r="AW41" s="80"/>
      <c r="AX41" s="80"/>
      <c r="AY41" s="80"/>
      <c r="AZ41" s="80"/>
      <c r="BA41" s="80"/>
      <c r="BB41" s="80"/>
      <c r="BC41" s="80"/>
    </row>
    <row r="42" spans="1:55" s="111" customFormat="1" ht="63.75" x14ac:dyDescent="0.25">
      <c r="A42" s="110"/>
      <c r="C42" s="110"/>
      <c r="D42" s="243" t="s">
        <v>873</v>
      </c>
      <c r="E42" s="79"/>
      <c r="F42" s="84" t="s">
        <v>800</v>
      </c>
      <c r="G42" s="84" t="s">
        <v>318</v>
      </c>
      <c r="H42" s="42" t="s">
        <v>482</v>
      </c>
      <c r="I42" s="113" t="s">
        <v>483</v>
      </c>
      <c r="J42" s="113" t="s">
        <v>484</v>
      </c>
      <c r="K42" s="103" t="s">
        <v>801</v>
      </c>
      <c r="L42" s="103" t="s">
        <v>802</v>
      </c>
      <c r="M42" s="104"/>
      <c r="N42" s="104"/>
      <c r="O42" s="84" t="s">
        <v>803</v>
      </c>
      <c r="P42" s="103" t="s">
        <v>804</v>
      </c>
      <c r="Q42" s="85"/>
      <c r="R42" s="85"/>
      <c r="S42" s="84" t="s">
        <v>315</v>
      </c>
      <c r="T42" s="84" t="s">
        <v>316</v>
      </c>
      <c r="U42" s="84"/>
      <c r="V42" s="110"/>
      <c r="W42" s="112" t="s">
        <v>873</v>
      </c>
      <c r="X42" s="84" t="s">
        <v>893</v>
      </c>
      <c r="Y42" s="84"/>
      <c r="Z42" s="110"/>
      <c r="AA42" s="80" t="s">
        <v>292</v>
      </c>
      <c r="AB42" s="80" t="s">
        <v>624</v>
      </c>
      <c r="AC42" s="80" t="s">
        <v>625</v>
      </c>
      <c r="AD42" s="89"/>
      <c r="AE42" s="80"/>
      <c r="AF42" s="80"/>
      <c r="AH42" s="114"/>
      <c r="AI42" s="80"/>
      <c r="AJ42" s="80"/>
      <c r="AK42" s="80"/>
      <c r="AL42" s="80"/>
      <c r="AM42" s="80"/>
      <c r="AN42" s="80"/>
      <c r="AO42" s="80"/>
      <c r="AP42" s="80"/>
      <c r="AQ42" s="80"/>
      <c r="AR42" s="80"/>
      <c r="AS42" s="80"/>
      <c r="AT42" s="80"/>
      <c r="AU42" s="80"/>
      <c r="AV42" s="80"/>
      <c r="AW42" s="80"/>
      <c r="AX42" s="80"/>
      <c r="AY42" s="80"/>
      <c r="AZ42" s="80"/>
      <c r="BA42" s="80"/>
      <c r="BB42" s="80"/>
      <c r="BC42" s="80"/>
    </row>
    <row r="43" spans="1:55" s="111" customFormat="1" ht="63.75" x14ac:dyDescent="0.25">
      <c r="A43" s="110"/>
      <c r="C43" s="110"/>
      <c r="D43" s="243" t="s">
        <v>874</v>
      </c>
      <c r="E43" s="79"/>
      <c r="F43" s="84" t="s">
        <v>805</v>
      </c>
      <c r="G43" s="84" t="s">
        <v>318</v>
      </c>
      <c r="H43" s="42" t="s">
        <v>482</v>
      </c>
      <c r="I43" s="113" t="s">
        <v>483</v>
      </c>
      <c r="J43" s="113" t="s">
        <v>484</v>
      </c>
      <c r="K43" s="103" t="s">
        <v>806</v>
      </c>
      <c r="L43" s="103" t="s">
        <v>807</v>
      </c>
      <c r="M43" s="104"/>
      <c r="N43" s="104"/>
      <c r="O43" s="84" t="s">
        <v>808</v>
      </c>
      <c r="P43" s="103" t="s">
        <v>809</v>
      </c>
      <c r="Q43" s="85"/>
      <c r="R43" s="85"/>
      <c r="S43" s="84" t="s">
        <v>314</v>
      </c>
      <c r="T43" s="84" t="s">
        <v>810</v>
      </c>
      <c r="U43" s="84"/>
      <c r="V43" s="110"/>
      <c r="W43" s="112" t="s">
        <v>874</v>
      </c>
      <c r="X43" s="84" t="s">
        <v>893</v>
      </c>
      <c r="Y43" s="84" t="s">
        <v>888</v>
      </c>
      <c r="Z43" s="110"/>
      <c r="AA43" s="80" t="s">
        <v>292</v>
      </c>
      <c r="AB43" s="80" t="s">
        <v>624</v>
      </c>
      <c r="AC43" s="80" t="s">
        <v>625</v>
      </c>
      <c r="AD43" s="89"/>
      <c r="AE43" s="80"/>
      <c r="AF43" s="80"/>
      <c r="AH43" s="114"/>
      <c r="AI43" s="80"/>
      <c r="AJ43" s="80"/>
      <c r="AK43" s="80"/>
      <c r="AL43" s="80"/>
      <c r="AM43" s="80"/>
      <c r="AN43" s="80"/>
      <c r="AO43" s="80"/>
      <c r="AP43" s="80"/>
      <c r="AQ43" s="80"/>
      <c r="AR43" s="80"/>
      <c r="AS43" s="80"/>
      <c r="AT43" s="80"/>
      <c r="AU43" s="80"/>
      <c r="AV43" s="80"/>
      <c r="AW43" s="80"/>
      <c r="AX43" s="80"/>
      <c r="AY43" s="80"/>
      <c r="AZ43" s="80"/>
      <c r="BA43" s="80"/>
      <c r="BB43" s="80"/>
      <c r="BC43" s="80"/>
    </row>
    <row r="44" spans="1:55" s="111" customFormat="1" ht="102" x14ac:dyDescent="0.25">
      <c r="A44" s="110"/>
      <c r="C44" s="110"/>
      <c r="D44" s="243" t="s">
        <v>875</v>
      </c>
      <c r="E44" s="79"/>
      <c r="F44" s="84" t="s">
        <v>811</v>
      </c>
      <c r="G44" s="84" t="s">
        <v>318</v>
      </c>
      <c r="H44" s="42" t="s">
        <v>482</v>
      </c>
      <c r="I44" s="113" t="s">
        <v>483</v>
      </c>
      <c r="J44" s="113" t="s">
        <v>484</v>
      </c>
      <c r="K44" s="103" t="s">
        <v>812</v>
      </c>
      <c r="L44" s="103" t="s">
        <v>813</v>
      </c>
      <c r="M44" s="104"/>
      <c r="N44" s="104"/>
      <c r="O44" s="84" t="s">
        <v>814</v>
      </c>
      <c r="P44" s="103" t="s">
        <v>815</v>
      </c>
      <c r="Q44" s="85"/>
      <c r="R44" s="85"/>
      <c r="S44" s="84" t="s">
        <v>314</v>
      </c>
      <c r="T44" s="84" t="s">
        <v>326</v>
      </c>
      <c r="U44" s="84"/>
      <c r="V44" s="110"/>
      <c r="W44" s="112" t="s">
        <v>875</v>
      </c>
      <c r="X44" s="84" t="s">
        <v>893</v>
      </c>
      <c r="Y44" s="84"/>
      <c r="Z44" s="110"/>
      <c r="AA44" s="80" t="s">
        <v>292</v>
      </c>
      <c r="AB44" s="80" t="s">
        <v>624</v>
      </c>
      <c r="AC44" s="80" t="s">
        <v>625</v>
      </c>
      <c r="AD44" s="89"/>
      <c r="AE44" s="80"/>
      <c r="AF44" s="80"/>
      <c r="AH44" s="114"/>
      <c r="AI44" s="80"/>
      <c r="AJ44" s="80"/>
      <c r="AK44" s="80"/>
      <c r="AL44" s="80"/>
      <c r="AM44" s="80"/>
      <c r="AN44" s="80"/>
      <c r="AO44" s="80"/>
      <c r="AP44" s="80"/>
      <c r="AQ44" s="80"/>
      <c r="AR44" s="80"/>
      <c r="AS44" s="80"/>
      <c r="AT44" s="80"/>
      <c r="AU44" s="80"/>
      <c r="AV44" s="80"/>
      <c r="AW44" s="80"/>
      <c r="AX44" s="80"/>
      <c r="AY44" s="80"/>
      <c r="AZ44" s="80"/>
      <c r="BA44" s="80"/>
      <c r="BB44" s="80"/>
      <c r="BC44" s="80"/>
    </row>
    <row r="45" spans="1:55" s="111" customFormat="1" ht="89.25" x14ac:dyDescent="0.25">
      <c r="A45" s="110"/>
      <c r="C45" s="110"/>
      <c r="D45" s="243" t="s">
        <v>876</v>
      </c>
      <c r="E45" s="79"/>
      <c r="F45" s="84" t="s">
        <v>816</v>
      </c>
      <c r="G45" s="84" t="s">
        <v>327</v>
      </c>
      <c r="H45" s="42" t="s">
        <v>500</v>
      </c>
      <c r="I45" s="113" t="s">
        <v>501</v>
      </c>
      <c r="J45" s="113" t="s">
        <v>502</v>
      </c>
      <c r="K45" s="103" t="s">
        <v>817</v>
      </c>
      <c r="L45" s="103" t="s">
        <v>818</v>
      </c>
      <c r="M45" s="104"/>
      <c r="N45" s="104"/>
      <c r="O45" s="84" t="s">
        <v>819</v>
      </c>
      <c r="P45" s="103" t="s">
        <v>820</v>
      </c>
      <c r="Q45" s="85"/>
      <c r="R45" s="85"/>
      <c r="S45" s="84" t="s">
        <v>315</v>
      </c>
      <c r="T45" s="84" t="s">
        <v>316</v>
      </c>
      <c r="U45" s="84"/>
      <c r="V45" s="110"/>
      <c r="W45" s="112" t="s">
        <v>876</v>
      </c>
      <c r="X45" s="84" t="s">
        <v>895</v>
      </c>
      <c r="Y45" s="84"/>
      <c r="Z45" s="110"/>
      <c r="AA45" s="80" t="s">
        <v>292</v>
      </c>
      <c r="AB45" s="80" t="s">
        <v>624</v>
      </c>
      <c r="AC45" s="80" t="s">
        <v>625</v>
      </c>
      <c r="AD45" s="89"/>
      <c r="AE45" s="80"/>
      <c r="AF45" s="80"/>
      <c r="AH45" s="114"/>
      <c r="AI45" s="80"/>
      <c r="AJ45" s="80"/>
      <c r="AK45" s="80"/>
      <c r="AL45" s="80"/>
      <c r="AM45" s="80"/>
      <c r="AN45" s="80"/>
      <c r="AO45" s="80"/>
      <c r="AP45" s="80"/>
      <c r="AQ45" s="80"/>
      <c r="AR45" s="80"/>
      <c r="AS45" s="80"/>
      <c r="AT45" s="80"/>
      <c r="AU45" s="80"/>
      <c r="AV45" s="80"/>
      <c r="AW45" s="80"/>
      <c r="AX45" s="80"/>
      <c r="AY45" s="80"/>
      <c r="AZ45" s="80"/>
      <c r="BA45" s="80"/>
      <c r="BB45" s="80"/>
      <c r="BC45" s="80"/>
    </row>
    <row r="46" spans="1:55" s="111" customFormat="1" ht="63.75" x14ac:dyDescent="0.25">
      <c r="A46" s="110"/>
      <c r="C46" s="110"/>
      <c r="D46" s="243" t="s">
        <v>877</v>
      </c>
      <c r="E46" s="79"/>
      <c r="F46" s="84" t="s">
        <v>821</v>
      </c>
      <c r="G46" s="84" t="s">
        <v>319</v>
      </c>
      <c r="H46" s="42" t="s">
        <v>435</v>
      </c>
      <c r="I46" s="113" t="s">
        <v>436</v>
      </c>
      <c r="J46" s="113" t="s">
        <v>437</v>
      </c>
      <c r="K46" s="103" t="s">
        <v>822</v>
      </c>
      <c r="L46" s="103" t="s">
        <v>823</v>
      </c>
      <c r="M46" s="104"/>
      <c r="N46" s="104"/>
      <c r="O46" s="84" t="s">
        <v>824</v>
      </c>
      <c r="P46" s="103" t="s">
        <v>825</v>
      </c>
      <c r="Q46" s="85"/>
      <c r="R46" s="85"/>
      <c r="S46" s="84" t="s">
        <v>314</v>
      </c>
      <c r="T46" s="84" t="s">
        <v>328</v>
      </c>
      <c r="U46" s="84"/>
      <c r="V46" s="110"/>
      <c r="W46" s="112" t="s">
        <v>877</v>
      </c>
      <c r="X46" s="84" t="s">
        <v>896</v>
      </c>
      <c r="Y46" s="84" t="s">
        <v>888</v>
      </c>
      <c r="Z46" s="110"/>
      <c r="AA46" s="80" t="s">
        <v>292</v>
      </c>
      <c r="AB46" s="80" t="s">
        <v>624</v>
      </c>
      <c r="AC46" s="80" t="s">
        <v>625</v>
      </c>
      <c r="AD46" s="89"/>
      <c r="AE46" s="80"/>
      <c r="AF46" s="80"/>
      <c r="AH46" s="114"/>
      <c r="AI46" s="80"/>
      <c r="AJ46" s="80"/>
      <c r="AK46" s="80"/>
      <c r="AL46" s="80"/>
      <c r="AM46" s="80"/>
      <c r="AN46" s="80"/>
      <c r="AO46" s="80"/>
      <c r="AP46" s="80"/>
      <c r="AQ46" s="80"/>
      <c r="AR46" s="80"/>
      <c r="AS46" s="80"/>
      <c r="AT46" s="80"/>
      <c r="AU46" s="80"/>
      <c r="AV46" s="80"/>
      <c r="AW46" s="80"/>
      <c r="AX46" s="80"/>
      <c r="AY46" s="80"/>
      <c r="AZ46" s="80"/>
      <c r="BA46" s="80"/>
      <c r="BB46" s="80"/>
      <c r="BC46" s="80"/>
    </row>
    <row r="47" spans="1:55" s="111" customFormat="1" ht="63.75" x14ac:dyDescent="0.25">
      <c r="A47" s="110"/>
      <c r="C47" s="110"/>
      <c r="D47" s="243" t="s">
        <v>878</v>
      </c>
      <c r="E47" s="79"/>
      <c r="F47" s="84" t="s">
        <v>826</v>
      </c>
      <c r="G47" s="84" t="s">
        <v>319</v>
      </c>
      <c r="H47" s="42" t="s">
        <v>435</v>
      </c>
      <c r="I47" s="113" t="s">
        <v>436</v>
      </c>
      <c r="J47" s="113" t="s">
        <v>437</v>
      </c>
      <c r="K47" s="103" t="s">
        <v>827</v>
      </c>
      <c r="L47" s="103" t="s">
        <v>828</v>
      </c>
      <c r="M47" s="104"/>
      <c r="N47" s="104"/>
      <c r="O47" s="84" t="s">
        <v>829</v>
      </c>
      <c r="P47" s="103" t="s">
        <v>830</v>
      </c>
      <c r="Q47" s="85"/>
      <c r="R47" s="85"/>
      <c r="S47" s="84" t="s">
        <v>314</v>
      </c>
      <c r="T47" s="84" t="s">
        <v>831</v>
      </c>
      <c r="U47" s="84"/>
      <c r="V47" s="110"/>
      <c r="W47" s="112" t="s">
        <v>878</v>
      </c>
      <c r="X47" s="84" t="s">
        <v>896</v>
      </c>
      <c r="Y47" s="84" t="s">
        <v>897</v>
      </c>
      <c r="Z47" s="110"/>
      <c r="AA47" s="80" t="s">
        <v>292</v>
      </c>
      <c r="AB47" s="80" t="s">
        <v>624</v>
      </c>
      <c r="AC47" s="80" t="s">
        <v>625</v>
      </c>
      <c r="AD47" s="89"/>
      <c r="AE47" s="80"/>
      <c r="AF47" s="80"/>
      <c r="AH47" s="114"/>
      <c r="AI47" s="80"/>
      <c r="AJ47" s="80"/>
      <c r="AK47" s="80"/>
      <c r="AL47" s="80"/>
      <c r="AM47" s="80"/>
      <c r="AN47" s="80"/>
      <c r="AO47" s="80"/>
      <c r="AP47" s="80"/>
      <c r="AQ47" s="80"/>
      <c r="AR47" s="80"/>
      <c r="AS47" s="80"/>
      <c r="AT47" s="80"/>
      <c r="AU47" s="80"/>
      <c r="AV47" s="80"/>
      <c r="AW47" s="80"/>
      <c r="AX47" s="80"/>
      <c r="AY47" s="80"/>
      <c r="AZ47" s="80"/>
      <c r="BA47" s="80"/>
      <c r="BB47" s="80"/>
      <c r="BC47" s="80"/>
    </row>
    <row r="48" spans="1:55" s="111" customFormat="1" ht="63.75" x14ac:dyDescent="0.25">
      <c r="A48" s="110"/>
      <c r="C48" s="110"/>
      <c r="D48" s="243" t="s">
        <v>879</v>
      </c>
      <c r="E48" s="79"/>
      <c r="F48" s="84" t="s">
        <v>832</v>
      </c>
      <c r="G48" s="84" t="s">
        <v>319</v>
      </c>
      <c r="H48" s="42" t="s">
        <v>435</v>
      </c>
      <c r="I48" s="113" t="s">
        <v>436</v>
      </c>
      <c r="J48" s="113" t="s">
        <v>437</v>
      </c>
      <c r="K48" s="103" t="s">
        <v>833</v>
      </c>
      <c r="L48" s="103" t="s">
        <v>834</v>
      </c>
      <c r="M48" s="104"/>
      <c r="N48" s="104"/>
      <c r="O48" s="84" t="s">
        <v>835</v>
      </c>
      <c r="P48" s="103" t="s">
        <v>836</v>
      </c>
      <c r="Q48" s="85"/>
      <c r="R48" s="85"/>
      <c r="S48" s="84" t="s">
        <v>314</v>
      </c>
      <c r="T48" s="84" t="s">
        <v>328</v>
      </c>
      <c r="U48" s="84"/>
      <c r="V48" s="110"/>
      <c r="W48" s="112" t="s">
        <v>879</v>
      </c>
      <c r="X48" s="84" t="s">
        <v>896</v>
      </c>
      <c r="Y48" s="84" t="s">
        <v>888</v>
      </c>
      <c r="Z48" s="110"/>
      <c r="AA48" s="80" t="s">
        <v>292</v>
      </c>
      <c r="AB48" s="80" t="s">
        <v>624</v>
      </c>
      <c r="AC48" s="80" t="s">
        <v>625</v>
      </c>
      <c r="AD48" s="89"/>
      <c r="AE48" s="80"/>
      <c r="AF48" s="80"/>
      <c r="AH48" s="114"/>
      <c r="AI48" s="80"/>
      <c r="AJ48" s="80"/>
      <c r="AK48" s="80"/>
      <c r="AL48" s="80"/>
      <c r="AM48" s="80"/>
      <c r="AN48" s="80"/>
      <c r="AO48" s="80"/>
      <c r="AP48" s="80"/>
      <c r="AQ48" s="80"/>
      <c r="AR48" s="80"/>
      <c r="AS48" s="80"/>
      <c r="AT48" s="80"/>
      <c r="AU48" s="80"/>
      <c r="AV48" s="80"/>
      <c r="AW48" s="80"/>
      <c r="AX48" s="80"/>
      <c r="AY48" s="80"/>
      <c r="AZ48" s="80"/>
      <c r="BA48" s="80"/>
      <c r="BB48" s="80"/>
      <c r="BC48" s="80"/>
    </row>
    <row r="49" spans="1:55" s="111" customFormat="1" ht="63.75" x14ac:dyDescent="0.25">
      <c r="A49" s="110"/>
      <c r="C49" s="110"/>
      <c r="D49" s="243" t="s">
        <v>880</v>
      </c>
      <c r="E49" s="79"/>
      <c r="F49" s="84" t="s">
        <v>837</v>
      </c>
      <c r="G49" s="84" t="s">
        <v>319</v>
      </c>
      <c r="H49" s="42" t="s">
        <v>435</v>
      </c>
      <c r="I49" s="113" t="s">
        <v>436</v>
      </c>
      <c r="J49" s="113" t="s">
        <v>437</v>
      </c>
      <c r="K49" s="103" t="s">
        <v>838</v>
      </c>
      <c r="L49" s="103" t="s">
        <v>839</v>
      </c>
      <c r="M49" s="104"/>
      <c r="N49" s="104"/>
      <c r="O49" s="84" t="s">
        <v>840</v>
      </c>
      <c r="P49" s="103" t="s">
        <v>841</v>
      </c>
      <c r="Q49" s="85"/>
      <c r="R49" s="85"/>
      <c r="S49" s="84" t="s">
        <v>314</v>
      </c>
      <c r="T49" s="84" t="s">
        <v>831</v>
      </c>
      <c r="U49" s="84"/>
      <c r="V49" s="110"/>
      <c r="W49" s="112" t="s">
        <v>880</v>
      </c>
      <c r="X49" s="84" t="s">
        <v>896</v>
      </c>
      <c r="Y49" s="84" t="s">
        <v>897</v>
      </c>
      <c r="Z49" s="110"/>
      <c r="AA49" s="80" t="s">
        <v>292</v>
      </c>
      <c r="AB49" s="80" t="s">
        <v>624</v>
      </c>
      <c r="AC49" s="80" t="s">
        <v>625</v>
      </c>
      <c r="AD49" s="89"/>
      <c r="AE49" s="80"/>
      <c r="AF49" s="80"/>
      <c r="AH49" s="114"/>
      <c r="AI49" s="80"/>
      <c r="AJ49" s="80"/>
      <c r="AK49" s="80"/>
      <c r="AL49" s="80"/>
      <c r="AM49" s="80"/>
      <c r="AN49" s="80"/>
      <c r="AO49" s="80"/>
      <c r="AP49" s="80"/>
      <c r="AQ49" s="80"/>
      <c r="AR49" s="80"/>
      <c r="AS49" s="80"/>
      <c r="AT49" s="80"/>
      <c r="AU49" s="80"/>
      <c r="AV49" s="80"/>
      <c r="AW49" s="80"/>
      <c r="AX49" s="80"/>
      <c r="AY49" s="80"/>
      <c r="AZ49" s="80"/>
      <c r="BA49" s="80"/>
      <c r="BB49" s="80"/>
      <c r="BC49" s="80"/>
    </row>
    <row r="50" spans="1:55" s="111" customFormat="1" ht="76.5" x14ac:dyDescent="0.25">
      <c r="A50" s="110"/>
      <c r="C50" s="110"/>
      <c r="D50" s="243"/>
      <c r="E50" s="79"/>
      <c r="F50" s="84" t="s">
        <v>842</v>
      </c>
      <c r="G50" s="84" t="s">
        <v>319</v>
      </c>
      <c r="H50" s="42" t="s">
        <v>435</v>
      </c>
      <c r="I50" s="113" t="s">
        <v>436</v>
      </c>
      <c r="J50" s="113" t="s">
        <v>437</v>
      </c>
      <c r="K50" s="103" t="s">
        <v>843</v>
      </c>
      <c r="L50" s="103" t="s">
        <v>844</v>
      </c>
      <c r="M50" s="104"/>
      <c r="N50" s="104"/>
      <c r="O50" s="84" t="s">
        <v>845</v>
      </c>
      <c r="P50" s="103" t="s">
        <v>846</v>
      </c>
      <c r="Q50" s="85"/>
      <c r="R50" s="85"/>
      <c r="S50" s="84" t="s">
        <v>314</v>
      </c>
      <c r="T50" s="84" t="s">
        <v>328</v>
      </c>
      <c r="U50" s="84"/>
      <c r="V50" s="110"/>
      <c r="W50" s="112"/>
      <c r="X50" s="84" t="s">
        <v>896</v>
      </c>
      <c r="Y50" s="84" t="s">
        <v>897</v>
      </c>
      <c r="Z50" s="110"/>
      <c r="AA50" s="80" t="s">
        <v>292</v>
      </c>
      <c r="AB50" s="80" t="s">
        <v>624</v>
      </c>
      <c r="AC50" s="80" t="s">
        <v>625</v>
      </c>
      <c r="AD50" s="89"/>
      <c r="AE50" s="80"/>
      <c r="AF50" s="80"/>
      <c r="AH50" s="114"/>
      <c r="AI50" s="80"/>
      <c r="AJ50" s="80"/>
      <c r="AK50" s="80"/>
      <c r="AL50" s="80"/>
      <c r="AM50" s="80"/>
      <c r="AN50" s="80"/>
      <c r="AO50" s="80"/>
      <c r="AP50" s="80"/>
      <c r="AQ50" s="80"/>
      <c r="AR50" s="80"/>
      <c r="AS50" s="80"/>
      <c r="AT50" s="80"/>
      <c r="AU50" s="80"/>
      <c r="AV50" s="80"/>
      <c r="AW50" s="80"/>
      <c r="AX50" s="80"/>
      <c r="AY50" s="80"/>
      <c r="AZ50" s="80"/>
      <c r="BA50" s="80"/>
      <c r="BB50" s="80"/>
      <c r="BC50" s="80"/>
    </row>
    <row r="51" spans="1:55" s="111" customFormat="1" ht="63.75" x14ac:dyDescent="0.25">
      <c r="A51" s="110"/>
      <c r="C51" s="110"/>
      <c r="D51" s="243" t="s">
        <v>881</v>
      </c>
      <c r="E51" s="79"/>
      <c r="F51" s="84" t="s">
        <v>847</v>
      </c>
      <c r="G51" s="84" t="s">
        <v>319</v>
      </c>
      <c r="H51" s="42" t="s">
        <v>435</v>
      </c>
      <c r="I51" s="113" t="s">
        <v>436</v>
      </c>
      <c r="J51" s="113" t="s">
        <v>437</v>
      </c>
      <c r="K51" s="103" t="s">
        <v>848</v>
      </c>
      <c r="L51" s="103" t="s">
        <v>849</v>
      </c>
      <c r="M51" s="104"/>
      <c r="N51" s="104"/>
      <c r="O51" s="84" t="s">
        <v>850</v>
      </c>
      <c r="P51" s="103" t="s">
        <v>851</v>
      </c>
      <c r="Q51" s="85"/>
      <c r="R51" s="85"/>
      <c r="S51" s="84" t="s">
        <v>314</v>
      </c>
      <c r="T51" s="84" t="s">
        <v>320</v>
      </c>
      <c r="U51" s="84"/>
      <c r="V51" s="110"/>
      <c r="W51" s="112" t="s">
        <v>881</v>
      </c>
      <c r="X51" s="84" t="s">
        <v>896</v>
      </c>
      <c r="Y51" s="84" t="s">
        <v>891</v>
      </c>
      <c r="Z51" s="110"/>
      <c r="AA51" s="80" t="s">
        <v>292</v>
      </c>
      <c r="AB51" s="80" t="s">
        <v>624</v>
      </c>
      <c r="AC51" s="80" t="s">
        <v>625</v>
      </c>
      <c r="AD51" s="89"/>
      <c r="AE51" s="80"/>
      <c r="AF51" s="80"/>
      <c r="AH51" s="114"/>
      <c r="AI51" s="80"/>
      <c r="AJ51" s="80"/>
      <c r="AK51" s="80"/>
      <c r="AL51" s="80"/>
      <c r="AM51" s="80"/>
      <c r="AN51" s="80"/>
      <c r="AO51" s="80"/>
      <c r="AP51" s="80"/>
      <c r="AQ51" s="80"/>
      <c r="AR51" s="80"/>
      <c r="AS51" s="80"/>
      <c r="AT51" s="80"/>
      <c r="AU51" s="80"/>
      <c r="AV51" s="80"/>
      <c r="AW51" s="80"/>
      <c r="AX51" s="80"/>
      <c r="AY51" s="80"/>
      <c r="AZ51" s="80"/>
      <c r="BA51" s="80"/>
      <c r="BB51" s="80"/>
      <c r="BC51" s="80"/>
    </row>
    <row r="52" spans="1:55" s="111" customFormat="1" ht="76.5" x14ac:dyDescent="0.25">
      <c r="A52" s="110"/>
      <c r="C52" s="110"/>
      <c r="D52" s="243"/>
      <c r="E52" s="79"/>
      <c r="F52" s="84" t="s">
        <v>852</v>
      </c>
      <c r="G52" s="84" t="s">
        <v>309</v>
      </c>
      <c r="H52" s="42" t="s">
        <v>415</v>
      </c>
      <c r="I52" s="113" t="s">
        <v>416</v>
      </c>
      <c r="J52" s="113" t="s">
        <v>417</v>
      </c>
      <c r="K52" s="103" t="s">
        <v>853</v>
      </c>
      <c r="L52" s="103" t="s">
        <v>854</v>
      </c>
      <c r="M52" s="104"/>
      <c r="N52" s="104"/>
      <c r="O52" s="84" t="s">
        <v>855</v>
      </c>
      <c r="P52" s="103" t="s">
        <v>856</v>
      </c>
      <c r="Q52" s="85"/>
      <c r="R52" s="85"/>
      <c r="S52" s="84" t="s">
        <v>315</v>
      </c>
      <c r="T52" s="84" t="s">
        <v>494</v>
      </c>
      <c r="U52" s="84"/>
      <c r="V52" s="110"/>
      <c r="W52" s="112"/>
      <c r="X52" s="84"/>
      <c r="Y52" s="84"/>
      <c r="Z52" s="110"/>
      <c r="AA52" s="80" t="s">
        <v>292</v>
      </c>
      <c r="AB52" s="80" t="s">
        <v>624</v>
      </c>
      <c r="AC52" s="80" t="s">
        <v>625</v>
      </c>
      <c r="AD52" s="89"/>
      <c r="AE52" s="80"/>
      <c r="AF52" s="80"/>
      <c r="AH52" s="114"/>
      <c r="AI52" s="80"/>
      <c r="AJ52" s="80"/>
      <c r="AK52" s="80"/>
      <c r="AL52" s="80"/>
      <c r="AM52" s="80"/>
      <c r="AN52" s="80"/>
      <c r="AO52" s="80"/>
      <c r="AP52" s="80"/>
      <c r="AQ52" s="80"/>
      <c r="AR52" s="80"/>
      <c r="AS52" s="80"/>
      <c r="AT52" s="80"/>
      <c r="AU52" s="80"/>
      <c r="AV52" s="80"/>
      <c r="AW52" s="80"/>
      <c r="AX52" s="80"/>
      <c r="AY52" s="80"/>
      <c r="AZ52" s="80"/>
      <c r="BA52" s="80"/>
      <c r="BB52" s="80"/>
      <c r="BC52" s="80"/>
    </row>
    <row r="53" spans="1:55" s="111" customFormat="1" ht="76.5" x14ac:dyDescent="0.25">
      <c r="A53" s="110"/>
      <c r="C53" s="110"/>
      <c r="D53" s="243"/>
      <c r="E53" s="79"/>
      <c r="F53" s="84" t="s">
        <v>857</v>
      </c>
      <c r="G53" s="84" t="s">
        <v>309</v>
      </c>
      <c r="H53" s="42" t="s">
        <v>415</v>
      </c>
      <c r="I53" s="113" t="s">
        <v>416</v>
      </c>
      <c r="J53" s="113" t="s">
        <v>417</v>
      </c>
      <c r="K53" s="103" t="s">
        <v>858</v>
      </c>
      <c r="L53" s="103" t="s">
        <v>859</v>
      </c>
      <c r="M53" s="104"/>
      <c r="N53" s="104"/>
      <c r="O53" s="84" t="s">
        <v>860</v>
      </c>
      <c r="P53" s="103" t="s">
        <v>861</v>
      </c>
      <c r="Q53" s="85"/>
      <c r="R53" s="85"/>
      <c r="S53" s="84" t="s">
        <v>310</v>
      </c>
      <c r="T53" s="84" t="s">
        <v>311</v>
      </c>
      <c r="U53" s="84"/>
      <c r="V53" s="110"/>
      <c r="W53" s="112"/>
      <c r="X53" s="84"/>
      <c r="Y53" s="84"/>
      <c r="Z53" s="110"/>
      <c r="AA53" s="80" t="s">
        <v>292</v>
      </c>
      <c r="AB53" s="80" t="s">
        <v>624</v>
      </c>
      <c r="AC53" s="80" t="s">
        <v>625</v>
      </c>
      <c r="AD53" s="89"/>
      <c r="AE53" s="80"/>
      <c r="AF53" s="80"/>
      <c r="AH53" s="114"/>
      <c r="AI53" s="80"/>
      <c r="AJ53" s="80"/>
      <c r="AK53" s="80"/>
      <c r="AL53" s="80"/>
      <c r="AM53" s="80"/>
      <c r="AN53" s="80"/>
      <c r="AO53" s="80"/>
      <c r="AP53" s="80"/>
      <c r="AQ53" s="80"/>
      <c r="AR53" s="80"/>
      <c r="AS53" s="80"/>
      <c r="AT53" s="80"/>
      <c r="AU53" s="80"/>
      <c r="AV53" s="80"/>
      <c r="AW53" s="80"/>
      <c r="AX53" s="80"/>
      <c r="AY53" s="80"/>
      <c r="AZ53" s="80"/>
      <c r="BA53" s="80"/>
      <c r="BB53" s="80"/>
      <c r="BC53" s="80"/>
    </row>
    <row r="54" spans="1:55" ht="15" customHeight="1" x14ac:dyDescent="0.25">
      <c r="K54" s="88"/>
      <c r="L54" s="116"/>
      <c r="M54" s="116"/>
      <c r="N54" s="116"/>
      <c r="O54" s="116"/>
      <c r="P54" s="116"/>
      <c r="Q54" s="116"/>
      <c r="R54" s="116"/>
    </row>
    <row r="55" spans="1:55" ht="15" customHeight="1" x14ac:dyDescent="0.25">
      <c r="K55" s="88"/>
      <c r="L55" s="116"/>
      <c r="M55" s="116"/>
      <c r="N55" s="116"/>
      <c r="O55" s="116"/>
      <c r="P55" s="116"/>
      <c r="Q55" s="116"/>
      <c r="R55" s="116"/>
    </row>
    <row r="56" spans="1:55" ht="15" customHeight="1" x14ac:dyDescent="0.25">
      <c r="K56" s="88"/>
      <c r="L56" s="116"/>
      <c r="M56" s="116"/>
      <c r="N56" s="116"/>
      <c r="O56" s="116"/>
      <c r="P56" s="116"/>
      <c r="Q56" s="116"/>
      <c r="R56" s="116"/>
    </row>
    <row r="57" spans="1:55" ht="15" customHeight="1" x14ac:dyDescent="0.25">
      <c r="K57" s="88"/>
      <c r="L57" s="116"/>
      <c r="M57" s="116"/>
      <c r="N57" s="116"/>
      <c r="O57" s="116"/>
      <c r="P57" s="116"/>
      <c r="Q57" s="116"/>
      <c r="R57" s="116"/>
    </row>
    <row r="58" spans="1:55" ht="15" customHeight="1" x14ac:dyDescent="0.25">
      <c r="K58" s="88"/>
      <c r="L58" s="116"/>
      <c r="M58" s="116"/>
      <c r="N58" s="116"/>
      <c r="O58" s="116"/>
      <c r="P58" s="116"/>
      <c r="Q58" s="116"/>
      <c r="R58" s="116"/>
    </row>
    <row r="59" spans="1:55" ht="15" customHeight="1" x14ac:dyDescent="0.25">
      <c r="K59" s="88"/>
      <c r="L59" s="116"/>
      <c r="M59" s="116"/>
      <c r="N59" s="116"/>
      <c r="O59" s="116"/>
      <c r="P59" s="116"/>
      <c r="Q59" s="116"/>
      <c r="R59" s="116"/>
    </row>
    <row r="60" spans="1:55" ht="15" customHeight="1" x14ac:dyDescent="0.25">
      <c r="K60" s="88"/>
      <c r="L60" s="116"/>
      <c r="M60" s="116"/>
      <c r="N60" s="116"/>
      <c r="O60" s="116"/>
      <c r="P60" s="116"/>
      <c r="Q60" s="116"/>
      <c r="R60" s="116"/>
    </row>
    <row r="61" spans="1:55" ht="15" customHeight="1" x14ac:dyDescent="0.25">
      <c r="K61" s="88"/>
      <c r="L61" s="116"/>
      <c r="M61" s="116"/>
      <c r="N61" s="116"/>
      <c r="O61" s="116"/>
      <c r="P61" s="116"/>
      <c r="Q61" s="116"/>
      <c r="R61" s="116"/>
    </row>
    <row r="62" spans="1:55" ht="15" customHeight="1" x14ac:dyDescent="0.25">
      <c r="K62" s="88"/>
      <c r="L62" s="116"/>
      <c r="M62" s="116"/>
      <c r="N62" s="116"/>
      <c r="O62" s="116"/>
      <c r="P62" s="116"/>
      <c r="Q62" s="116"/>
      <c r="R62" s="116"/>
    </row>
    <row r="63" spans="1:55" ht="15" customHeight="1" x14ac:dyDescent="0.25">
      <c r="K63" s="88"/>
      <c r="L63" s="116"/>
      <c r="M63" s="116"/>
      <c r="N63" s="116"/>
      <c r="O63" s="116"/>
      <c r="P63" s="116"/>
      <c r="Q63" s="116"/>
      <c r="R63" s="116"/>
    </row>
    <row r="64" spans="1:55" ht="15" customHeight="1" x14ac:dyDescent="0.25">
      <c r="K64" s="88"/>
      <c r="L64" s="116"/>
      <c r="M64" s="116"/>
      <c r="N64" s="116"/>
      <c r="O64" s="116"/>
      <c r="P64" s="116"/>
      <c r="Q64" s="116"/>
      <c r="R64" s="116"/>
    </row>
    <row r="65" spans="11:18" ht="15" customHeight="1" x14ac:dyDescent="0.25">
      <c r="K65" s="88"/>
      <c r="L65" s="116"/>
      <c r="M65" s="116"/>
      <c r="N65" s="116"/>
      <c r="O65" s="116"/>
      <c r="P65" s="116"/>
      <c r="Q65" s="116"/>
      <c r="R65" s="116"/>
    </row>
    <row r="66" spans="11:18" ht="15" customHeight="1" x14ac:dyDescent="0.25">
      <c r="K66" s="88"/>
      <c r="L66" s="116"/>
      <c r="M66" s="116"/>
      <c r="N66" s="116"/>
      <c r="O66" s="116"/>
      <c r="P66" s="116"/>
      <c r="Q66" s="116"/>
      <c r="R66" s="116"/>
    </row>
    <row r="67" spans="11:18" ht="15" customHeight="1" x14ac:dyDescent="0.25">
      <c r="K67" s="88"/>
      <c r="L67" s="116"/>
      <c r="M67" s="116"/>
      <c r="N67" s="116"/>
      <c r="O67" s="116"/>
      <c r="P67" s="116"/>
      <c r="Q67" s="116"/>
      <c r="R67" s="116"/>
    </row>
    <row r="68" spans="11:18" ht="15" customHeight="1" x14ac:dyDescent="0.25">
      <c r="K68" s="88"/>
      <c r="L68" s="116"/>
      <c r="M68" s="116"/>
      <c r="N68" s="116"/>
      <c r="O68" s="116"/>
      <c r="P68" s="116"/>
      <c r="Q68" s="116"/>
      <c r="R68" s="116"/>
    </row>
    <row r="69" spans="11:18" ht="15" customHeight="1" x14ac:dyDescent="0.25">
      <c r="K69" s="88"/>
      <c r="L69" s="116"/>
      <c r="M69" s="116"/>
      <c r="N69" s="116"/>
      <c r="O69" s="116"/>
      <c r="P69" s="116"/>
      <c r="Q69" s="116"/>
      <c r="R69" s="116"/>
    </row>
    <row r="70" spans="11:18" ht="15" customHeight="1" x14ac:dyDescent="0.25">
      <c r="K70" s="88"/>
      <c r="L70" s="116"/>
      <c r="M70" s="116"/>
      <c r="N70" s="116"/>
      <c r="O70" s="116"/>
      <c r="P70" s="116"/>
      <c r="Q70" s="116"/>
      <c r="R70" s="116"/>
    </row>
    <row r="71" spans="11:18" ht="15" customHeight="1" x14ac:dyDescent="0.25">
      <c r="K71" s="88"/>
      <c r="L71" s="116"/>
      <c r="M71" s="116"/>
      <c r="N71" s="116"/>
      <c r="O71" s="116"/>
      <c r="P71" s="116"/>
      <c r="Q71" s="116"/>
      <c r="R71" s="116"/>
    </row>
    <row r="72" spans="11:18" ht="15" customHeight="1" x14ac:dyDescent="0.25">
      <c r="K72" s="88"/>
      <c r="L72" s="116"/>
      <c r="M72" s="116"/>
      <c r="N72" s="116"/>
      <c r="O72" s="116"/>
      <c r="P72" s="116"/>
      <c r="Q72" s="116"/>
      <c r="R72" s="116"/>
    </row>
    <row r="73" spans="11:18" ht="15" customHeight="1" x14ac:dyDescent="0.25">
      <c r="K73" s="88"/>
      <c r="L73" s="116"/>
      <c r="M73" s="116"/>
      <c r="N73" s="116"/>
      <c r="O73" s="116"/>
      <c r="P73" s="116"/>
      <c r="Q73" s="116"/>
      <c r="R73" s="116"/>
    </row>
    <row r="74" spans="11:18" ht="15" customHeight="1" x14ac:dyDescent="0.25">
      <c r="K74" s="88"/>
      <c r="L74" s="116"/>
      <c r="M74" s="116"/>
      <c r="N74" s="116"/>
      <c r="O74" s="116"/>
      <c r="P74" s="116"/>
      <c r="Q74" s="116"/>
      <c r="R74" s="116"/>
    </row>
    <row r="75" spans="11:18" ht="15" customHeight="1" x14ac:dyDescent="0.25">
      <c r="K75" s="88"/>
      <c r="L75" s="116"/>
      <c r="M75" s="116"/>
      <c r="N75" s="116"/>
      <c r="O75" s="116"/>
      <c r="P75" s="116"/>
      <c r="Q75" s="116"/>
      <c r="R75" s="116"/>
    </row>
    <row r="76" spans="11:18" ht="15" customHeight="1" x14ac:dyDescent="0.25">
      <c r="K76" s="88"/>
      <c r="L76" s="116"/>
      <c r="M76" s="116"/>
      <c r="N76" s="116"/>
      <c r="O76" s="116"/>
      <c r="P76" s="116"/>
      <c r="Q76" s="116"/>
      <c r="R76" s="116"/>
    </row>
    <row r="77" spans="11:18" ht="15" customHeight="1" x14ac:dyDescent="0.25">
      <c r="K77" s="88"/>
      <c r="L77" s="116"/>
      <c r="M77" s="116"/>
      <c r="N77" s="116"/>
      <c r="O77" s="116"/>
      <c r="P77" s="116"/>
      <c r="Q77" s="116"/>
      <c r="R77" s="116"/>
    </row>
    <row r="78" spans="11:18" ht="15" customHeight="1" x14ac:dyDescent="0.25">
      <c r="K78" s="88"/>
      <c r="L78" s="116"/>
      <c r="M78" s="116"/>
      <c r="N78" s="116"/>
      <c r="O78" s="116"/>
      <c r="P78" s="116"/>
      <c r="Q78" s="116"/>
      <c r="R78" s="116"/>
    </row>
    <row r="79" spans="11:18" ht="15" customHeight="1" x14ac:dyDescent="0.25">
      <c r="K79" s="88"/>
      <c r="L79" s="116"/>
      <c r="M79" s="116"/>
      <c r="N79" s="116"/>
      <c r="O79" s="116"/>
      <c r="P79" s="116"/>
      <c r="Q79" s="116"/>
      <c r="R79" s="116"/>
    </row>
    <row r="80" spans="11:18" ht="15" customHeight="1" x14ac:dyDescent="0.25">
      <c r="K80" s="88"/>
      <c r="L80" s="116"/>
      <c r="M80" s="116"/>
      <c r="N80" s="116"/>
      <c r="O80" s="116"/>
      <c r="P80" s="116"/>
      <c r="Q80" s="116"/>
      <c r="R80" s="116"/>
    </row>
    <row r="81" spans="11:18" ht="15" customHeight="1" x14ac:dyDescent="0.25">
      <c r="K81" s="88"/>
      <c r="L81" s="116"/>
      <c r="M81" s="116"/>
      <c r="N81" s="116"/>
      <c r="O81" s="116"/>
      <c r="P81" s="116"/>
      <c r="Q81" s="116"/>
      <c r="R81" s="116"/>
    </row>
    <row r="82" spans="11:18" ht="15" customHeight="1" x14ac:dyDescent="0.25">
      <c r="K82" s="88"/>
      <c r="L82" s="116"/>
      <c r="M82" s="116"/>
      <c r="N82" s="116"/>
      <c r="O82" s="116"/>
      <c r="P82" s="116"/>
      <c r="Q82" s="116"/>
      <c r="R82" s="116"/>
    </row>
    <row r="83" spans="11:18" ht="15" customHeight="1" x14ac:dyDescent="0.25">
      <c r="K83" s="88"/>
      <c r="L83" s="116"/>
      <c r="M83" s="116"/>
      <c r="N83" s="116"/>
      <c r="O83" s="116"/>
      <c r="P83" s="116"/>
      <c r="Q83" s="116"/>
      <c r="R83" s="116"/>
    </row>
    <row r="84" spans="11:18" ht="15" customHeight="1" x14ac:dyDescent="0.25">
      <c r="K84" s="88"/>
      <c r="L84" s="116"/>
      <c r="M84" s="116"/>
      <c r="N84" s="116"/>
      <c r="O84" s="116"/>
      <c r="P84" s="116"/>
      <c r="Q84" s="116"/>
      <c r="R84" s="116"/>
    </row>
    <row r="85" spans="11:18" ht="15" customHeight="1" x14ac:dyDescent="0.25">
      <c r="K85" s="88"/>
      <c r="L85" s="116"/>
      <c r="M85" s="116"/>
      <c r="N85" s="116"/>
      <c r="O85" s="116"/>
      <c r="P85" s="116"/>
      <c r="Q85" s="116"/>
      <c r="R85" s="116"/>
    </row>
    <row r="86" spans="11:18" ht="15" customHeight="1" x14ac:dyDescent="0.25">
      <c r="K86" s="88"/>
      <c r="L86" s="116"/>
      <c r="M86" s="116"/>
      <c r="N86" s="116"/>
      <c r="O86" s="116"/>
      <c r="P86" s="116"/>
      <c r="Q86" s="116"/>
      <c r="R86" s="116"/>
    </row>
    <row r="87" spans="11:18" ht="15" customHeight="1" x14ac:dyDescent="0.25">
      <c r="K87" s="88"/>
      <c r="L87" s="116"/>
      <c r="M87" s="116"/>
      <c r="N87" s="116"/>
      <c r="O87" s="116"/>
      <c r="P87" s="116"/>
      <c r="Q87" s="116"/>
      <c r="R87" s="116"/>
    </row>
    <row r="88" spans="11:18" ht="15" customHeight="1" x14ac:dyDescent="0.25">
      <c r="K88" s="88"/>
      <c r="L88" s="116"/>
      <c r="M88" s="116"/>
      <c r="N88" s="116"/>
      <c r="O88" s="116"/>
      <c r="P88" s="116"/>
      <c r="Q88" s="116"/>
      <c r="R88" s="116"/>
    </row>
    <row r="89" spans="11:18" ht="15" customHeight="1" x14ac:dyDescent="0.25">
      <c r="K89" s="88"/>
      <c r="L89" s="116"/>
      <c r="M89" s="116"/>
      <c r="N89" s="116"/>
      <c r="O89" s="116"/>
      <c r="P89" s="116"/>
      <c r="Q89" s="116"/>
      <c r="R89" s="116"/>
    </row>
    <row r="90" spans="11:18" ht="15" customHeight="1" x14ac:dyDescent="0.25">
      <c r="K90" s="88"/>
      <c r="L90" s="116"/>
      <c r="M90" s="116"/>
      <c r="N90" s="116"/>
      <c r="O90" s="116"/>
      <c r="P90" s="116"/>
      <c r="Q90" s="116"/>
      <c r="R90" s="116"/>
    </row>
    <row r="91" spans="11:18" ht="15" customHeight="1" x14ac:dyDescent="0.25">
      <c r="K91" s="88"/>
      <c r="L91" s="116"/>
      <c r="M91" s="116"/>
      <c r="N91" s="116"/>
      <c r="O91" s="116"/>
      <c r="P91" s="116"/>
      <c r="Q91" s="116"/>
      <c r="R91" s="116"/>
    </row>
    <row r="92" spans="11:18" ht="15" customHeight="1" x14ac:dyDescent="0.25">
      <c r="K92" s="88"/>
      <c r="L92" s="116"/>
      <c r="M92" s="116"/>
      <c r="N92" s="116"/>
      <c r="O92" s="116"/>
      <c r="P92" s="116"/>
      <c r="Q92" s="116"/>
      <c r="R92" s="116"/>
    </row>
    <row r="93" spans="11:18" ht="15" customHeight="1" x14ac:dyDescent="0.25">
      <c r="K93" s="88"/>
      <c r="L93" s="116"/>
      <c r="M93" s="116"/>
      <c r="N93" s="116"/>
      <c r="O93" s="116"/>
      <c r="P93" s="116"/>
      <c r="Q93" s="116"/>
      <c r="R93" s="116"/>
    </row>
    <row r="94" spans="11:18" ht="15" customHeight="1" x14ac:dyDescent="0.25">
      <c r="K94" s="88"/>
      <c r="L94" s="116"/>
      <c r="M94" s="116"/>
      <c r="N94" s="116"/>
      <c r="O94" s="116"/>
      <c r="P94" s="116"/>
      <c r="Q94" s="116"/>
      <c r="R94" s="116"/>
    </row>
    <row r="95" spans="11:18" ht="15" customHeight="1" x14ac:dyDescent="0.25">
      <c r="K95" s="88"/>
      <c r="L95" s="116"/>
      <c r="M95" s="116"/>
      <c r="N95" s="116"/>
      <c r="O95" s="116"/>
      <c r="P95" s="116"/>
      <c r="Q95" s="116"/>
      <c r="R95" s="116"/>
    </row>
    <row r="96" spans="11:18" ht="15" customHeight="1" x14ac:dyDescent="0.25">
      <c r="K96" s="88"/>
      <c r="L96" s="116"/>
      <c r="M96" s="116"/>
      <c r="N96" s="116"/>
      <c r="O96" s="116"/>
      <c r="P96" s="116"/>
      <c r="Q96" s="116"/>
      <c r="R96" s="116"/>
    </row>
    <row r="97" spans="11:18" ht="15" customHeight="1" x14ac:dyDescent="0.25">
      <c r="K97" s="88"/>
      <c r="L97" s="116"/>
      <c r="M97" s="116"/>
      <c r="N97" s="116"/>
      <c r="O97" s="116"/>
      <c r="P97" s="116"/>
      <c r="Q97" s="116"/>
      <c r="R97" s="116"/>
    </row>
    <row r="98" spans="11:18" ht="15" customHeight="1" x14ac:dyDescent="0.25">
      <c r="K98" s="88"/>
      <c r="L98" s="116"/>
      <c r="M98" s="116"/>
      <c r="N98" s="116"/>
      <c r="O98" s="116"/>
      <c r="P98" s="116"/>
      <c r="Q98" s="116"/>
      <c r="R98" s="116"/>
    </row>
    <row r="99" spans="11:18" ht="15" customHeight="1" x14ac:dyDescent="0.25">
      <c r="K99" s="88"/>
      <c r="L99" s="116"/>
      <c r="M99" s="116"/>
      <c r="N99" s="116"/>
      <c r="O99" s="116"/>
      <c r="P99" s="116"/>
      <c r="Q99" s="116"/>
      <c r="R99" s="116"/>
    </row>
    <row r="100" spans="11:18" ht="15" customHeight="1" x14ac:dyDescent="0.25">
      <c r="K100" s="88"/>
      <c r="L100" s="116"/>
      <c r="M100" s="116"/>
      <c r="N100" s="116"/>
      <c r="O100" s="116"/>
      <c r="P100" s="116"/>
      <c r="Q100" s="116"/>
      <c r="R100" s="116"/>
    </row>
    <row r="101" spans="11:18" ht="15" customHeight="1" x14ac:dyDescent="0.25">
      <c r="K101" s="88"/>
      <c r="L101" s="116"/>
      <c r="M101" s="116"/>
      <c r="N101" s="116"/>
      <c r="O101" s="116"/>
      <c r="P101" s="116"/>
      <c r="Q101" s="116"/>
      <c r="R101" s="116"/>
    </row>
    <row r="102" spans="11:18" ht="15" customHeight="1" x14ac:dyDescent="0.25">
      <c r="K102" s="88"/>
      <c r="L102" s="116"/>
      <c r="M102" s="116"/>
      <c r="N102" s="116"/>
      <c r="O102" s="116"/>
      <c r="P102" s="116"/>
      <c r="Q102" s="116"/>
      <c r="R102" s="116"/>
    </row>
    <row r="103" spans="11:18" ht="15" customHeight="1" x14ac:dyDescent="0.25">
      <c r="K103" s="88"/>
      <c r="L103" s="116"/>
      <c r="M103" s="116"/>
      <c r="N103" s="116"/>
      <c r="O103" s="116"/>
      <c r="P103" s="116"/>
      <c r="Q103" s="116"/>
      <c r="R103" s="116"/>
    </row>
    <row r="104" spans="11:18" ht="15" customHeight="1" x14ac:dyDescent="0.25">
      <c r="K104" s="88"/>
      <c r="L104" s="116"/>
      <c r="M104" s="116"/>
      <c r="N104" s="116"/>
      <c r="O104" s="116"/>
      <c r="P104" s="116"/>
      <c r="Q104" s="116"/>
      <c r="R104" s="116"/>
    </row>
    <row r="105" spans="11:18" ht="15" customHeight="1" x14ac:dyDescent="0.25">
      <c r="K105" s="88"/>
      <c r="L105" s="116"/>
      <c r="M105" s="116"/>
      <c r="N105" s="116"/>
      <c r="O105" s="116"/>
      <c r="P105" s="116"/>
      <c r="Q105" s="116"/>
      <c r="R105" s="116"/>
    </row>
    <row r="106" spans="11:18" ht="15" customHeight="1" x14ac:dyDescent="0.25">
      <c r="K106" s="88"/>
      <c r="L106" s="116"/>
      <c r="M106" s="116"/>
      <c r="N106" s="116"/>
      <c r="O106" s="116"/>
      <c r="P106" s="116"/>
      <c r="Q106" s="116"/>
      <c r="R106" s="116"/>
    </row>
    <row r="107" spans="11:18" ht="13.5" customHeight="1" x14ac:dyDescent="0.25">
      <c r="K107" s="88"/>
      <c r="L107" s="116"/>
      <c r="M107" s="116"/>
      <c r="N107" s="116"/>
      <c r="O107" s="116"/>
      <c r="P107" s="116"/>
      <c r="Q107" s="116"/>
      <c r="R107" s="116"/>
    </row>
    <row r="108" spans="11:18" ht="13.5" customHeight="1" x14ac:dyDescent="0.25">
      <c r="K108" s="88"/>
      <c r="L108" s="116"/>
      <c r="M108" s="116"/>
      <c r="N108" s="116"/>
      <c r="O108" s="116"/>
      <c r="P108" s="116"/>
      <c r="Q108" s="116"/>
      <c r="R108" s="116"/>
    </row>
    <row r="109" spans="11:18" ht="13.5" customHeight="1" x14ac:dyDescent="0.25">
      <c r="K109" s="88"/>
      <c r="L109" s="116"/>
      <c r="M109" s="116"/>
      <c r="N109" s="116"/>
      <c r="O109" s="116"/>
      <c r="P109" s="116"/>
      <c r="Q109" s="116"/>
      <c r="R109" s="116"/>
    </row>
    <row r="110" spans="11:18" ht="13.5" customHeight="1" x14ac:dyDescent="0.25">
      <c r="K110" s="88"/>
      <c r="L110" s="116"/>
      <c r="M110" s="116"/>
      <c r="N110" s="116"/>
      <c r="O110" s="116"/>
      <c r="P110" s="116"/>
      <c r="Q110" s="116"/>
      <c r="R110" s="116"/>
    </row>
    <row r="111" spans="11:18" ht="13.5" customHeight="1" x14ac:dyDescent="0.25">
      <c r="K111" s="88"/>
      <c r="L111" s="116"/>
      <c r="M111" s="116"/>
      <c r="N111" s="116"/>
      <c r="O111" s="116"/>
      <c r="P111" s="116"/>
      <c r="Q111" s="116"/>
      <c r="R111" s="116"/>
    </row>
    <row r="112" spans="11:18" ht="13.5" customHeight="1" x14ac:dyDescent="0.25">
      <c r="K112" s="88"/>
      <c r="L112" s="116"/>
      <c r="M112" s="116"/>
      <c r="N112" s="116"/>
      <c r="O112" s="116"/>
      <c r="P112" s="116"/>
      <c r="Q112" s="116"/>
      <c r="R112" s="116"/>
    </row>
    <row r="113" spans="11:18" ht="13.5" customHeight="1" x14ac:dyDescent="0.25">
      <c r="K113" s="88"/>
      <c r="L113" s="116"/>
      <c r="M113" s="116"/>
      <c r="N113" s="116"/>
      <c r="O113" s="116"/>
      <c r="P113" s="116"/>
      <c r="Q113" s="116"/>
      <c r="R113" s="116"/>
    </row>
    <row r="114" spans="11:18" ht="13.5" customHeight="1" x14ac:dyDescent="0.25">
      <c r="K114" s="88"/>
      <c r="L114" s="116"/>
      <c r="M114" s="116"/>
      <c r="N114" s="116"/>
      <c r="O114" s="116"/>
      <c r="P114" s="116"/>
      <c r="Q114" s="116"/>
      <c r="R114" s="116"/>
    </row>
    <row r="115" spans="11:18" ht="13.5" customHeight="1" x14ac:dyDescent="0.25">
      <c r="K115" s="88"/>
      <c r="L115" s="116"/>
      <c r="M115" s="116"/>
      <c r="N115" s="116"/>
      <c r="O115" s="116"/>
      <c r="P115" s="116"/>
      <c r="Q115" s="116"/>
      <c r="R115" s="116"/>
    </row>
    <row r="116" spans="11:18" ht="13.5" customHeight="1" x14ac:dyDescent="0.25">
      <c r="K116" s="88"/>
      <c r="L116" s="116"/>
      <c r="M116" s="116"/>
      <c r="N116" s="116"/>
      <c r="O116" s="116"/>
      <c r="P116" s="116"/>
      <c r="Q116" s="116"/>
      <c r="R116" s="116"/>
    </row>
    <row r="117" spans="11:18" ht="13.5" customHeight="1" x14ac:dyDescent="0.25">
      <c r="K117" s="88"/>
      <c r="L117" s="116"/>
      <c r="M117" s="116"/>
      <c r="N117" s="116"/>
      <c r="O117" s="116"/>
      <c r="P117" s="116"/>
      <c r="Q117" s="116"/>
      <c r="R117" s="116"/>
    </row>
    <row r="118" spans="11:18" ht="13.5" customHeight="1" x14ac:dyDescent="0.25">
      <c r="K118" s="88"/>
      <c r="L118" s="116"/>
      <c r="M118" s="116"/>
      <c r="N118" s="116"/>
      <c r="O118" s="116"/>
      <c r="P118" s="116"/>
      <c r="Q118" s="116"/>
      <c r="R118" s="116"/>
    </row>
    <row r="119" spans="11:18" ht="13.5" customHeight="1" x14ac:dyDescent="0.25">
      <c r="K119" s="88"/>
      <c r="L119" s="116"/>
      <c r="M119" s="116"/>
      <c r="N119" s="116"/>
      <c r="O119" s="116"/>
      <c r="P119" s="116"/>
      <c r="Q119" s="116"/>
      <c r="R119" s="116"/>
    </row>
    <row r="120" spans="11:18" ht="13.5" customHeight="1" x14ac:dyDescent="0.25">
      <c r="K120" s="88"/>
      <c r="L120" s="116"/>
      <c r="M120" s="116"/>
      <c r="N120" s="116"/>
      <c r="O120" s="116"/>
      <c r="P120" s="116"/>
      <c r="Q120" s="116"/>
      <c r="R120" s="116"/>
    </row>
    <row r="121" spans="11:18" ht="13.5" customHeight="1" x14ac:dyDescent="0.25">
      <c r="K121" s="88"/>
      <c r="L121" s="116"/>
      <c r="M121" s="116"/>
      <c r="N121" s="116"/>
      <c r="O121" s="116"/>
      <c r="P121" s="116"/>
      <c r="Q121" s="116"/>
      <c r="R121" s="116"/>
    </row>
    <row r="122" spans="11:18" ht="13.5" customHeight="1" x14ac:dyDescent="0.25">
      <c r="K122" s="88"/>
      <c r="L122" s="116"/>
      <c r="M122" s="116"/>
      <c r="N122" s="116"/>
      <c r="O122" s="116"/>
      <c r="P122" s="116"/>
      <c r="Q122" s="116"/>
      <c r="R122" s="116"/>
    </row>
    <row r="123" spans="11:18" ht="13.5" customHeight="1" x14ac:dyDescent="0.25">
      <c r="K123" s="88"/>
      <c r="L123" s="116"/>
      <c r="M123" s="116"/>
      <c r="N123" s="116"/>
      <c r="O123" s="116"/>
      <c r="P123" s="116"/>
      <c r="Q123" s="116"/>
      <c r="R123" s="116"/>
    </row>
    <row r="124" spans="11:18" ht="13.5" customHeight="1" x14ac:dyDescent="0.25">
      <c r="K124" s="88"/>
      <c r="L124" s="116"/>
      <c r="M124" s="116"/>
      <c r="N124" s="116"/>
      <c r="O124" s="116"/>
      <c r="P124" s="116"/>
      <c r="Q124" s="116"/>
      <c r="R124" s="116"/>
    </row>
    <row r="125" spans="11:18" ht="13.5" customHeight="1" x14ac:dyDescent="0.25">
      <c r="K125" s="88"/>
      <c r="L125" s="116"/>
      <c r="M125" s="116"/>
      <c r="N125" s="116"/>
      <c r="O125" s="116"/>
      <c r="P125" s="116"/>
      <c r="Q125" s="116"/>
      <c r="R125" s="116"/>
    </row>
    <row r="126" spans="11:18" ht="13.5" customHeight="1" x14ac:dyDescent="0.25">
      <c r="K126" s="88"/>
      <c r="L126" s="116"/>
      <c r="M126" s="116"/>
      <c r="N126" s="116"/>
      <c r="O126" s="116"/>
      <c r="P126" s="116"/>
      <c r="Q126" s="116"/>
      <c r="R126" s="116"/>
    </row>
    <row r="127" spans="11:18" ht="13.5" customHeight="1" x14ac:dyDescent="0.25">
      <c r="K127" s="88"/>
      <c r="L127" s="116"/>
      <c r="M127" s="116"/>
      <c r="N127" s="116"/>
      <c r="O127" s="116"/>
      <c r="P127" s="116"/>
      <c r="Q127" s="116"/>
      <c r="R127" s="116"/>
    </row>
    <row r="128" spans="11:18" ht="13.5" customHeight="1" x14ac:dyDescent="0.25">
      <c r="K128" s="88"/>
      <c r="L128" s="116"/>
      <c r="M128" s="116"/>
      <c r="N128" s="116"/>
      <c r="O128" s="116"/>
      <c r="P128" s="116"/>
      <c r="Q128" s="116"/>
      <c r="R128" s="116"/>
    </row>
    <row r="129" spans="11:18" ht="13.5" customHeight="1" x14ac:dyDescent="0.25">
      <c r="K129" s="88"/>
      <c r="L129" s="116"/>
      <c r="M129" s="116"/>
      <c r="N129" s="116"/>
      <c r="O129" s="116"/>
      <c r="P129" s="116"/>
      <c r="Q129" s="116"/>
      <c r="R129" s="116"/>
    </row>
    <row r="130" spans="11:18" ht="13.5" customHeight="1" x14ac:dyDescent="0.25">
      <c r="K130" s="88"/>
      <c r="L130" s="116"/>
      <c r="M130" s="116"/>
      <c r="N130" s="116"/>
      <c r="O130" s="116"/>
      <c r="P130" s="116"/>
      <c r="Q130" s="116"/>
      <c r="R130" s="116"/>
    </row>
    <row r="131" spans="11:18" ht="13.5" customHeight="1" x14ac:dyDescent="0.25">
      <c r="K131" s="88"/>
      <c r="L131" s="116"/>
      <c r="M131" s="116"/>
      <c r="N131" s="116"/>
      <c r="O131" s="116"/>
      <c r="P131" s="116"/>
      <c r="Q131" s="116"/>
      <c r="R131" s="116"/>
    </row>
    <row r="132" spans="11:18" ht="13.5" customHeight="1" x14ac:dyDescent="0.25">
      <c r="K132" s="88"/>
      <c r="L132" s="116"/>
      <c r="M132" s="116"/>
      <c r="N132" s="116"/>
      <c r="O132" s="116"/>
      <c r="P132" s="116"/>
      <c r="Q132" s="116"/>
      <c r="R132" s="116"/>
    </row>
    <row r="133" spans="11:18" ht="13.5" customHeight="1" x14ac:dyDescent="0.25">
      <c r="K133" s="88"/>
      <c r="L133" s="116"/>
      <c r="M133" s="116"/>
      <c r="N133" s="116"/>
      <c r="O133" s="116"/>
      <c r="P133" s="116"/>
      <c r="Q133" s="116"/>
      <c r="R133" s="116"/>
    </row>
    <row r="134" spans="11:18" ht="13.5" customHeight="1" x14ac:dyDescent="0.25">
      <c r="K134" s="88"/>
      <c r="L134" s="116"/>
      <c r="M134" s="116"/>
      <c r="N134" s="116"/>
      <c r="O134" s="116"/>
      <c r="P134" s="116"/>
      <c r="Q134" s="116"/>
      <c r="R134" s="116"/>
    </row>
    <row r="135" spans="11:18" ht="13.5" customHeight="1" x14ac:dyDescent="0.25">
      <c r="K135" s="88"/>
      <c r="L135" s="116"/>
      <c r="M135" s="116"/>
      <c r="N135" s="116"/>
      <c r="O135" s="116"/>
      <c r="P135" s="116"/>
      <c r="Q135" s="116"/>
      <c r="R135" s="116"/>
    </row>
    <row r="136" spans="11:18" ht="13.5" customHeight="1" x14ac:dyDescent="0.25">
      <c r="K136" s="88"/>
      <c r="L136" s="116"/>
      <c r="M136" s="116"/>
      <c r="N136" s="116"/>
      <c r="O136" s="116"/>
      <c r="P136" s="116"/>
      <c r="Q136" s="116"/>
      <c r="R136" s="116"/>
    </row>
    <row r="137" spans="11:18" ht="13.5" customHeight="1" x14ac:dyDescent="0.25">
      <c r="K137" s="88"/>
      <c r="L137" s="116"/>
      <c r="M137" s="116"/>
      <c r="N137" s="116"/>
      <c r="O137" s="116"/>
      <c r="P137" s="116"/>
      <c r="Q137" s="116"/>
      <c r="R137" s="116"/>
    </row>
    <row r="138" spans="11:18" ht="13.5" customHeight="1" x14ac:dyDescent="0.25">
      <c r="K138" s="88"/>
      <c r="L138" s="116"/>
      <c r="M138" s="116"/>
      <c r="N138" s="116"/>
      <c r="O138" s="116"/>
      <c r="P138" s="116"/>
      <c r="Q138" s="116"/>
      <c r="R138" s="116"/>
    </row>
    <row r="139" spans="11:18" ht="13.5" customHeight="1" x14ac:dyDescent="0.25">
      <c r="K139" s="88"/>
      <c r="L139" s="116"/>
      <c r="M139" s="116"/>
      <c r="N139" s="116"/>
      <c r="O139" s="116"/>
      <c r="P139" s="116"/>
      <c r="Q139" s="116"/>
      <c r="R139" s="116"/>
    </row>
    <row r="140" spans="11:18" ht="13.5" customHeight="1" x14ac:dyDescent="0.25">
      <c r="K140" s="88"/>
      <c r="L140" s="116"/>
      <c r="M140" s="116"/>
      <c r="N140" s="116"/>
      <c r="O140" s="116"/>
      <c r="P140" s="116"/>
      <c r="Q140" s="116"/>
      <c r="R140" s="116"/>
    </row>
    <row r="141" spans="11:18" ht="13.5" customHeight="1" x14ac:dyDescent="0.25">
      <c r="K141" s="88"/>
      <c r="L141" s="116"/>
      <c r="M141" s="116"/>
      <c r="N141" s="116"/>
      <c r="O141" s="116"/>
      <c r="P141" s="116"/>
      <c r="Q141" s="116"/>
      <c r="R141" s="116"/>
    </row>
    <row r="142" spans="11:18" ht="13.5" customHeight="1" x14ac:dyDescent="0.25">
      <c r="K142" s="88"/>
      <c r="L142" s="116"/>
      <c r="M142" s="116"/>
      <c r="N142" s="116"/>
      <c r="O142" s="116"/>
      <c r="P142" s="116"/>
      <c r="Q142" s="116"/>
      <c r="R142" s="116"/>
    </row>
    <row r="143" spans="11:18" ht="13.5" customHeight="1" x14ac:dyDescent="0.25">
      <c r="K143" s="88"/>
      <c r="L143" s="116"/>
      <c r="M143" s="116"/>
      <c r="N143" s="116"/>
      <c r="O143" s="116"/>
      <c r="P143" s="116"/>
      <c r="Q143" s="116"/>
      <c r="R143" s="116"/>
    </row>
    <row r="144" spans="11:18" ht="13.5" customHeight="1" x14ac:dyDescent="0.25">
      <c r="K144" s="88"/>
      <c r="L144" s="116"/>
      <c r="M144" s="116"/>
      <c r="N144" s="116"/>
      <c r="O144" s="116"/>
      <c r="P144" s="116"/>
      <c r="Q144" s="116"/>
      <c r="R144" s="116"/>
    </row>
    <row r="145" spans="11:18" ht="13.5" customHeight="1" x14ac:dyDescent="0.25">
      <c r="K145" s="88"/>
      <c r="L145" s="116"/>
      <c r="M145" s="116"/>
      <c r="N145" s="116"/>
      <c r="O145" s="116"/>
      <c r="P145" s="116"/>
      <c r="Q145" s="116"/>
      <c r="R145" s="116"/>
    </row>
    <row r="146" spans="11:18" ht="13.5" customHeight="1" x14ac:dyDescent="0.25">
      <c r="K146" s="88"/>
      <c r="L146" s="116"/>
      <c r="M146" s="116"/>
      <c r="N146" s="116"/>
      <c r="O146" s="116"/>
      <c r="P146" s="116"/>
      <c r="Q146" s="116"/>
      <c r="R146" s="116"/>
    </row>
    <row r="147" spans="11:18" ht="13.5" customHeight="1" x14ac:dyDescent="0.25">
      <c r="K147" s="88"/>
      <c r="L147" s="116"/>
      <c r="M147" s="116"/>
      <c r="N147" s="116"/>
      <c r="O147" s="116"/>
      <c r="P147" s="116"/>
      <c r="Q147" s="116"/>
      <c r="R147" s="116"/>
    </row>
    <row r="148" spans="11:18" ht="13.5" customHeight="1" x14ac:dyDescent="0.25">
      <c r="K148" s="88"/>
      <c r="L148" s="116"/>
      <c r="M148" s="116"/>
      <c r="N148" s="116"/>
      <c r="O148" s="116"/>
      <c r="P148" s="116"/>
      <c r="Q148" s="116"/>
      <c r="R148" s="116"/>
    </row>
    <row r="149" spans="11:18" ht="13.5" customHeight="1" x14ac:dyDescent="0.25">
      <c r="K149" s="88"/>
      <c r="L149" s="116"/>
      <c r="M149" s="116"/>
      <c r="N149" s="116"/>
      <c r="O149" s="116"/>
      <c r="P149" s="116"/>
      <c r="Q149" s="116"/>
      <c r="R149" s="116"/>
    </row>
    <row r="150" spans="11:18" ht="13.5" customHeight="1" x14ac:dyDescent="0.25">
      <c r="K150" s="88"/>
      <c r="L150" s="116"/>
      <c r="M150" s="116"/>
      <c r="N150" s="116"/>
      <c r="O150" s="116"/>
      <c r="P150" s="116"/>
      <c r="Q150" s="116"/>
      <c r="R150" s="116"/>
    </row>
    <row r="151" spans="11:18" ht="13.5" customHeight="1" x14ac:dyDescent="0.25">
      <c r="K151" s="88"/>
      <c r="L151" s="116"/>
      <c r="M151" s="116"/>
      <c r="N151" s="116"/>
      <c r="O151" s="116"/>
      <c r="P151" s="116"/>
      <c r="Q151" s="116"/>
      <c r="R151" s="116"/>
    </row>
    <row r="152" spans="11:18" ht="13.5" customHeight="1" x14ac:dyDescent="0.25">
      <c r="K152" s="88"/>
      <c r="L152" s="116"/>
      <c r="M152" s="116"/>
      <c r="N152" s="116"/>
      <c r="O152" s="116"/>
      <c r="P152" s="116"/>
      <c r="Q152" s="116"/>
      <c r="R152" s="116"/>
    </row>
    <row r="153" spans="11:18" ht="13.5" customHeight="1" x14ac:dyDescent="0.25">
      <c r="K153" s="88"/>
      <c r="L153" s="116"/>
      <c r="M153" s="116"/>
      <c r="N153" s="116"/>
      <c r="O153" s="116"/>
      <c r="P153" s="116"/>
      <c r="Q153" s="116"/>
      <c r="R153" s="116"/>
    </row>
    <row r="154" spans="11:18" ht="13.5" customHeight="1" x14ac:dyDescent="0.25">
      <c r="K154" s="88"/>
      <c r="L154" s="116"/>
      <c r="M154" s="116"/>
      <c r="N154" s="116"/>
      <c r="O154" s="116"/>
      <c r="P154" s="116"/>
      <c r="Q154" s="116"/>
      <c r="R154" s="116"/>
    </row>
    <row r="155" spans="11:18" ht="13.5" customHeight="1" x14ac:dyDescent="0.25">
      <c r="K155" s="88"/>
      <c r="L155" s="116"/>
      <c r="M155" s="116"/>
      <c r="N155" s="116"/>
      <c r="O155" s="116"/>
      <c r="P155" s="116"/>
      <c r="Q155" s="116"/>
      <c r="R155" s="116"/>
    </row>
    <row r="156" spans="11:18" ht="13.5" customHeight="1" x14ac:dyDescent="0.25">
      <c r="K156" s="88"/>
      <c r="L156" s="116"/>
      <c r="M156" s="116"/>
      <c r="N156" s="116"/>
      <c r="O156" s="116"/>
      <c r="P156" s="116"/>
      <c r="Q156" s="116"/>
      <c r="R156" s="116"/>
    </row>
    <row r="157" spans="11:18" ht="13.5" customHeight="1" x14ac:dyDescent="0.25">
      <c r="K157" s="88"/>
      <c r="L157" s="116"/>
      <c r="M157" s="116"/>
      <c r="N157" s="116"/>
      <c r="O157" s="116"/>
      <c r="P157" s="116"/>
      <c r="Q157" s="116"/>
      <c r="R157" s="116"/>
    </row>
    <row r="158" spans="11:18" ht="13.5" customHeight="1" x14ac:dyDescent="0.25">
      <c r="K158" s="88"/>
      <c r="L158" s="116"/>
      <c r="M158" s="116"/>
      <c r="N158" s="116"/>
      <c r="O158" s="116"/>
      <c r="P158" s="116"/>
      <c r="Q158" s="116"/>
      <c r="R158" s="116"/>
    </row>
    <row r="159" spans="11:18" ht="13.5" customHeight="1" x14ac:dyDescent="0.25">
      <c r="K159" s="88"/>
      <c r="L159" s="116"/>
      <c r="M159" s="116"/>
      <c r="N159" s="116"/>
      <c r="O159" s="116"/>
      <c r="P159" s="116"/>
      <c r="Q159" s="116"/>
      <c r="R159" s="116"/>
    </row>
    <row r="160" spans="11:18" ht="13.5" customHeight="1" x14ac:dyDescent="0.25">
      <c r="K160" s="88"/>
      <c r="L160" s="116"/>
      <c r="M160" s="116"/>
      <c r="N160" s="116"/>
      <c r="O160" s="116"/>
      <c r="P160" s="116"/>
      <c r="Q160" s="116"/>
      <c r="R160" s="116"/>
    </row>
    <row r="161" spans="11:18" ht="13.5" customHeight="1" x14ac:dyDescent="0.25">
      <c r="K161" s="88"/>
      <c r="L161" s="116"/>
      <c r="M161" s="116"/>
      <c r="N161" s="116"/>
      <c r="O161" s="116"/>
      <c r="P161" s="116"/>
      <c r="Q161" s="116"/>
      <c r="R161" s="116"/>
    </row>
    <row r="162" spans="11:18" ht="13.5" customHeight="1" x14ac:dyDescent="0.25">
      <c r="K162" s="88"/>
      <c r="L162" s="116"/>
      <c r="M162" s="116"/>
      <c r="N162" s="116"/>
      <c r="O162" s="116"/>
      <c r="P162" s="116"/>
      <c r="Q162" s="116"/>
      <c r="R162" s="116"/>
    </row>
    <row r="163" spans="11:18" ht="13.5" customHeight="1" x14ac:dyDescent="0.25">
      <c r="K163" s="88"/>
      <c r="L163" s="116"/>
      <c r="M163" s="116"/>
      <c r="N163" s="116"/>
      <c r="O163" s="116"/>
      <c r="P163" s="116"/>
      <c r="Q163" s="116"/>
      <c r="R163" s="116"/>
    </row>
    <row r="164" spans="11:18" ht="13.5" customHeight="1" x14ac:dyDescent="0.25">
      <c r="K164" s="88"/>
      <c r="L164" s="116"/>
      <c r="M164" s="116"/>
      <c r="N164" s="116"/>
      <c r="O164" s="116"/>
      <c r="P164" s="116"/>
      <c r="Q164" s="116"/>
      <c r="R164" s="116"/>
    </row>
    <row r="165" spans="11:18" ht="13.5" customHeight="1" x14ac:dyDescent="0.25">
      <c r="K165" s="88"/>
      <c r="L165" s="116"/>
      <c r="M165" s="116"/>
      <c r="N165" s="116"/>
      <c r="O165" s="116"/>
      <c r="P165" s="116"/>
      <c r="Q165" s="116"/>
      <c r="R165" s="116"/>
    </row>
    <row r="166" spans="11:18" ht="13.5" customHeight="1" x14ac:dyDescent="0.25">
      <c r="K166" s="88"/>
      <c r="L166" s="116"/>
      <c r="M166" s="116"/>
      <c r="N166" s="116"/>
      <c r="O166" s="116"/>
      <c r="P166" s="116"/>
      <c r="Q166" s="116"/>
      <c r="R166" s="116"/>
    </row>
    <row r="167" spans="11:18" ht="13.5" customHeight="1" x14ac:dyDescent="0.25">
      <c r="K167" s="88"/>
      <c r="L167" s="116"/>
      <c r="M167" s="116"/>
      <c r="N167" s="116"/>
      <c r="O167" s="116"/>
      <c r="P167" s="116"/>
      <c r="Q167" s="116"/>
      <c r="R167" s="116"/>
    </row>
    <row r="168" spans="11:18" ht="13.5" customHeight="1" x14ac:dyDescent="0.25">
      <c r="K168" s="88"/>
      <c r="L168" s="116"/>
      <c r="M168" s="116"/>
      <c r="N168" s="116"/>
      <c r="O168" s="116"/>
      <c r="P168" s="116"/>
      <c r="Q168" s="116"/>
      <c r="R168" s="116"/>
    </row>
    <row r="169" spans="11:18" ht="13.5" customHeight="1" x14ac:dyDescent="0.25">
      <c r="K169" s="88"/>
      <c r="L169" s="116"/>
      <c r="M169" s="116"/>
      <c r="N169" s="116"/>
      <c r="O169" s="116"/>
      <c r="P169" s="116"/>
      <c r="Q169" s="116"/>
      <c r="R169" s="116"/>
    </row>
    <row r="170" spans="11:18" ht="13.5" customHeight="1" x14ac:dyDescent="0.25">
      <c r="K170" s="88"/>
      <c r="L170" s="116"/>
      <c r="M170" s="116"/>
      <c r="N170" s="116"/>
      <c r="O170" s="116"/>
      <c r="P170" s="116"/>
      <c r="Q170" s="116"/>
      <c r="R170" s="116"/>
    </row>
    <row r="171" spans="11:18" ht="13.5" customHeight="1" x14ac:dyDescent="0.25"/>
    <row r="172" spans="11:18" ht="13.5" customHeight="1" x14ac:dyDescent="0.25"/>
    <row r="173" spans="11:18" ht="13.5" customHeight="1" x14ac:dyDescent="0.25"/>
    <row r="174" spans="11:18" ht="13.5" customHeight="1" x14ac:dyDescent="0.25"/>
    <row r="175" spans="11:18" ht="13.5" customHeight="1" x14ac:dyDescent="0.25"/>
    <row r="176" spans="11:18"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sheetData>
  <autoFilter ref="A6:Z6" xr:uid="{00000000-0009-0000-0000-000004000000}"/>
  <dataValidations count="10">
    <dataValidation type="list" allowBlank="1" sqref="L2:L6 L232:L1982" xr:uid="{00000000-0002-0000-0400-000000000000}">
      <formula1>Beschreibung</formula1>
    </dataValidation>
    <dataValidation type="date" allowBlank="1" showInputMessage="1" showErrorMessage="1" promptTitle="Versionsdatum" prompt="Datum im Format YYYY-MM-DD eintragen." sqref="Y232:Y1982" xr:uid="{00000000-0002-0000-0400-000001000000}">
      <formula1>DATE(2000,1,1)</formula1>
      <formula2>DATE(2100,12,31)</formula2>
    </dataValidation>
    <dataValidation type="list" allowBlank="1" sqref="H7:H53 H201:H1984" xr:uid="{00000000-0002-0000-0400-000002000000}">
      <formula1>Merkmals_Zuordnung</formula1>
    </dataValidation>
    <dataValidation type="list" allowBlank="1" sqref="I7:I53 I201:I1984" xr:uid="{00000000-0002-0000-0400-000003000000}">
      <formula1>Attribution_de_propriete</formula1>
    </dataValidation>
    <dataValidation type="list" allowBlank="1" sqref="J7:J53 J201:J1984" xr:uid="{00000000-0002-0000-0400-000004000000}">
      <formula1>Assegnazione_della_proprieta</formula1>
    </dataValidation>
    <dataValidation type="date" operator="greaterThanOrEqual" sqref="AB7:AB53" xr:uid="{00000000-0002-0000-0400-000009000000}">
      <formula1>DATE(2000,1,1)</formula1>
    </dataValidation>
    <dataValidation type="list" allowBlank="1" sqref="S7:S1984" xr:uid="{00000000-0002-0000-0400-000005000000}">
      <formula1>DataType</formula1>
    </dataValidation>
    <dataValidation type="list" allowBlank="1" sqref="T7:T1984" xr:uid="{00000000-0002-0000-0400-000006000000}">
      <formula1>IFC_Data_Type</formula1>
    </dataValidation>
    <dataValidation type="list" allowBlank="1" sqref="AA7:AA1984" xr:uid="{00000000-0002-0000-0400-000007000000}">
      <formula1>Status</formula1>
    </dataValidation>
    <dataValidation type="list" allowBlank="1" sqref="G7:G1984" xr:uid="{00000000-0002-0000-0400-000008000000}">
      <formula1>Property_Classification</formula1>
    </dataValidation>
  </dataValidations>
  <hyperlinks>
    <hyperlink ref="W38" r:id="rId1" xr:uid="{AC71FB1E-F72B-4F06-BF91-209949DF7AC8}"/>
    <hyperlink ref="W32" r:id="rId2" xr:uid="{091F5B5D-53AA-4955-8183-4EA3AF23FAB7}"/>
    <hyperlink ref="W7" r:id="rId3" xr:uid="{2AACBFA1-93F1-4E0F-BDCC-7088DE7AAA58}"/>
    <hyperlink ref="W8" r:id="rId4" xr:uid="{B1D4F32A-F9B4-403F-8C43-ED0346997667}"/>
  </hyperlinks>
  <pageMargins left="0.70866141732283472" right="0.70866141732283472" top="0.78740157480314965" bottom="0.78740157480314965" header="0.31496062992125984" footer="0.31496062992125984"/>
  <pageSetup paperSize="9" scale="11" orientation="landscape" r:id="rId5"/>
  <headerFooter>
    <oddHeader>&amp;CIFMA Schweiz</oddHeader>
    <oddFooter>&amp;L&amp;"Aptos Narrow,Standard"Data_Template_Flächenmanagement&amp;ROkt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23"/>
  <sheetViews>
    <sheetView showGridLines="0" zoomScale="85" zoomScaleNormal="85" workbookViewId="0">
      <pane ySplit="6" topLeftCell="A11" activePane="bottomLeft" state="frozen"/>
      <selection activeCell="D15" sqref="D15"/>
      <selection pane="bottomLeft" activeCell="M11" sqref="M11"/>
    </sheetView>
  </sheetViews>
  <sheetFormatPr baseColWidth="10" defaultColWidth="11.7109375" defaultRowHeight="15" outlineLevelRow="1" outlineLevelCol="1" x14ac:dyDescent="0.25"/>
  <cols>
    <col min="1" max="1" width="4.7109375" style="89" customWidth="1"/>
    <col min="2" max="2" width="25.7109375" style="89" customWidth="1" outlineLevel="1"/>
    <col min="3" max="3" width="4.7109375" style="89" customWidth="1"/>
    <col min="4" max="4" width="25.7109375" style="89" hidden="1" customWidth="1" outlineLevel="1"/>
    <col min="5" max="8" width="25.7109375" style="89" customWidth="1" outlineLevel="1"/>
    <col min="9" max="9" width="6.7109375" hidden="1" customWidth="1" outlineLevel="1"/>
    <col min="10" max="10" width="6.7109375" style="89" hidden="1" customWidth="1" outlineLevel="1"/>
    <col min="11" max="13" width="25.7109375" style="89" customWidth="1" outlineLevel="1"/>
    <col min="14" max="14" width="6.7109375" style="89" customWidth="1" outlineLevel="1"/>
    <col min="15" max="15" width="25.7109375" style="89" customWidth="1" outlineLevel="1"/>
    <col min="16" max="16" width="4.7109375" style="89" customWidth="1"/>
    <col min="17" max="19" width="25.7109375" style="89" customWidth="1" outlineLevel="1"/>
    <col min="20" max="20" width="4.7109375" style="89" customWidth="1"/>
    <col min="21" max="21" width="25.7109375" style="89" customWidth="1" outlineLevel="1"/>
    <col min="22" max="22" width="27.140625" style="89" customWidth="1" outlineLevel="1"/>
    <col min="23" max="23" width="4.7109375" style="89" customWidth="1"/>
    <col min="24" max="24" width="5.7109375" style="89" bestFit="1" customWidth="1"/>
    <col min="25" max="46" width="4.7109375" style="89" customWidth="1" outlineLevel="1"/>
    <col min="47" max="16384" width="11.7109375" style="89"/>
  </cols>
  <sheetData>
    <row r="1" spans="1:46" s="101" customFormat="1" ht="200.1" customHeight="1" x14ac:dyDescent="0.25">
      <c r="A1" s="56" t="s">
        <v>256</v>
      </c>
      <c r="B1" s="57" t="s">
        <v>33</v>
      </c>
      <c r="C1" s="100" t="s">
        <v>186</v>
      </c>
      <c r="D1" s="57" t="s">
        <v>117</v>
      </c>
      <c r="E1" s="57" t="s">
        <v>187</v>
      </c>
      <c r="F1" s="91" t="s">
        <v>188</v>
      </c>
      <c r="G1" s="91" t="s">
        <v>124</v>
      </c>
      <c r="H1" s="91" t="s">
        <v>125</v>
      </c>
      <c r="I1" s="91" t="s">
        <v>126</v>
      </c>
      <c r="J1" s="91" t="s">
        <v>127</v>
      </c>
      <c r="K1" s="91" t="s">
        <v>189</v>
      </c>
      <c r="L1" s="91" t="s">
        <v>329</v>
      </c>
      <c r="M1" s="91" t="s">
        <v>330</v>
      </c>
      <c r="N1" s="91" t="s">
        <v>331</v>
      </c>
      <c r="O1" s="91" t="s">
        <v>174</v>
      </c>
      <c r="P1" s="92" t="s">
        <v>25</v>
      </c>
      <c r="Q1" s="57" t="s">
        <v>1</v>
      </c>
      <c r="R1" s="57" t="s">
        <v>138</v>
      </c>
      <c r="S1" s="57" t="s">
        <v>139</v>
      </c>
      <c r="T1" s="241" t="s">
        <v>140</v>
      </c>
      <c r="U1" s="57" t="s">
        <v>141</v>
      </c>
      <c r="V1" s="57" t="s">
        <v>257</v>
      </c>
      <c r="X1" s="56" t="s">
        <v>258</v>
      </c>
      <c r="Y1" s="57"/>
      <c r="Z1" s="57"/>
      <c r="AA1" s="57"/>
      <c r="AB1" s="57"/>
      <c r="AC1" s="57"/>
      <c r="AD1" s="57"/>
      <c r="AE1" s="57"/>
      <c r="AF1" s="57"/>
      <c r="AG1" s="57"/>
      <c r="AH1" s="57"/>
      <c r="AI1" s="57"/>
      <c r="AJ1" s="57"/>
      <c r="AK1" s="57"/>
      <c r="AL1" s="57"/>
      <c r="AM1" s="57"/>
      <c r="AN1" s="57"/>
      <c r="AO1" s="57"/>
      <c r="AP1" s="57"/>
      <c r="AQ1" s="57"/>
      <c r="AR1" s="57"/>
      <c r="AS1" s="57"/>
      <c r="AT1" s="57"/>
    </row>
    <row r="2" spans="1:46" s="95" customFormat="1" ht="14.25" customHeight="1" outlineLevel="1" x14ac:dyDescent="0.25">
      <c r="A2" s="94"/>
      <c r="B2" s="62" t="s">
        <v>51</v>
      </c>
      <c r="C2" s="94"/>
      <c r="D2" s="64" t="s">
        <v>260</v>
      </c>
      <c r="E2" s="64" t="s">
        <v>260</v>
      </c>
      <c r="F2" s="64" t="s">
        <v>261</v>
      </c>
      <c r="G2" s="64" t="s">
        <v>261</v>
      </c>
      <c r="H2" s="64" t="s">
        <v>261</v>
      </c>
      <c r="I2" s="64" t="s">
        <v>259</v>
      </c>
      <c r="J2" s="64" t="s">
        <v>259</v>
      </c>
      <c r="K2" s="64" t="s">
        <v>261</v>
      </c>
      <c r="L2" s="64" t="s">
        <v>261</v>
      </c>
      <c r="M2" s="64" t="s">
        <v>259</v>
      </c>
      <c r="N2" s="64" t="s">
        <v>259</v>
      </c>
      <c r="O2" s="64" t="s">
        <v>261</v>
      </c>
      <c r="P2" s="94"/>
      <c r="Q2" s="64" t="s">
        <v>261</v>
      </c>
      <c r="R2" s="64" t="s">
        <v>261</v>
      </c>
      <c r="S2" s="64" t="s">
        <v>261</v>
      </c>
      <c r="T2" s="63"/>
      <c r="U2" s="64" t="s">
        <v>259</v>
      </c>
      <c r="V2" s="64" t="s">
        <v>259</v>
      </c>
      <c r="X2" s="66"/>
      <c r="Y2" s="66"/>
      <c r="Z2" s="66"/>
      <c r="AA2" s="66"/>
      <c r="AB2" s="66"/>
      <c r="AC2" s="66"/>
      <c r="AD2" s="66"/>
      <c r="AE2" s="66"/>
      <c r="AF2" s="66"/>
      <c r="AG2" s="66"/>
      <c r="AH2" s="66"/>
      <c r="AI2" s="66"/>
      <c r="AJ2" s="66"/>
      <c r="AK2" s="66"/>
      <c r="AL2" s="66"/>
      <c r="AM2" s="66"/>
      <c r="AN2" s="66"/>
      <c r="AO2" s="66"/>
      <c r="AP2" s="66"/>
      <c r="AQ2" s="66"/>
      <c r="AR2" s="66"/>
      <c r="AS2" s="66"/>
      <c r="AT2" s="66"/>
    </row>
    <row r="3" spans="1:46" s="67" customFormat="1" ht="14.25" customHeight="1" outlineLevel="1" x14ac:dyDescent="0.25">
      <c r="A3" s="94"/>
      <c r="B3" s="62" t="s">
        <v>52</v>
      </c>
      <c r="C3" s="94"/>
      <c r="D3" s="64" t="s">
        <v>264</v>
      </c>
      <c r="E3" s="64" t="s">
        <v>268</v>
      </c>
      <c r="F3" s="64" t="s">
        <v>264</v>
      </c>
      <c r="G3" s="64" t="s">
        <v>268</v>
      </c>
      <c r="H3" s="64" t="s">
        <v>265</v>
      </c>
      <c r="I3" s="64" t="s">
        <v>266</v>
      </c>
      <c r="J3" s="64" t="s">
        <v>267</v>
      </c>
      <c r="K3" s="64" t="s">
        <v>268</v>
      </c>
      <c r="L3" s="64" t="s">
        <v>265</v>
      </c>
      <c r="M3" s="64" t="s">
        <v>266</v>
      </c>
      <c r="N3" s="64" t="s">
        <v>267</v>
      </c>
      <c r="O3" s="64" t="s">
        <v>263</v>
      </c>
      <c r="P3" s="94"/>
      <c r="Q3" s="64" t="s">
        <v>268</v>
      </c>
      <c r="R3" s="64" t="s">
        <v>264</v>
      </c>
      <c r="S3" s="64" t="s">
        <v>268</v>
      </c>
      <c r="T3" s="63"/>
      <c r="U3" s="64" t="s">
        <v>268</v>
      </c>
      <c r="V3" s="64" t="s">
        <v>263</v>
      </c>
      <c r="X3" s="68"/>
      <c r="Y3" s="68"/>
      <c r="Z3" s="68"/>
      <c r="AA3" s="68"/>
      <c r="AB3" s="68"/>
      <c r="AC3" s="68"/>
      <c r="AD3" s="68"/>
      <c r="AE3" s="68"/>
      <c r="AF3" s="68"/>
      <c r="AG3" s="68"/>
      <c r="AH3" s="68"/>
      <c r="AI3" s="68"/>
      <c r="AJ3" s="68"/>
      <c r="AK3" s="68"/>
      <c r="AL3" s="68"/>
      <c r="AM3" s="68"/>
      <c r="AN3" s="68"/>
      <c r="AO3" s="68"/>
      <c r="AP3" s="68"/>
      <c r="AQ3" s="68"/>
      <c r="AR3" s="68"/>
      <c r="AS3" s="68"/>
      <c r="AT3" s="68"/>
    </row>
    <row r="4" spans="1:46" s="67" customFormat="1" ht="14.25" customHeight="1" outlineLevel="1" x14ac:dyDescent="0.25">
      <c r="A4" s="94"/>
      <c r="B4" s="62" t="s">
        <v>53</v>
      </c>
      <c r="C4" s="94"/>
      <c r="D4" s="64" t="s">
        <v>270</v>
      </c>
      <c r="E4" s="64" t="s">
        <v>270</v>
      </c>
      <c r="F4" s="64"/>
      <c r="G4" s="64"/>
      <c r="H4" s="64"/>
      <c r="I4" s="64"/>
      <c r="J4" s="64"/>
      <c r="K4" s="64"/>
      <c r="L4" s="64"/>
      <c r="M4" s="64"/>
      <c r="N4" s="64"/>
      <c r="O4" s="64"/>
      <c r="P4" s="94"/>
      <c r="Q4" s="64" t="s">
        <v>269</v>
      </c>
      <c r="R4" s="64" t="s">
        <v>269</v>
      </c>
      <c r="S4" s="64" t="s">
        <v>269</v>
      </c>
      <c r="T4" s="63"/>
      <c r="U4" s="64" t="s">
        <v>269</v>
      </c>
      <c r="V4" s="64" t="s">
        <v>269</v>
      </c>
      <c r="X4" s="68"/>
      <c r="Y4" s="68"/>
      <c r="Z4" s="68"/>
      <c r="AA4" s="68"/>
      <c r="AB4" s="68"/>
      <c r="AC4" s="68"/>
      <c r="AD4" s="68"/>
      <c r="AE4" s="68"/>
      <c r="AF4" s="68"/>
      <c r="AG4" s="68"/>
      <c r="AH4" s="68"/>
      <c r="AI4" s="68"/>
      <c r="AJ4" s="68"/>
      <c r="AK4" s="68"/>
      <c r="AL4" s="68"/>
      <c r="AM4" s="68"/>
      <c r="AN4" s="68"/>
      <c r="AO4" s="68"/>
      <c r="AP4" s="68"/>
      <c r="AQ4" s="68"/>
      <c r="AR4" s="68"/>
      <c r="AS4" s="68"/>
      <c r="AT4" s="68"/>
    </row>
    <row r="5" spans="1:46" s="67" customFormat="1" ht="14.1" customHeight="1" outlineLevel="1" x14ac:dyDescent="0.25">
      <c r="A5" s="94"/>
      <c r="B5" s="62" t="s">
        <v>271</v>
      </c>
      <c r="C5" s="94"/>
      <c r="D5" s="64"/>
      <c r="E5" s="64"/>
      <c r="F5" s="64"/>
      <c r="G5" s="64"/>
      <c r="H5" s="64"/>
      <c r="I5" s="64"/>
      <c r="J5" s="64"/>
      <c r="K5" s="64"/>
      <c r="L5" s="64"/>
      <c r="M5" s="64"/>
      <c r="N5" s="64"/>
      <c r="O5" s="64"/>
      <c r="P5" s="94"/>
      <c r="Q5" s="64" t="s">
        <v>276</v>
      </c>
      <c r="R5" s="64"/>
      <c r="S5" s="69"/>
      <c r="T5" s="63"/>
      <c r="U5" s="64"/>
      <c r="V5" s="64"/>
      <c r="X5" s="68"/>
      <c r="Y5" s="68"/>
      <c r="Z5" s="68"/>
      <c r="AA5" s="68"/>
      <c r="AB5" s="68"/>
      <c r="AC5" s="68"/>
      <c r="AD5" s="68"/>
      <c r="AE5" s="68"/>
      <c r="AF5" s="68"/>
      <c r="AG5" s="68"/>
      <c r="AH5" s="68"/>
      <c r="AI5" s="68"/>
      <c r="AJ5" s="68"/>
      <c r="AK5" s="68"/>
      <c r="AL5" s="68"/>
      <c r="AM5" s="68"/>
      <c r="AN5" s="68"/>
      <c r="AO5" s="68"/>
      <c r="AP5" s="68"/>
      <c r="AQ5" s="68"/>
      <c r="AR5" s="68"/>
      <c r="AS5" s="68"/>
      <c r="AT5" s="68"/>
    </row>
    <row r="6" spans="1:46" s="75" customFormat="1" ht="67.5" customHeight="1" outlineLevel="1" x14ac:dyDescent="0.25">
      <c r="A6" s="96"/>
      <c r="B6" s="71" t="s">
        <v>277</v>
      </c>
      <c r="C6" s="96"/>
      <c r="D6" s="73" t="s">
        <v>279</v>
      </c>
      <c r="E6" s="73" t="s">
        <v>280</v>
      </c>
      <c r="F6" s="64" t="s">
        <v>278</v>
      </c>
      <c r="G6" s="73" t="s">
        <v>278</v>
      </c>
      <c r="H6" s="73" t="s">
        <v>278</v>
      </c>
      <c r="I6" s="73" t="s">
        <v>278</v>
      </c>
      <c r="J6" s="73" t="s">
        <v>278</v>
      </c>
      <c r="K6" s="73" t="s">
        <v>332</v>
      </c>
      <c r="L6" s="73" t="s">
        <v>332</v>
      </c>
      <c r="M6" s="73" t="s">
        <v>332</v>
      </c>
      <c r="N6" s="73" t="s">
        <v>332</v>
      </c>
      <c r="O6" s="73" t="s">
        <v>278</v>
      </c>
      <c r="P6" s="96"/>
      <c r="Q6" s="73" t="s">
        <v>286</v>
      </c>
      <c r="R6" s="73" t="s">
        <v>287</v>
      </c>
      <c r="S6" s="73" t="s">
        <v>278</v>
      </c>
      <c r="T6" s="72"/>
      <c r="U6" s="73" t="s">
        <v>288</v>
      </c>
      <c r="V6" s="73" t="s">
        <v>289</v>
      </c>
      <c r="X6" s="76"/>
      <c r="Y6" s="76"/>
      <c r="Z6" s="76"/>
      <c r="AA6" s="76"/>
      <c r="AB6" s="76"/>
      <c r="AC6" s="76"/>
      <c r="AD6" s="76"/>
      <c r="AE6" s="76"/>
      <c r="AF6" s="76"/>
      <c r="AG6" s="76"/>
      <c r="AH6" s="76"/>
      <c r="AI6" s="76"/>
      <c r="AJ6" s="76"/>
      <c r="AK6" s="76"/>
      <c r="AL6" s="76"/>
      <c r="AM6" s="76"/>
      <c r="AN6" s="76"/>
      <c r="AO6" s="76"/>
      <c r="AP6" s="76"/>
      <c r="AQ6" s="76"/>
      <c r="AR6" s="76"/>
      <c r="AS6" s="76"/>
      <c r="AT6" s="76"/>
    </row>
    <row r="7" spans="1:46" s="220" customFormat="1" ht="38.25" x14ac:dyDescent="0.25">
      <c r="A7" s="96"/>
      <c r="B7" s="96"/>
      <c r="C7" s="96"/>
      <c r="D7" s="219"/>
      <c r="E7" s="79"/>
      <c r="F7" s="84" t="s">
        <v>899</v>
      </c>
      <c r="G7" s="80" t="s">
        <v>136</v>
      </c>
      <c r="H7" s="80" t="s">
        <v>900</v>
      </c>
      <c r="I7" s="81"/>
      <c r="J7" s="81"/>
      <c r="K7" s="84" t="s">
        <v>997</v>
      </c>
      <c r="L7" s="84" t="s">
        <v>997</v>
      </c>
      <c r="M7" s="85" t="s">
        <v>997</v>
      </c>
      <c r="N7" s="85"/>
      <c r="O7" s="84"/>
      <c r="P7" s="96"/>
      <c r="Q7" s="80" t="s">
        <v>292</v>
      </c>
      <c r="R7" s="80" t="s">
        <v>624</v>
      </c>
      <c r="S7" s="80" t="s">
        <v>625</v>
      </c>
      <c r="T7" s="123"/>
      <c r="U7" s="80"/>
      <c r="V7" s="80"/>
      <c r="Y7" s="80"/>
      <c r="Z7" s="80"/>
      <c r="AA7" s="80"/>
      <c r="AB7" s="80"/>
      <c r="AC7" s="80"/>
      <c r="AD7" s="80"/>
      <c r="AE7" s="80"/>
      <c r="AF7" s="80"/>
      <c r="AG7" s="80"/>
      <c r="AH7" s="80"/>
      <c r="AI7" s="80"/>
      <c r="AJ7" s="80"/>
      <c r="AK7" s="80"/>
      <c r="AL7" s="80"/>
      <c r="AM7" s="80"/>
      <c r="AN7" s="80"/>
      <c r="AO7" s="80"/>
      <c r="AP7" s="80"/>
      <c r="AQ7" s="80"/>
      <c r="AR7" s="80"/>
      <c r="AS7" s="80"/>
      <c r="AT7" s="80"/>
    </row>
    <row r="8" spans="1:46" s="220" customFormat="1" ht="63.75" x14ac:dyDescent="0.25">
      <c r="A8" s="96"/>
      <c r="B8" s="96"/>
      <c r="C8" s="96"/>
      <c r="D8" s="219"/>
      <c r="E8" s="79"/>
      <c r="F8" s="84" t="s">
        <v>901</v>
      </c>
      <c r="G8" s="80" t="s">
        <v>137</v>
      </c>
      <c r="H8" s="80" t="s">
        <v>902</v>
      </c>
      <c r="I8" s="81"/>
      <c r="J8" s="81"/>
      <c r="K8" s="84" t="s">
        <v>903</v>
      </c>
      <c r="L8" s="84" t="s">
        <v>903</v>
      </c>
      <c r="M8" s="85" t="s">
        <v>903</v>
      </c>
      <c r="N8" s="85"/>
      <c r="O8" s="84"/>
      <c r="P8" s="96"/>
      <c r="Q8" s="80" t="s">
        <v>292</v>
      </c>
      <c r="R8" s="80" t="s">
        <v>624</v>
      </c>
      <c r="S8" s="80" t="s">
        <v>625</v>
      </c>
      <c r="T8" s="123"/>
      <c r="U8" s="80"/>
      <c r="V8" s="80"/>
      <c r="Y8" s="80"/>
      <c r="Z8" s="80"/>
      <c r="AA8" s="80"/>
      <c r="AB8" s="80"/>
      <c r="AC8" s="80"/>
      <c r="AD8" s="80"/>
      <c r="AE8" s="80"/>
      <c r="AF8" s="80"/>
      <c r="AG8" s="80"/>
      <c r="AH8" s="80"/>
      <c r="AI8" s="80"/>
      <c r="AJ8" s="80"/>
      <c r="AK8" s="80"/>
      <c r="AL8" s="80"/>
      <c r="AM8" s="80"/>
      <c r="AN8" s="80"/>
      <c r="AO8" s="80"/>
      <c r="AP8" s="80"/>
      <c r="AQ8" s="80"/>
      <c r="AR8" s="80"/>
      <c r="AS8" s="80"/>
      <c r="AT8" s="80"/>
    </row>
    <row r="9" spans="1:46" s="220" customFormat="1" ht="114.75" x14ac:dyDescent="0.25">
      <c r="A9" s="96"/>
      <c r="B9" s="96"/>
      <c r="C9" s="96"/>
      <c r="D9" s="219"/>
      <c r="E9" s="79"/>
      <c r="F9" s="84" t="s">
        <v>904</v>
      </c>
      <c r="G9" s="80" t="s">
        <v>905</v>
      </c>
      <c r="H9" s="80" t="s">
        <v>906</v>
      </c>
      <c r="I9" s="81"/>
      <c r="J9" s="81"/>
      <c r="K9" s="84" t="s">
        <v>907</v>
      </c>
      <c r="L9" s="84" t="s">
        <v>908</v>
      </c>
      <c r="M9" s="85" t="s">
        <v>909</v>
      </c>
      <c r="N9" s="85"/>
      <c r="O9" s="84"/>
      <c r="P9" s="96"/>
      <c r="Q9" s="80" t="s">
        <v>292</v>
      </c>
      <c r="R9" s="80" t="s">
        <v>624</v>
      </c>
      <c r="S9" s="80" t="s">
        <v>625</v>
      </c>
      <c r="T9" s="123"/>
      <c r="U9" s="80"/>
      <c r="V9" s="80"/>
      <c r="Y9" s="80"/>
      <c r="Z9" s="80"/>
      <c r="AA9" s="80"/>
      <c r="AB9" s="80"/>
      <c r="AC9" s="80"/>
      <c r="AD9" s="80"/>
      <c r="AE9" s="80"/>
      <c r="AF9" s="80"/>
      <c r="AG9" s="80"/>
      <c r="AH9" s="80"/>
      <c r="AI9" s="80"/>
      <c r="AJ9" s="80"/>
      <c r="AK9" s="80"/>
      <c r="AL9" s="80"/>
      <c r="AM9" s="80"/>
      <c r="AN9" s="80"/>
      <c r="AO9" s="80"/>
      <c r="AP9" s="80"/>
      <c r="AQ9" s="80"/>
      <c r="AR9" s="80"/>
      <c r="AS9" s="80"/>
      <c r="AT9" s="80"/>
    </row>
    <row r="10" spans="1:46" s="220" customFormat="1" ht="51" x14ac:dyDescent="0.25">
      <c r="A10" s="96"/>
      <c r="B10" s="96"/>
      <c r="C10" s="96"/>
      <c r="D10" s="219"/>
      <c r="E10" s="79"/>
      <c r="F10" s="84" t="s">
        <v>910</v>
      </c>
      <c r="G10" s="80" t="s">
        <v>911</v>
      </c>
      <c r="H10" s="80" t="s">
        <v>912</v>
      </c>
      <c r="I10" s="81"/>
      <c r="J10" s="81"/>
      <c r="K10" s="84" t="s">
        <v>913</v>
      </c>
      <c r="L10" s="84" t="s">
        <v>914</v>
      </c>
      <c r="M10" s="85" t="s">
        <v>915</v>
      </c>
      <c r="N10" s="85"/>
      <c r="O10" s="84"/>
      <c r="P10" s="96"/>
      <c r="Q10" s="80" t="s">
        <v>292</v>
      </c>
      <c r="R10" s="80" t="s">
        <v>624</v>
      </c>
      <c r="S10" s="80" t="s">
        <v>625</v>
      </c>
      <c r="T10" s="123"/>
      <c r="U10" s="80"/>
      <c r="V10" s="80"/>
      <c r="Y10" s="80"/>
      <c r="Z10" s="80"/>
      <c r="AA10" s="80"/>
      <c r="AB10" s="80"/>
      <c r="AC10" s="80"/>
      <c r="AD10" s="80"/>
      <c r="AE10" s="80"/>
      <c r="AF10" s="80"/>
      <c r="AG10" s="80"/>
      <c r="AH10" s="80"/>
      <c r="AI10" s="80"/>
      <c r="AJ10" s="80"/>
      <c r="AK10" s="80"/>
      <c r="AL10" s="80"/>
      <c r="AM10" s="80"/>
      <c r="AN10" s="80"/>
      <c r="AO10" s="80"/>
      <c r="AP10" s="80"/>
      <c r="AQ10" s="80"/>
      <c r="AR10" s="80"/>
      <c r="AS10" s="80"/>
      <c r="AT10" s="80"/>
    </row>
    <row r="11" spans="1:46" s="220" customFormat="1" ht="409.5" x14ac:dyDescent="0.25">
      <c r="A11" s="96"/>
      <c r="B11" s="96"/>
      <c r="C11" s="96"/>
      <c r="D11" s="219"/>
      <c r="E11" s="79"/>
      <c r="F11" s="84" t="s">
        <v>916</v>
      </c>
      <c r="G11" s="80" t="s">
        <v>917</v>
      </c>
      <c r="H11" s="80" t="s">
        <v>918</v>
      </c>
      <c r="I11" s="81"/>
      <c r="J11" s="81"/>
      <c r="K11" s="84" t="s">
        <v>919</v>
      </c>
      <c r="L11" s="84" t="s">
        <v>920</v>
      </c>
      <c r="M11" s="85" t="s">
        <v>921</v>
      </c>
      <c r="N11" s="85"/>
      <c r="O11" s="84"/>
      <c r="P11" s="96"/>
      <c r="Q11" s="80" t="s">
        <v>292</v>
      </c>
      <c r="R11" s="80" t="s">
        <v>624</v>
      </c>
      <c r="S11" s="80" t="s">
        <v>625</v>
      </c>
      <c r="T11" s="123"/>
      <c r="U11" s="80"/>
      <c r="V11" s="80"/>
      <c r="Y11" s="80"/>
      <c r="Z11" s="80"/>
      <c r="AA11" s="80"/>
      <c r="AB11" s="80"/>
      <c r="AC11" s="80"/>
      <c r="AD11" s="80"/>
      <c r="AE11" s="80"/>
      <c r="AF11" s="80"/>
      <c r="AG11" s="80"/>
      <c r="AH11" s="80"/>
      <c r="AI11" s="80"/>
      <c r="AJ11" s="80"/>
      <c r="AK11" s="80"/>
      <c r="AL11" s="80"/>
      <c r="AM11" s="80"/>
      <c r="AN11" s="80"/>
      <c r="AO11" s="80"/>
      <c r="AP11" s="80"/>
      <c r="AQ11" s="80"/>
      <c r="AR11" s="80"/>
      <c r="AS11" s="80"/>
      <c r="AT11" s="80"/>
    </row>
    <row r="12" spans="1:46" s="220" customFormat="1" ht="409.5" x14ac:dyDescent="0.25">
      <c r="A12" s="96"/>
      <c r="B12" s="96"/>
      <c r="C12" s="96"/>
      <c r="D12" s="219"/>
      <c r="E12" s="79"/>
      <c r="F12" s="84" t="s">
        <v>922</v>
      </c>
      <c r="G12" s="80" t="s">
        <v>923</v>
      </c>
      <c r="H12" s="80" t="s">
        <v>924</v>
      </c>
      <c r="I12" s="81"/>
      <c r="J12" s="81"/>
      <c r="K12" s="84" t="s">
        <v>925</v>
      </c>
      <c r="L12" s="84" t="s">
        <v>926</v>
      </c>
      <c r="M12" s="85"/>
      <c r="N12" s="85"/>
      <c r="O12" s="84"/>
      <c r="P12" s="96"/>
      <c r="Q12" s="80" t="s">
        <v>292</v>
      </c>
      <c r="R12" s="80" t="s">
        <v>624</v>
      </c>
      <c r="S12" s="80" t="s">
        <v>625</v>
      </c>
      <c r="T12" s="123"/>
      <c r="U12" s="80"/>
      <c r="V12" s="80"/>
      <c r="Y12" s="80"/>
      <c r="Z12" s="80"/>
      <c r="AA12" s="80"/>
      <c r="AB12" s="80"/>
      <c r="AC12" s="80"/>
      <c r="AD12" s="80"/>
      <c r="AE12" s="80"/>
      <c r="AF12" s="80"/>
      <c r="AG12" s="80"/>
      <c r="AH12" s="80"/>
      <c r="AI12" s="80"/>
      <c r="AJ12" s="80"/>
      <c r="AK12" s="80"/>
      <c r="AL12" s="80"/>
      <c r="AM12" s="80"/>
      <c r="AN12" s="80"/>
      <c r="AO12" s="80"/>
      <c r="AP12" s="80"/>
      <c r="AQ12" s="80"/>
      <c r="AR12" s="80"/>
      <c r="AS12" s="80"/>
      <c r="AT12" s="80"/>
    </row>
    <row r="13" spans="1:46" s="220" customFormat="1" ht="12.75" x14ac:dyDescent="0.25">
      <c r="A13" s="96"/>
      <c r="B13" s="96"/>
      <c r="C13" s="96"/>
      <c r="D13" s="219"/>
      <c r="E13" s="79"/>
      <c r="F13" s="84" t="s">
        <v>927</v>
      </c>
      <c r="G13" s="80" t="s">
        <v>928</v>
      </c>
      <c r="H13" s="80" t="s">
        <v>703</v>
      </c>
      <c r="I13" s="81"/>
      <c r="J13" s="81"/>
      <c r="K13" s="84" t="s">
        <v>929</v>
      </c>
      <c r="L13" s="84" t="s">
        <v>929</v>
      </c>
      <c r="M13" s="85" t="s">
        <v>929</v>
      </c>
      <c r="N13" s="85"/>
      <c r="O13" s="84"/>
      <c r="P13" s="96"/>
      <c r="Q13" s="80" t="s">
        <v>292</v>
      </c>
      <c r="R13" s="80" t="s">
        <v>624</v>
      </c>
      <c r="S13" s="80" t="s">
        <v>625</v>
      </c>
      <c r="T13" s="123"/>
      <c r="U13" s="80"/>
      <c r="V13" s="80"/>
      <c r="Y13" s="80"/>
      <c r="Z13" s="80"/>
      <c r="AA13" s="80"/>
      <c r="AB13" s="80"/>
      <c r="AC13" s="80"/>
      <c r="AD13" s="80"/>
      <c r="AE13" s="80"/>
      <c r="AF13" s="80"/>
      <c r="AG13" s="80"/>
      <c r="AH13" s="80"/>
      <c r="AI13" s="80"/>
      <c r="AJ13" s="80"/>
      <c r="AK13" s="80"/>
      <c r="AL13" s="80"/>
      <c r="AM13" s="80"/>
      <c r="AN13" s="80"/>
      <c r="AO13" s="80"/>
      <c r="AP13" s="80"/>
      <c r="AQ13" s="80"/>
      <c r="AR13" s="80"/>
      <c r="AS13" s="80"/>
      <c r="AT13" s="80"/>
    </row>
    <row r="14" spans="1:46" s="220" customFormat="1" ht="12.75" x14ac:dyDescent="0.25">
      <c r="A14" s="96"/>
      <c r="B14" s="96"/>
      <c r="C14" s="96"/>
      <c r="D14" s="219"/>
      <c r="E14" s="79"/>
      <c r="F14" s="84" t="s">
        <v>930</v>
      </c>
      <c r="G14" s="80" t="s">
        <v>931</v>
      </c>
      <c r="H14" s="80" t="s">
        <v>713</v>
      </c>
      <c r="I14" s="81"/>
      <c r="J14" s="81"/>
      <c r="K14" s="84" t="s">
        <v>929</v>
      </c>
      <c r="L14" s="84" t="s">
        <v>929</v>
      </c>
      <c r="M14" s="85" t="s">
        <v>929</v>
      </c>
      <c r="N14" s="85"/>
      <c r="O14" s="84"/>
      <c r="P14" s="96"/>
      <c r="Q14" s="80" t="s">
        <v>292</v>
      </c>
      <c r="R14" s="80" t="s">
        <v>624</v>
      </c>
      <c r="S14" s="80" t="s">
        <v>625</v>
      </c>
      <c r="T14" s="123"/>
      <c r="U14" s="80"/>
      <c r="V14" s="80"/>
      <c r="Y14" s="80"/>
      <c r="Z14" s="80"/>
      <c r="AA14" s="80"/>
      <c r="AB14" s="80"/>
      <c r="AC14" s="80"/>
      <c r="AD14" s="80"/>
      <c r="AE14" s="80"/>
      <c r="AF14" s="80"/>
      <c r="AG14" s="80"/>
      <c r="AH14" s="80"/>
      <c r="AI14" s="80"/>
      <c r="AJ14" s="80"/>
      <c r="AK14" s="80"/>
      <c r="AL14" s="80"/>
      <c r="AM14" s="80"/>
      <c r="AN14" s="80"/>
      <c r="AO14" s="80"/>
      <c r="AP14" s="80"/>
      <c r="AQ14" s="80"/>
      <c r="AR14" s="80"/>
      <c r="AS14" s="80"/>
      <c r="AT14" s="80"/>
    </row>
    <row r="15" spans="1:46" s="220" customFormat="1" ht="12.75" x14ac:dyDescent="0.25">
      <c r="A15" s="96"/>
      <c r="B15" s="96"/>
      <c r="C15" s="96"/>
      <c r="D15" s="219"/>
      <c r="E15" s="79"/>
      <c r="F15" s="84" t="s">
        <v>932</v>
      </c>
      <c r="G15" s="80" t="s">
        <v>724</v>
      </c>
      <c r="H15" s="80" t="s">
        <v>723</v>
      </c>
      <c r="I15" s="81"/>
      <c r="J15" s="81"/>
      <c r="K15" s="84" t="s">
        <v>929</v>
      </c>
      <c r="L15" s="84" t="s">
        <v>929</v>
      </c>
      <c r="M15" s="85" t="s">
        <v>929</v>
      </c>
      <c r="N15" s="85"/>
      <c r="O15" s="84"/>
      <c r="P15" s="96"/>
      <c r="Q15" s="80" t="s">
        <v>292</v>
      </c>
      <c r="R15" s="80" t="s">
        <v>624</v>
      </c>
      <c r="S15" s="80" t="s">
        <v>625</v>
      </c>
      <c r="T15" s="123"/>
      <c r="U15" s="80"/>
      <c r="V15" s="80"/>
      <c r="Y15" s="80"/>
      <c r="Z15" s="80"/>
      <c r="AA15" s="80"/>
      <c r="AB15" s="80"/>
      <c r="AC15" s="80"/>
      <c r="AD15" s="80"/>
      <c r="AE15" s="80"/>
      <c r="AF15" s="80"/>
      <c r="AG15" s="80"/>
      <c r="AH15" s="80"/>
      <c r="AI15" s="80"/>
      <c r="AJ15" s="80"/>
      <c r="AK15" s="80"/>
      <c r="AL15" s="80"/>
      <c r="AM15" s="80"/>
      <c r="AN15" s="80"/>
      <c r="AO15" s="80"/>
      <c r="AP15" s="80"/>
      <c r="AQ15" s="80"/>
      <c r="AR15" s="80"/>
      <c r="AS15" s="80"/>
      <c r="AT15" s="80"/>
    </row>
    <row r="16" spans="1:46" s="220" customFormat="1" ht="12.75" x14ac:dyDescent="0.25">
      <c r="A16" s="96"/>
      <c r="B16" s="96"/>
      <c r="C16" s="96"/>
      <c r="D16" s="219"/>
      <c r="E16" s="79"/>
      <c r="F16" s="84" t="s">
        <v>933</v>
      </c>
      <c r="G16" s="80" t="s">
        <v>729</v>
      </c>
      <c r="H16" s="80" t="s">
        <v>728</v>
      </c>
      <c r="I16" s="81"/>
      <c r="J16" s="81"/>
      <c r="K16" s="84" t="s">
        <v>929</v>
      </c>
      <c r="L16" s="84" t="s">
        <v>929</v>
      </c>
      <c r="M16" s="85" t="s">
        <v>929</v>
      </c>
      <c r="N16" s="85"/>
      <c r="O16" s="84"/>
      <c r="P16" s="96"/>
      <c r="Q16" s="80" t="s">
        <v>292</v>
      </c>
      <c r="R16" s="80" t="s">
        <v>624</v>
      </c>
      <c r="S16" s="80" t="s">
        <v>625</v>
      </c>
      <c r="T16" s="123"/>
      <c r="U16" s="80"/>
      <c r="V16" s="80"/>
      <c r="Y16" s="80"/>
      <c r="Z16" s="80"/>
      <c r="AA16" s="80"/>
      <c r="AB16" s="80"/>
      <c r="AC16" s="80"/>
      <c r="AD16" s="80"/>
      <c r="AE16" s="80"/>
      <c r="AF16" s="80"/>
      <c r="AG16" s="80"/>
      <c r="AH16" s="80"/>
      <c r="AI16" s="80"/>
      <c r="AJ16" s="80"/>
      <c r="AK16" s="80"/>
      <c r="AL16" s="80"/>
      <c r="AM16" s="80"/>
      <c r="AN16" s="80"/>
      <c r="AO16" s="80"/>
      <c r="AP16" s="80"/>
      <c r="AQ16" s="80"/>
      <c r="AR16" s="80"/>
      <c r="AS16" s="80"/>
      <c r="AT16" s="80"/>
    </row>
    <row r="17" spans="1:46" s="220" customFormat="1" ht="12.75" x14ac:dyDescent="0.25">
      <c r="A17" s="96"/>
      <c r="B17" s="96"/>
      <c r="C17" s="96"/>
      <c r="D17" s="219"/>
      <c r="E17" s="79"/>
      <c r="F17" s="84" t="s">
        <v>934</v>
      </c>
      <c r="G17" s="80" t="s">
        <v>734</v>
      </c>
      <c r="H17" s="80" t="s">
        <v>733</v>
      </c>
      <c r="I17" s="81"/>
      <c r="J17" s="81"/>
      <c r="K17" s="84" t="s">
        <v>929</v>
      </c>
      <c r="L17" s="84" t="s">
        <v>929</v>
      </c>
      <c r="M17" s="85" t="s">
        <v>929</v>
      </c>
      <c r="N17" s="85"/>
      <c r="O17" s="84"/>
      <c r="P17" s="96"/>
      <c r="Q17" s="80" t="s">
        <v>292</v>
      </c>
      <c r="R17" s="80" t="s">
        <v>624</v>
      </c>
      <c r="S17" s="80" t="s">
        <v>625</v>
      </c>
      <c r="T17" s="123"/>
      <c r="U17" s="80"/>
      <c r="V17" s="80"/>
      <c r="Y17" s="80"/>
      <c r="Z17" s="80"/>
      <c r="AA17" s="80"/>
      <c r="AB17" s="80"/>
      <c r="AC17" s="80"/>
      <c r="AD17" s="80"/>
      <c r="AE17" s="80"/>
      <c r="AF17" s="80"/>
      <c r="AG17" s="80"/>
      <c r="AH17" s="80"/>
      <c r="AI17" s="80"/>
      <c r="AJ17" s="80"/>
      <c r="AK17" s="80"/>
      <c r="AL17" s="80"/>
      <c r="AM17" s="80"/>
      <c r="AN17" s="80"/>
      <c r="AO17" s="80"/>
      <c r="AP17" s="80"/>
      <c r="AQ17" s="80"/>
      <c r="AR17" s="80"/>
      <c r="AS17" s="80"/>
      <c r="AT17" s="80"/>
    </row>
    <row r="18" spans="1:46" s="220" customFormat="1" ht="12.75" x14ac:dyDescent="0.25">
      <c r="A18" s="96"/>
      <c r="B18" s="96"/>
      <c r="C18" s="96"/>
      <c r="D18" s="219"/>
      <c r="E18" s="79"/>
      <c r="F18" s="84" t="s">
        <v>935</v>
      </c>
      <c r="G18" s="80" t="s">
        <v>936</v>
      </c>
      <c r="H18" s="80" t="s">
        <v>738</v>
      </c>
      <c r="I18" s="81"/>
      <c r="J18" s="81"/>
      <c r="K18" s="84" t="s">
        <v>929</v>
      </c>
      <c r="L18" s="84" t="s">
        <v>929</v>
      </c>
      <c r="M18" s="85" t="s">
        <v>929</v>
      </c>
      <c r="N18" s="85"/>
      <c r="O18" s="84"/>
      <c r="P18" s="96"/>
      <c r="Q18" s="80" t="s">
        <v>292</v>
      </c>
      <c r="R18" s="80" t="s">
        <v>624</v>
      </c>
      <c r="S18" s="80" t="s">
        <v>625</v>
      </c>
      <c r="T18" s="123"/>
      <c r="U18" s="80"/>
      <c r="V18" s="80"/>
      <c r="Y18" s="80"/>
      <c r="Z18" s="80"/>
      <c r="AA18" s="80"/>
      <c r="AB18" s="80"/>
      <c r="AC18" s="80"/>
      <c r="AD18" s="80"/>
      <c r="AE18" s="80"/>
      <c r="AF18" s="80"/>
      <c r="AG18" s="80"/>
      <c r="AH18" s="80"/>
      <c r="AI18" s="80"/>
      <c r="AJ18" s="80"/>
      <c r="AK18" s="80"/>
      <c r="AL18" s="80"/>
      <c r="AM18" s="80"/>
      <c r="AN18" s="80"/>
      <c r="AO18" s="80"/>
      <c r="AP18" s="80"/>
      <c r="AQ18" s="80"/>
      <c r="AR18" s="80"/>
      <c r="AS18" s="80"/>
      <c r="AT18" s="80"/>
    </row>
    <row r="19" spans="1:46" s="220" customFormat="1" ht="12.75" x14ac:dyDescent="0.25">
      <c r="A19" s="96"/>
      <c r="B19" s="96"/>
      <c r="C19" s="96"/>
      <c r="D19" s="219"/>
      <c r="E19" s="79"/>
      <c r="F19" s="84" t="s">
        <v>937</v>
      </c>
      <c r="G19" s="80" t="s">
        <v>938</v>
      </c>
      <c r="H19" s="80" t="s">
        <v>573</v>
      </c>
      <c r="I19" s="81"/>
      <c r="J19" s="81"/>
      <c r="K19" s="84" t="s">
        <v>929</v>
      </c>
      <c r="L19" s="84" t="s">
        <v>929</v>
      </c>
      <c r="M19" s="85" t="s">
        <v>929</v>
      </c>
      <c r="N19" s="85"/>
      <c r="O19" s="84"/>
      <c r="P19" s="96"/>
      <c r="Q19" s="80" t="s">
        <v>292</v>
      </c>
      <c r="R19" s="80" t="s">
        <v>624</v>
      </c>
      <c r="S19" s="80" t="s">
        <v>625</v>
      </c>
      <c r="T19" s="123"/>
      <c r="U19" s="80"/>
      <c r="V19" s="80"/>
      <c r="Y19" s="80"/>
      <c r="Z19" s="80"/>
      <c r="AA19" s="80"/>
      <c r="AB19" s="80"/>
      <c r="AC19" s="80"/>
      <c r="AD19" s="80"/>
      <c r="AE19" s="80"/>
      <c r="AF19" s="80"/>
      <c r="AG19" s="80"/>
      <c r="AH19" s="80"/>
      <c r="AI19" s="80"/>
      <c r="AJ19" s="80"/>
      <c r="AK19" s="80"/>
      <c r="AL19" s="80"/>
      <c r="AM19" s="80"/>
      <c r="AN19" s="80"/>
      <c r="AO19" s="80"/>
      <c r="AP19" s="80"/>
      <c r="AQ19" s="80"/>
      <c r="AR19" s="80"/>
      <c r="AS19" s="80"/>
      <c r="AT19" s="80"/>
    </row>
    <row r="20" spans="1:46" s="220" customFormat="1" ht="12.75" x14ac:dyDescent="0.25">
      <c r="A20" s="96"/>
      <c r="B20" s="96"/>
      <c r="C20" s="96"/>
      <c r="D20" s="219"/>
      <c r="E20" s="79"/>
      <c r="F20" s="84" t="s">
        <v>939</v>
      </c>
      <c r="G20" s="80" t="s">
        <v>940</v>
      </c>
      <c r="H20" s="80" t="s">
        <v>781</v>
      </c>
      <c r="I20" s="81"/>
      <c r="J20" s="81"/>
      <c r="K20" s="84" t="s">
        <v>929</v>
      </c>
      <c r="L20" s="84" t="s">
        <v>929</v>
      </c>
      <c r="M20" s="85" t="s">
        <v>929</v>
      </c>
      <c r="N20" s="85"/>
      <c r="O20" s="84"/>
      <c r="P20" s="96"/>
      <c r="Q20" s="80" t="s">
        <v>292</v>
      </c>
      <c r="R20" s="80" t="s">
        <v>624</v>
      </c>
      <c r="S20" s="80" t="s">
        <v>625</v>
      </c>
      <c r="T20" s="123"/>
      <c r="U20" s="80"/>
      <c r="V20" s="80"/>
      <c r="Y20" s="80"/>
      <c r="Z20" s="80"/>
      <c r="AA20" s="80"/>
      <c r="AB20" s="80"/>
      <c r="AC20" s="80"/>
      <c r="AD20" s="80"/>
      <c r="AE20" s="80"/>
      <c r="AF20" s="80"/>
      <c r="AG20" s="80"/>
      <c r="AH20" s="80"/>
      <c r="AI20" s="80"/>
      <c r="AJ20" s="80"/>
      <c r="AK20" s="80"/>
      <c r="AL20" s="80"/>
      <c r="AM20" s="80"/>
      <c r="AN20" s="80"/>
      <c r="AO20" s="80"/>
      <c r="AP20" s="80"/>
      <c r="AQ20" s="80"/>
      <c r="AR20" s="80"/>
      <c r="AS20" s="80"/>
      <c r="AT20" s="80"/>
    </row>
    <row r="21" spans="1:46" s="220" customFormat="1" ht="12.75" x14ac:dyDescent="0.25">
      <c r="A21" s="96"/>
      <c r="B21" s="96"/>
      <c r="C21" s="96"/>
      <c r="D21" s="219"/>
      <c r="E21" s="79"/>
      <c r="F21" s="84" t="s">
        <v>941</v>
      </c>
      <c r="G21" s="80" t="s">
        <v>942</v>
      </c>
      <c r="H21" s="80" t="s">
        <v>792</v>
      </c>
      <c r="I21" s="81"/>
      <c r="J21" s="81"/>
      <c r="K21" s="84" t="s">
        <v>929</v>
      </c>
      <c r="L21" s="84" t="s">
        <v>929</v>
      </c>
      <c r="M21" s="85" t="s">
        <v>929</v>
      </c>
      <c r="N21" s="85"/>
      <c r="O21" s="84"/>
      <c r="P21" s="96"/>
      <c r="Q21" s="80" t="s">
        <v>292</v>
      </c>
      <c r="R21" s="80" t="s">
        <v>624</v>
      </c>
      <c r="S21" s="80" t="s">
        <v>625</v>
      </c>
      <c r="T21" s="123"/>
      <c r="U21" s="80"/>
      <c r="V21" s="80"/>
      <c r="Y21" s="80"/>
      <c r="Z21" s="80"/>
      <c r="AA21" s="80"/>
      <c r="AB21" s="80"/>
      <c r="AC21" s="80"/>
      <c r="AD21" s="80"/>
      <c r="AE21" s="80"/>
      <c r="AF21" s="80"/>
      <c r="AG21" s="80"/>
      <c r="AH21" s="80"/>
      <c r="AI21" s="80"/>
      <c r="AJ21" s="80"/>
      <c r="AK21" s="80"/>
      <c r="AL21" s="80"/>
      <c r="AM21" s="80"/>
      <c r="AN21" s="80"/>
      <c r="AO21" s="80"/>
      <c r="AP21" s="80"/>
      <c r="AQ21" s="80"/>
      <c r="AR21" s="80"/>
      <c r="AS21" s="80"/>
      <c r="AT21" s="80"/>
    </row>
    <row r="22" spans="1:46" s="220" customFormat="1" ht="12.75" x14ac:dyDescent="0.25">
      <c r="A22" s="96"/>
      <c r="B22" s="96"/>
      <c r="C22" s="96"/>
      <c r="D22" s="219"/>
      <c r="E22" s="79"/>
      <c r="F22" s="84" t="s">
        <v>943</v>
      </c>
      <c r="G22" s="80" t="s">
        <v>944</v>
      </c>
      <c r="H22" s="80" t="s">
        <v>802</v>
      </c>
      <c r="I22" s="81"/>
      <c r="J22" s="81"/>
      <c r="K22" s="84" t="s">
        <v>929</v>
      </c>
      <c r="L22" s="84" t="s">
        <v>929</v>
      </c>
      <c r="M22" s="85" t="s">
        <v>929</v>
      </c>
      <c r="N22" s="85"/>
      <c r="O22" s="84"/>
      <c r="P22" s="96"/>
      <c r="Q22" s="80" t="s">
        <v>292</v>
      </c>
      <c r="R22" s="80" t="s">
        <v>624</v>
      </c>
      <c r="S22" s="80" t="s">
        <v>625</v>
      </c>
      <c r="T22" s="123"/>
      <c r="U22" s="80"/>
      <c r="V22" s="80"/>
      <c r="Y22" s="80"/>
      <c r="Z22" s="80"/>
      <c r="AA22" s="80"/>
      <c r="AB22" s="80"/>
      <c r="AC22" s="80"/>
      <c r="AD22" s="80"/>
      <c r="AE22" s="80"/>
      <c r="AF22" s="80"/>
      <c r="AG22" s="80"/>
      <c r="AH22" s="80"/>
      <c r="AI22" s="80"/>
      <c r="AJ22" s="80"/>
      <c r="AK22" s="80"/>
      <c r="AL22" s="80"/>
      <c r="AM22" s="80"/>
      <c r="AN22" s="80"/>
      <c r="AO22" s="80"/>
      <c r="AP22" s="80"/>
      <c r="AQ22" s="80"/>
      <c r="AR22" s="80"/>
      <c r="AS22" s="80"/>
      <c r="AT22" s="80"/>
    </row>
    <row r="23" spans="1:46" s="220" customFormat="1" ht="12.75" x14ac:dyDescent="0.25">
      <c r="A23" s="96"/>
      <c r="B23" s="96"/>
      <c r="C23" s="96"/>
      <c r="D23" s="219"/>
      <c r="E23" s="79"/>
      <c r="F23" s="84" t="s">
        <v>945</v>
      </c>
      <c r="G23" s="80" t="s">
        <v>946</v>
      </c>
      <c r="H23" s="80" t="s">
        <v>818</v>
      </c>
      <c r="I23" s="81"/>
      <c r="J23" s="81"/>
      <c r="K23" s="84" t="s">
        <v>929</v>
      </c>
      <c r="L23" s="84" t="s">
        <v>929</v>
      </c>
      <c r="M23" s="85" t="s">
        <v>929</v>
      </c>
      <c r="N23" s="85"/>
      <c r="O23" s="84"/>
      <c r="P23" s="96"/>
      <c r="Q23" s="80" t="s">
        <v>292</v>
      </c>
      <c r="R23" s="80" t="s">
        <v>624</v>
      </c>
      <c r="S23" s="80" t="s">
        <v>625</v>
      </c>
      <c r="T23" s="123"/>
      <c r="U23" s="80"/>
      <c r="V23" s="80"/>
      <c r="Y23" s="80"/>
      <c r="Z23" s="80"/>
      <c r="AA23" s="80"/>
      <c r="AB23" s="80"/>
      <c r="AC23" s="80"/>
      <c r="AD23" s="80"/>
      <c r="AE23" s="80"/>
      <c r="AF23" s="80"/>
      <c r="AG23" s="80"/>
      <c r="AH23" s="80"/>
      <c r="AI23" s="80"/>
      <c r="AJ23" s="80"/>
      <c r="AK23" s="80"/>
      <c r="AL23" s="80"/>
      <c r="AM23" s="80"/>
      <c r="AN23" s="80"/>
      <c r="AO23" s="80"/>
      <c r="AP23" s="80"/>
      <c r="AQ23" s="80"/>
      <c r="AR23" s="80"/>
      <c r="AS23" s="80"/>
      <c r="AT23" s="80"/>
    </row>
  </sheetData>
  <autoFilter ref="A6:S6" xr:uid="{00000000-0009-0000-0000-000005000000}"/>
  <dataValidations count="2">
    <dataValidation type="date" operator="greaterThanOrEqual" sqref="R7:R23" xr:uid="{00000000-0002-0000-0500-000000000000}">
      <formula1>DATE(2000,1,1)</formula1>
    </dataValidation>
    <dataValidation type="list" allowBlank="1" sqref="Q7:Q1927" xr:uid="{00000000-0002-0000-0500-000001000000}">
      <formula1>Status</formula1>
    </dataValidation>
  </dataValidations>
  <pageMargins left="0.70866141732283472" right="0.70866141732283472" top="0.78740157480314965" bottom="0.78740157480314965" header="0.31496062992125984" footer="0.31496062992125984"/>
  <pageSetup paperSize="9" scale="27" orientation="landscape" r:id="rId1"/>
  <headerFooter>
    <oddHeader>&amp;CIFMA Schweiz</oddHeader>
    <oddFooter>&amp;L&amp;"Aptos Narrow,Standard"Data_Template_Flächenmanagement&amp;ROkt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37"/>
  <sheetViews>
    <sheetView showGridLines="0" zoomScale="89" zoomScaleNormal="89" workbookViewId="0">
      <pane ySplit="6" topLeftCell="A30" activePane="bottomLeft" state="frozen"/>
      <selection activeCell="D15" sqref="D15"/>
      <selection pane="bottomLeft" activeCell="Q39" sqref="Q39"/>
    </sheetView>
  </sheetViews>
  <sheetFormatPr baseColWidth="10" defaultColWidth="11.28515625" defaultRowHeight="14.25" outlineLevelRow="1" outlineLevelCol="1" x14ac:dyDescent="0.2"/>
  <cols>
    <col min="1" max="1" width="4.7109375" style="37" customWidth="1"/>
    <col min="2" max="2" width="24.140625" style="37" bestFit="1" customWidth="1" outlineLevel="1"/>
    <col min="3" max="3" width="4.7109375" style="37" customWidth="1"/>
    <col min="4" max="4" width="25.7109375" style="99" hidden="1" customWidth="1" outlineLevel="1"/>
    <col min="5" max="6" width="25.7109375" style="99" customWidth="1" outlineLevel="1"/>
    <col min="7" max="8" width="25.7109375" style="75" customWidth="1" outlineLevel="1"/>
    <col min="9" max="9" width="6.7109375" style="75" hidden="1" customWidth="1" outlineLevel="1"/>
    <col min="10" max="10" width="6.7109375" style="67" hidden="1" customWidth="1" outlineLevel="1"/>
    <col min="11" max="12" width="6.7109375" style="67" customWidth="1" outlineLevel="1"/>
    <col min="13" max="13" width="31.7109375" style="67" bestFit="1" customWidth="1" outlineLevel="1"/>
    <col min="14" max="15" width="6.7109375" style="67" hidden="1" customWidth="1" outlineLevel="1"/>
    <col min="16" max="16" width="25.7109375" style="67" customWidth="1" outlineLevel="1"/>
    <col min="17" max="17" width="25.7109375" style="37" customWidth="1" outlineLevel="1"/>
    <col min="18" max="18" width="25.7109375" style="82" customWidth="1" outlineLevel="1"/>
    <col min="19" max="19" width="25.7109375" style="87" customWidth="1" outlineLevel="1"/>
    <col min="20" max="20" width="4.7109375" style="89" customWidth="1"/>
    <col min="21" max="21" width="12.85546875" style="87" customWidth="1" outlineLevel="1"/>
    <col min="22" max="22" width="21.7109375" style="37" bestFit="1" customWidth="1" outlineLevel="1"/>
    <col min="23" max="23" width="13.7109375" style="37" bestFit="1" customWidth="1" outlineLevel="1"/>
    <col min="24" max="24" width="4.7109375" style="89" customWidth="1"/>
    <col min="25" max="25" width="5.7109375" style="89" bestFit="1" customWidth="1" outlineLevel="1"/>
    <col min="26" max="46" width="4.7109375" style="89" customWidth="1" outlineLevel="1"/>
    <col min="47" max="47" width="4.7109375" style="37" customWidth="1"/>
    <col min="48" max="51" width="11.28515625" style="37" customWidth="1"/>
    <col min="52" max="16384" width="11.28515625" style="37"/>
  </cols>
  <sheetData>
    <row r="1" spans="1:47" s="93" customFormat="1" ht="200.1" customHeight="1" x14ac:dyDescent="0.25">
      <c r="A1" s="56" t="s">
        <v>256</v>
      </c>
      <c r="B1" s="57" t="s">
        <v>33</v>
      </c>
      <c r="C1" s="90" t="s">
        <v>199</v>
      </c>
      <c r="D1" s="91" t="s">
        <v>117</v>
      </c>
      <c r="E1" s="91" t="s">
        <v>200</v>
      </c>
      <c r="F1" s="91" t="s">
        <v>201</v>
      </c>
      <c r="G1" s="91" t="s">
        <v>202</v>
      </c>
      <c r="H1" s="91" t="s">
        <v>125</v>
      </c>
      <c r="I1" s="91" t="s">
        <v>126</v>
      </c>
      <c r="J1" s="91" t="s">
        <v>127</v>
      </c>
      <c r="K1" s="91" t="s">
        <v>333</v>
      </c>
      <c r="L1" s="91" t="s">
        <v>334</v>
      </c>
      <c r="M1" s="91" t="s">
        <v>335</v>
      </c>
      <c r="N1" s="91" t="s">
        <v>336</v>
      </c>
      <c r="O1" s="91" t="s">
        <v>337</v>
      </c>
      <c r="P1" s="91" t="s">
        <v>203</v>
      </c>
      <c r="Q1" s="91" t="s">
        <v>204</v>
      </c>
      <c r="R1" s="91" t="s">
        <v>205</v>
      </c>
      <c r="S1" s="91" t="s">
        <v>206</v>
      </c>
      <c r="T1" s="92" t="s">
        <v>25</v>
      </c>
      <c r="U1" s="91" t="s">
        <v>1</v>
      </c>
      <c r="V1" s="91" t="s">
        <v>138</v>
      </c>
      <c r="W1" s="91" t="s">
        <v>139</v>
      </c>
      <c r="Y1" s="56" t="s">
        <v>258</v>
      </c>
      <c r="Z1" s="57"/>
      <c r="AA1" s="57"/>
      <c r="AB1" s="57"/>
      <c r="AC1" s="57"/>
      <c r="AD1" s="57"/>
      <c r="AE1" s="57"/>
      <c r="AF1" s="57"/>
      <c r="AG1" s="57"/>
      <c r="AH1" s="57"/>
      <c r="AI1" s="57"/>
      <c r="AJ1" s="57"/>
      <c r="AK1" s="57"/>
      <c r="AL1" s="57"/>
      <c r="AM1" s="57"/>
      <c r="AN1" s="57"/>
      <c r="AO1" s="57"/>
      <c r="AP1" s="57"/>
      <c r="AQ1" s="57"/>
      <c r="AR1" s="57"/>
      <c r="AS1" s="57"/>
      <c r="AT1" s="57"/>
      <c r="AU1" s="57"/>
    </row>
    <row r="2" spans="1:47" s="95" customFormat="1" ht="15" customHeight="1" outlineLevel="1" x14ac:dyDescent="0.25">
      <c r="A2" s="94"/>
      <c r="B2" s="62" t="s">
        <v>51</v>
      </c>
      <c r="C2" s="94"/>
      <c r="D2" s="64" t="s">
        <v>260</v>
      </c>
      <c r="E2" s="64" t="s">
        <v>260</v>
      </c>
      <c r="F2" s="64" t="s">
        <v>259</v>
      </c>
      <c r="G2" s="64" t="s">
        <v>259</v>
      </c>
      <c r="H2" s="64" t="s">
        <v>259</v>
      </c>
      <c r="I2" s="64" t="s">
        <v>259</v>
      </c>
      <c r="J2" s="64" t="s">
        <v>259</v>
      </c>
      <c r="K2" s="64" t="s">
        <v>259</v>
      </c>
      <c r="L2" s="64"/>
      <c r="M2" s="64"/>
      <c r="N2" s="64"/>
      <c r="O2" s="64"/>
      <c r="P2" s="64" t="s">
        <v>259</v>
      </c>
      <c r="Q2" s="64" t="s">
        <v>259</v>
      </c>
      <c r="R2" s="64" t="s">
        <v>259</v>
      </c>
      <c r="S2" s="64" t="s">
        <v>259</v>
      </c>
      <c r="T2" s="94"/>
      <c r="U2" s="64" t="s">
        <v>259</v>
      </c>
      <c r="V2" s="64" t="s">
        <v>259</v>
      </c>
      <c r="W2" s="64" t="s">
        <v>259</v>
      </c>
      <c r="Y2" s="66"/>
      <c r="Z2" s="66"/>
      <c r="AA2" s="66"/>
      <c r="AB2" s="66"/>
      <c r="AC2" s="66"/>
      <c r="AD2" s="66"/>
      <c r="AE2" s="66"/>
      <c r="AF2" s="66"/>
      <c r="AG2" s="66"/>
      <c r="AH2" s="66"/>
      <c r="AI2" s="66"/>
      <c r="AJ2" s="66"/>
      <c r="AK2" s="66"/>
      <c r="AL2" s="66"/>
      <c r="AM2" s="66"/>
      <c r="AN2" s="66"/>
      <c r="AO2" s="66"/>
      <c r="AP2" s="66"/>
      <c r="AQ2" s="66"/>
      <c r="AR2" s="66"/>
      <c r="AS2" s="66"/>
      <c r="AT2" s="66"/>
      <c r="AU2" s="66"/>
    </row>
    <row r="3" spans="1:47" s="67" customFormat="1" ht="15" customHeight="1" outlineLevel="1" x14ac:dyDescent="0.25">
      <c r="A3" s="94"/>
      <c r="B3" s="62" t="s">
        <v>52</v>
      </c>
      <c r="C3" s="94"/>
      <c r="D3" s="64" t="s">
        <v>263</v>
      </c>
      <c r="E3" s="64" t="s">
        <v>263</v>
      </c>
      <c r="F3" s="64" t="s">
        <v>263</v>
      </c>
      <c r="G3" s="64" t="s">
        <v>268</v>
      </c>
      <c r="H3" s="64" t="s">
        <v>265</v>
      </c>
      <c r="I3" s="64" t="s">
        <v>266</v>
      </c>
      <c r="J3" s="64" t="s">
        <v>267</v>
      </c>
      <c r="K3" s="64" t="s">
        <v>263</v>
      </c>
      <c r="L3" s="64" t="s">
        <v>268</v>
      </c>
      <c r="M3" s="64" t="s">
        <v>265</v>
      </c>
      <c r="N3" s="64" t="s">
        <v>266</v>
      </c>
      <c r="O3" s="64" t="s">
        <v>267</v>
      </c>
      <c r="P3" s="64" t="s">
        <v>263</v>
      </c>
      <c r="Q3" s="64" t="s">
        <v>263</v>
      </c>
      <c r="R3" s="64" t="s">
        <v>263</v>
      </c>
      <c r="S3" s="64" t="s">
        <v>263</v>
      </c>
      <c r="T3" s="94"/>
      <c r="U3" s="64" t="s">
        <v>268</v>
      </c>
      <c r="V3" s="64" t="s">
        <v>264</v>
      </c>
      <c r="W3" s="64" t="s">
        <v>268</v>
      </c>
      <c r="Y3" s="68"/>
      <c r="Z3" s="68"/>
      <c r="AA3" s="68"/>
      <c r="AB3" s="68"/>
      <c r="AC3" s="68"/>
      <c r="AD3" s="68"/>
      <c r="AE3" s="68"/>
      <c r="AF3" s="68"/>
      <c r="AG3" s="68"/>
      <c r="AH3" s="68"/>
      <c r="AI3" s="68"/>
      <c r="AJ3" s="68"/>
      <c r="AK3" s="68"/>
      <c r="AL3" s="68"/>
      <c r="AM3" s="68"/>
      <c r="AN3" s="68"/>
      <c r="AO3" s="68"/>
      <c r="AP3" s="68"/>
      <c r="AQ3" s="68"/>
      <c r="AR3" s="68"/>
      <c r="AS3" s="68"/>
      <c r="AT3" s="68"/>
      <c r="AU3" s="68"/>
    </row>
    <row r="4" spans="1:47" s="67" customFormat="1" ht="15" customHeight="1" outlineLevel="1" x14ac:dyDescent="0.25">
      <c r="A4" s="94"/>
      <c r="B4" s="62" t="s">
        <v>53</v>
      </c>
      <c r="C4" s="94"/>
      <c r="D4" s="64"/>
      <c r="E4" s="64" t="s">
        <v>270</v>
      </c>
      <c r="F4" s="64"/>
      <c r="G4" s="64" t="s">
        <v>269</v>
      </c>
      <c r="H4" s="64"/>
      <c r="I4" s="64"/>
      <c r="J4" s="64"/>
      <c r="K4" s="64"/>
      <c r="L4" s="64"/>
      <c r="M4" s="64"/>
      <c r="N4" s="64"/>
      <c r="O4" s="64"/>
      <c r="P4" s="64"/>
      <c r="Q4" s="64"/>
      <c r="R4" s="64" t="s">
        <v>269</v>
      </c>
      <c r="S4" s="64" t="s">
        <v>269</v>
      </c>
      <c r="T4" s="94"/>
      <c r="U4" s="64" t="s">
        <v>269</v>
      </c>
      <c r="V4" s="64" t="s">
        <v>269</v>
      </c>
      <c r="W4" s="64" t="s">
        <v>269</v>
      </c>
      <c r="Y4" s="68"/>
      <c r="Z4" s="68"/>
      <c r="AA4" s="68"/>
      <c r="AB4" s="68"/>
      <c r="AC4" s="68"/>
      <c r="AD4" s="68"/>
      <c r="AE4" s="68"/>
      <c r="AF4" s="68"/>
      <c r="AG4" s="68"/>
      <c r="AH4" s="68"/>
      <c r="AI4" s="68"/>
      <c r="AJ4" s="68"/>
      <c r="AK4" s="68"/>
      <c r="AL4" s="68"/>
      <c r="AM4" s="68"/>
      <c r="AN4" s="68"/>
      <c r="AO4" s="68"/>
      <c r="AP4" s="68"/>
      <c r="AQ4" s="68"/>
      <c r="AR4" s="68"/>
      <c r="AS4" s="68"/>
      <c r="AT4" s="68"/>
      <c r="AU4" s="68"/>
    </row>
    <row r="5" spans="1:47" s="67" customFormat="1" ht="15" customHeight="1" outlineLevel="1" x14ac:dyDescent="0.25">
      <c r="A5" s="94"/>
      <c r="B5" s="62" t="s">
        <v>271</v>
      </c>
      <c r="C5" s="94"/>
      <c r="D5" s="64"/>
      <c r="E5" s="64"/>
      <c r="F5" s="64"/>
      <c r="G5" s="64"/>
      <c r="H5" s="64"/>
      <c r="I5" s="64"/>
      <c r="J5" s="64"/>
      <c r="K5" s="64"/>
      <c r="L5" s="64"/>
      <c r="M5" s="64"/>
      <c r="N5" s="64"/>
      <c r="O5" s="64"/>
      <c r="P5" s="64" t="s">
        <v>338</v>
      </c>
      <c r="Q5" s="64" t="s">
        <v>339</v>
      </c>
      <c r="R5" s="64"/>
      <c r="S5" s="64"/>
      <c r="T5" s="94"/>
      <c r="U5" s="64" t="s">
        <v>276</v>
      </c>
      <c r="V5" s="64"/>
      <c r="W5" s="69"/>
      <c r="Y5" s="68"/>
      <c r="Z5" s="68"/>
      <c r="AA5" s="68"/>
      <c r="AB5" s="68"/>
      <c r="AC5" s="68"/>
      <c r="AD5" s="68"/>
      <c r="AE5" s="68"/>
      <c r="AF5" s="68"/>
      <c r="AG5" s="68"/>
      <c r="AH5" s="68"/>
      <c r="AI5" s="68"/>
      <c r="AJ5" s="68"/>
      <c r="AK5" s="68"/>
      <c r="AL5" s="68"/>
      <c r="AM5" s="68"/>
      <c r="AN5" s="68"/>
      <c r="AO5" s="68"/>
      <c r="AP5" s="68"/>
      <c r="AQ5" s="68"/>
      <c r="AR5" s="68"/>
      <c r="AS5" s="68"/>
      <c r="AT5" s="68"/>
      <c r="AU5" s="68"/>
    </row>
    <row r="6" spans="1:47" s="75" customFormat="1" ht="56.25" customHeight="1" outlineLevel="1" x14ac:dyDescent="0.25">
      <c r="A6" s="96"/>
      <c r="B6" s="71" t="s">
        <v>277</v>
      </c>
      <c r="C6" s="96"/>
      <c r="D6" s="73" t="s">
        <v>279</v>
      </c>
      <c r="E6" s="73" t="s">
        <v>340</v>
      </c>
      <c r="F6" s="73" t="s">
        <v>278</v>
      </c>
      <c r="G6" s="73" t="s">
        <v>278</v>
      </c>
      <c r="H6" s="73" t="s">
        <v>278</v>
      </c>
      <c r="I6" s="73" t="s">
        <v>278</v>
      </c>
      <c r="J6" s="73" t="s">
        <v>278</v>
      </c>
      <c r="K6" s="73" t="s">
        <v>278</v>
      </c>
      <c r="L6" s="73" t="s">
        <v>278</v>
      </c>
      <c r="M6" s="73" t="s">
        <v>278</v>
      </c>
      <c r="N6" s="73" t="s">
        <v>278</v>
      </c>
      <c r="O6" s="73" t="s">
        <v>278</v>
      </c>
      <c r="P6" s="73" t="s">
        <v>341</v>
      </c>
      <c r="Q6" s="73" t="s">
        <v>342</v>
      </c>
      <c r="R6" s="73" t="s">
        <v>278</v>
      </c>
      <c r="S6" s="73" t="s">
        <v>278</v>
      </c>
      <c r="T6" s="96"/>
      <c r="U6" s="73" t="s">
        <v>286</v>
      </c>
      <c r="V6" s="73" t="s">
        <v>287</v>
      </c>
      <c r="W6" s="73" t="s">
        <v>278</v>
      </c>
      <c r="Y6" s="76"/>
      <c r="Z6" s="76"/>
      <c r="AA6" s="76"/>
      <c r="AB6" s="76"/>
      <c r="AC6" s="76"/>
      <c r="AD6" s="76"/>
      <c r="AE6" s="76"/>
      <c r="AF6" s="76"/>
      <c r="AG6" s="76"/>
      <c r="AH6" s="76"/>
      <c r="AI6" s="76"/>
      <c r="AJ6" s="76"/>
      <c r="AK6" s="76"/>
      <c r="AL6" s="76"/>
      <c r="AM6" s="76"/>
      <c r="AN6" s="76"/>
      <c r="AO6" s="76"/>
      <c r="AP6" s="76"/>
      <c r="AQ6" s="76"/>
      <c r="AR6" s="76"/>
      <c r="AS6" s="76"/>
      <c r="AT6" s="76"/>
      <c r="AU6" s="76"/>
    </row>
    <row r="7" spans="1:47" s="97" customFormat="1" x14ac:dyDescent="0.25">
      <c r="D7" s="98"/>
      <c r="E7" s="79"/>
      <c r="F7" s="226"/>
      <c r="G7" s="42"/>
      <c r="H7" s="42"/>
      <c r="I7" s="85"/>
      <c r="J7" s="85"/>
      <c r="K7" s="84"/>
      <c r="L7" s="84"/>
      <c r="M7" s="84"/>
      <c r="N7" s="85"/>
      <c r="O7" s="85"/>
      <c r="P7" s="84"/>
      <c r="Q7" s="84"/>
      <c r="R7" s="84"/>
      <c r="S7" s="84"/>
      <c r="T7" s="96"/>
      <c r="U7" s="80"/>
      <c r="V7" s="80"/>
      <c r="W7" s="80"/>
      <c r="Y7" s="78"/>
      <c r="Z7" s="80"/>
      <c r="AA7" s="80"/>
      <c r="AB7" s="80"/>
      <c r="AC7" s="80"/>
      <c r="AD7" s="80"/>
      <c r="AE7" s="80"/>
      <c r="AF7" s="80"/>
      <c r="AG7" s="80"/>
      <c r="AH7" s="80"/>
      <c r="AI7" s="80"/>
      <c r="AJ7" s="80"/>
      <c r="AK7" s="80"/>
      <c r="AL7" s="80"/>
      <c r="AM7" s="80"/>
      <c r="AN7" s="80"/>
      <c r="AO7" s="80"/>
      <c r="AP7" s="80"/>
      <c r="AQ7" s="80"/>
      <c r="AR7" s="80"/>
      <c r="AS7" s="80"/>
      <c r="AT7" s="80"/>
      <c r="AU7" s="80"/>
    </row>
    <row r="8" spans="1:47" s="97" customFormat="1" x14ac:dyDescent="0.25">
      <c r="D8" s="98"/>
      <c r="E8" s="79"/>
      <c r="F8" s="226"/>
      <c r="G8" s="42"/>
      <c r="H8" s="42"/>
      <c r="I8" s="85"/>
      <c r="J8" s="85"/>
      <c r="K8" s="84"/>
      <c r="L8" s="84"/>
      <c r="M8" s="84"/>
      <c r="N8" s="85"/>
      <c r="O8" s="85"/>
      <c r="P8" s="84"/>
      <c r="Q8" s="84"/>
      <c r="R8" s="84"/>
      <c r="S8" s="84"/>
      <c r="T8" s="96"/>
      <c r="U8" s="80"/>
      <c r="V8" s="80"/>
      <c r="W8" s="80"/>
      <c r="Y8" s="78"/>
      <c r="Z8" s="80"/>
      <c r="AA8" s="80"/>
      <c r="AB8" s="80"/>
      <c r="AC8" s="80"/>
      <c r="AD8" s="80"/>
      <c r="AE8" s="80"/>
      <c r="AF8" s="80"/>
      <c r="AG8" s="80"/>
      <c r="AH8" s="80"/>
      <c r="AI8" s="80"/>
      <c r="AJ8" s="80"/>
      <c r="AK8" s="80"/>
      <c r="AL8" s="80"/>
      <c r="AM8" s="80"/>
      <c r="AN8" s="80"/>
      <c r="AO8" s="80"/>
      <c r="AP8" s="80"/>
      <c r="AQ8" s="80"/>
      <c r="AR8" s="80"/>
      <c r="AS8" s="80"/>
      <c r="AT8" s="80"/>
      <c r="AU8" s="80"/>
    </row>
    <row r="9" spans="1:47" s="53" customFormat="1" x14ac:dyDescent="0.25">
      <c r="D9" s="98"/>
      <c r="E9" s="79"/>
      <c r="F9" s="226"/>
      <c r="G9" s="42"/>
      <c r="H9" s="42"/>
      <c r="I9" s="85"/>
      <c r="J9" s="85"/>
      <c r="K9" s="84"/>
      <c r="L9" s="84"/>
      <c r="M9" s="84"/>
      <c r="N9" s="85"/>
      <c r="O9" s="85"/>
      <c r="P9" s="84"/>
      <c r="Q9" s="84"/>
      <c r="R9" s="84"/>
      <c r="S9" s="84"/>
      <c r="T9" s="96"/>
      <c r="U9" s="80"/>
      <c r="V9" s="80"/>
      <c r="W9" s="80"/>
      <c r="Y9" s="78"/>
      <c r="Z9" s="80"/>
      <c r="AA9" s="80"/>
      <c r="AB9" s="80"/>
      <c r="AC9" s="80"/>
      <c r="AD9" s="80"/>
      <c r="AE9" s="80"/>
      <c r="AF9" s="80"/>
      <c r="AG9" s="80"/>
      <c r="AH9" s="80"/>
      <c r="AI9" s="80"/>
      <c r="AJ9" s="80"/>
      <c r="AK9" s="80"/>
      <c r="AL9" s="80"/>
      <c r="AM9" s="80"/>
      <c r="AN9" s="80"/>
      <c r="AO9" s="80"/>
      <c r="AP9" s="80"/>
      <c r="AQ9" s="80"/>
      <c r="AR9" s="80"/>
      <c r="AS9" s="80"/>
      <c r="AT9" s="80"/>
      <c r="AU9" s="80"/>
    </row>
    <row r="10" spans="1:47" s="53" customFormat="1" x14ac:dyDescent="0.25">
      <c r="D10" s="98"/>
      <c r="E10" s="79"/>
      <c r="F10" s="226"/>
      <c r="G10" s="42"/>
      <c r="H10" s="42"/>
      <c r="I10" s="85"/>
      <c r="J10" s="85"/>
      <c r="K10" s="84"/>
      <c r="L10" s="84"/>
      <c r="M10" s="84"/>
      <c r="N10" s="85"/>
      <c r="O10" s="85"/>
      <c r="P10" s="84"/>
      <c r="Q10" s="84"/>
      <c r="R10" s="84"/>
      <c r="S10" s="84"/>
      <c r="T10" s="96"/>
      <c r="U10" s="80"/>
      <c r="V10" s="80"/>
      <c r="W10" s="80"/>
      <c r="Y10" s="78"/>
      <c r="Z10" s="80"/>
      <c r="AA10" s="80"/>
      <c r="AB10" s="80"/>
      <c r="AC10" s="80"/>
      <c r="AD10" s="80"/>
      <c r="AE10" s="80"/>
      <c r="AF10" s="80"/>
      <c r="AG10" s="80"/>
      <c r="AH10" s="80"/>
      <c r="AI10" s="80"/>
      <c r="AJ10" s="80"/>
      <c r="AK10" s="80"/>
      <c r="AL10" s="80"/>
      <c r="AM10" s="80"/>
      <c r="AN10" s="80"/>
      <c r="AO10" s="80"/>
      <c r="AP10" s="80"/>
      <c r="AQ10" s="80"/>
      <c r="AR10" s="80"/>
      <c r="AS10" s="80"/>
      <c r="AT10" s="80"/>
      <c r="AU10" s="80"/>
    </row>
    <row r="11" spans="1:47" s="53" customFormat="1" x14ac:dyDescent="0.25">
      <c r="D11" s="98"/>
      <c r="E11" s="79"/>
      <c r="F11" s="226"/>
      <c r="G11" s="42"/>
      <c r="H11" s="42"/>
      <c r="I11" s="85"/>
      <c r="J11" s="85"/>
      <c r="K11" s="84"/>
      <c r="L11" s="84"/>
      <c r="M11" s="84"/>
      <c r="N11" s="85"/>
      <c r="O11" s="85"/>
      <c r="P11" s="84"/>
      <c r="Q11" s="84"/>
      <c r="R11" s="84"/>
      <c r="S11" s="84"/>
      <c r="T11" s="96"/>
      <c r="U11" s="80"/>
      <c r="V11" s="80"/>
      <c r="W11" s="80"/>
      <c r="Y11" s="78"/>
      <c r="Z11" s="80"/>
      <c r="AA11" s="80"/>
      <c r="AB11" s="80"/>
      <c r="AC11" s="80"/>
      <c r="AD11" s="80"/>
      <c r="AE11" s="80"/>
      <c r="AF11" s="80"/>
      <c r="AG11" s="80"/>
      <c r="AH11" s="80"/>
      <c r="AI11" s="80"/>
      <c r="AJ11" s="80"/>
      <c r="AK11" s="80"/>
      <c r="AL11" s="80"/>
      <c r="AM11" s="80"/>
      <c r="AN11" s="80"/>
      <c r="AO11" s="80"/>
      <c r="AP11" s="80"/>
      <c r="AQ11" s="80"/>
      <c r="AR11" s="80"/>
      <c r="AS11" s="80"/>
      <c r="AT11" s="80"/>
      <c r="AU11" s="80"/>
    </row>
    <row r="12" spans="1:47" s="53" customFormat="1" x14ac:dyDescent="0.25">
      <c r="D12" s="98"/>
      <c r="E12" s="79"/>
      <c r="F12" s="226"/>
      <c r="G12" s="42"/>
      <c r="H12" s="42"/>
      <c r="I12" s="85"/>
      <c r="J12" s="85"/>
      <c r="K12" s="84"/>
      <c r="L12" s="84"/>
      <c r="M12" s="84"/>
      <c r="N12" s="85"/>
      <c r="O12" s="85"/>
      <c r="P12" s="84"/>
      <c r="Q12" s="84"/>
      <c r="R12" s="84"/>
      <c r="S12" s="84"/>
      <c r="T12" s="96"/>
      <c r="U12" s="80"/>
      <c r="V12" s="80"/>
      <c r="W12" s="80"/>
      <c r="Y12" s="78"/>
      <c r="Z12" s="80"/>
      <c r="AA12" s="80"/>
      <c r="AB12" s="80"/>
      <c r="AC12" s="80"/>
      <c r="AD12" s="80"/>
      <c r="AE12" s="80"/>
      <c r="AF12" s="80"/>
      <c r="AG12" s="80"/>
      <c r="AH12" s="80"/>
      <c r="AI12" s="80"/>
      <c r="AJ12" s="80"/>
      <c r="AK12" s="80"/>
      <c r="AL12" s="80"/>
      <c r="AM12" s="80"/>
      <c r="AN12" s="80"/>
      <c r="AO12" s="80"/>
      <c r="AP12" s="80"/>
      <c r="AQ12" s="80"/>
      <c r="AR12" s="80"/>
      <c r="AS12" s="80"/>
      <c r="AT12" s="80"/>
      <c r="AU12" s="80"/>
    </row>
    <row r="13" spans="1:47" s="53" customFormat="1" x14ac:dyDescent="0.25">
      <c r="D13" s="98"/>
      <c r="E13" s="79"/>
      <c r="F13" s="226"/>
      <c r="G13" s="42"/>
      <c r="H13" s="42"/>
      <c r="I13" s="85"/>
      <c r="J13" s="85"/>
      <c r="K13" s="84"/>
      <c r="L13" s="84"/>
      <c r="M13" s="84"/>
      <c r="N13" s="85"/>
      <c r="O13" s="85"/>
      <c r="P13" s="84"/>
      <c r="Q13" s="84"/>
      <c r="R13" s="84"/>
      <c r="S13" s="84"/>
      <c r="T13" s="96"/>
      <c r="U13" s="80"/>
      <c r="V13" s="80"/>
      <c r="W13" s="80"/>
      <c r="Y13" s="78"/>
      <c r="Z13" s="80"/>
      <c r="AA13" s="80"/>
      <c r="AB13" s="80"/>
      <c r="AC13" s="80"/>
      <c r="AD13" s="80"/>
      <c r="AE13" s="80"/>
      <c r="AF13" s="80"/>
      <c r="AG13" s="80"/>
      <c r="AH13" s="80"/>
      <c r="AI13" s="80"/>
      <c r="AJ13" s="80"/>
      <c r="AK13" s="80"/>
      <c r="AL13" s="80"/>
      <c r="AM13" s="80"/>
      <c r="AN13" s="80"/>
      <c r="AO13" s="80"/>
      <c r="AP13" s="80"/>
      <c r="AQ13" s="80"/>
      <c r="AR13" s="80"/>
      <c r="AS13" s="80"/>
      <c r="AT13" s="80"/>
      <c r="AU13" s="80"/>
    </row>
    <row r="14" spans="1:47" s="53" customFormat="1" x14ac:dyDescent="0.25">
      <c r="D14" s="98"/>
      <c r="E14" s="79"/>
      <c r="F14" s="226"/>
      <c r="G14" s="42"/>
      <c r="H14" s="42"/>
      <c r="I14" s="85"/>
      <c r="J14" s="85"/>
      <c r="K14" s="84"/>
      <c r="L14" s="84"/>
      <c r="M14" s="84"/>
      <c r="N14" s="85"/>
      <c r="O14" s="85"/>
      <c r="P14" s="84"/>
      <c r="Q14" s="84"/>
      <c r="R14" s="84"/>
      <c r="S14" s="84"/>
      <c r="T14" s="96"/>
      <c r="U14" s="80"/>
      <c r="V14" s="80"/>
      <c r="W14" s="80"/>
      <c r="Y14" s="78"/>
      <c r="Z14" s="80"/>
      <c r="AA14" s="80"/>
      <c r="AB14" s="80"/>
      <c r="AC14" s="80"/>
      <c r="AD14" s="80"/>
      <c r="AE14" s="80"/>
      <c r="AF14" s="80"/>
      <c r="AG14" s="80"/>
      <c r="AH14" s="80"/>
      <c r="AI14" s="80"/>
      <c r="AJ14" s="80"/>
      <c r="AK14" s="80"/>
      <c r="AL14" s="80"/>
      <c r="AM14" s="80"/>
      <c r="AN14" s="80"/>
      <c r="AO14" s="80"/>
      <c r="AP14" s="80"/>
      <c r="AQ14" s="80"/>
      <c r="AR14" s="80"/>
      <c r="AS14" s="80"/>
      <c r="AT14" s="80"/>
      <c r="AU14" s="80"/>
    </row>
    <row r="15" spans="1:47" s="53" customFormat="1" x14ac:dyDescent="0.25">
      <c r="D15" s="98"/>
      <c r="E15" s="79"/>
      <c r="F15" s="226"/>
      <c r="G15" s="42"/>
      <c r="H15" s="42"/>
      <c r="I15" s="85"/>
      <c r="J15" s="85"/>
      <c r="K15" s="84"/>
      <c r="L15" s="84"/>
      <c r="M15" s="84"/>
      <c r="N15" s="85"/>
      <c r="O15" s="85"/>
      <c r="P15" s="84"/>
      <c r="Q15" s="84"/>
      <c r="R15" s="84"/>
      <c r="S15" s="84"/>
      <c r="T15" s="96"/>
      <c r="U15" s="80"/>
      <c r="V15" s="80"/>
      <c r="W15" s="80"/>
      <c r="Y15" s="78"/>
      <c r="Z15" s="80"/>
      <c r="AA15" s="80"/>
      <c r="AB15" s="80"/>
      <c r="AC15" s="80"/>
      <c r="AD15" s="80"/>
      <c r="AE15" s="80"/>
      <c r="AF15" s="80"/>
      <c r="AG15" s="80"/>
      <c r="AH15" s="80"/>
      <c r="AI15" s="80"/>
      <c r="AJ15" s="80"/>
      <c r="AK15" s="80"/>
      <c r="AL15" s="80"/>
      <c r="AM15" s="80"/>
      <c r="AN15" s="80"/>
      <c r="AO15" s="80"/>
      <c r="AP15" s="80"/>
      <c r="AQ15" s="80"/>
      <c r="AR15" s="80"/>
      <c r="AS15" s="80"/>
      <c r="AT15" s="80"/>
      <c r="AU15" s="80"/>
    </row>
    <row r="16" spans="1:47" s="53" customFormat="1" x14ac:dyDescent="0.25">
      <c r="D16" s="98"/>
      <c r="E16" s="79"/>
      <c r="F16" s="226"/>
      <c r="G16" s="42"/>
      <c r="H16" s="42"/>
      <c r="I16" s="85"/>
      <c r="J16" s="85"/>
      <c r="K16" s="84"/>
      <c r="L16" s="84"/>
      <c r="M16" s="84"/>
      <c r="N16" s="85"/>
      <c r="O16" s="85"/>
      <c r="P16" s="84"/>
      <c r="Q16" s="84"/>
      <c r="R16" s="84"/>
      <c r="S16" s="84"/>
      <c r="T16" s="96"/>
      <c r="U16" s="80"/>
      <c r="V16" s="80"/>
      <c r="W16" s="80"/>
      <c r="Y16" s="78"/>
      <c r="Z16" s="80"/>
      <c r="AA16" s="80"/>
      <c r="AB16" s="80"/>
      <c r="AC16" s="80"/>
      <c r="AD16" s="80"/>
      <c r="AE16" s="80"/>
      <c r="AF16" s="80"/>
      <c r="AG16" s="80"/>
      <c r="AH16" s="80"/>
      <c r="AI16" s="80"/>
      <c r="AJ16" s="80"/>
      <c r="AK16" s="80"/>
      <c r="AL16" s="80"/>
      <c r="AM16" s="80"/>
      <c r="AN16" s="80"/>
      <c r="AO16" s="80"/>
      <c r="AP16" s="80"/>
      <c r="AQ16" s="80"/>
      <c r="AR16" s="80"/>
      <c r="AS16" s="80"/>
      <c r="AT16" s="80"/>
      <c r="AU16" s="80"/>
    </row>
    <row r="17" spans="4:47" s="53" customFormat="1" x14ac:dyDescent="0.25">
      <c r="D17" s="98"/>
      <c r="E17" s="79"/>
      <c r="F17" s="226"/>
      <c r="G17" s="42"/>
      <c r="H17" s="42"/>
      <c r="I17" s="85"/>
      <c r="J17" s="85"/>
      <c r="K17" s="84"/>
      <c r="L17" s="84"/>
      <c r="M17" s="84"/>
      <c r="N17" s="85"/>
      <c r="O17" s="85"/>
      <c r="P17" s="84"/>
      <c r="Q17" s="84"/>
      <c r="R17" s="84"/>
      <c r="S17" s="84"/>
      <c r="T17" s="96"/>
      <c r="U17" s="80"/>
      <c r="V17" s="80"/>
      <c r="W17" s="80"/>
      <c r="Y17" s="78"/>
      <c r="Z17" s="80"/>
      <c r="AA17" s="80"/>
      <c r="AB17" s="80"/>
      <c r="AC17" s="80"/>
      <c r="AD17" s="80"/>
      <c r="AE17" s="80"/>
      <c r="AF17" s="80"/>
      <c r="AG17" s="80"/>
      <c r="AH17" s="80"/>
      <c r="AI17" s="80"/>
      <c r="AJ17" s="80"/>
      <c r="AK17" s="80"/>
      <c r="AL17" s="80"/>
      <c r="AM17" s="80"/>
      <c r="AN17" s="80"/>
      <c r="AO17" s="80"/>
      <c r="AP17" s="80"/>
      <c r="AQ17" s="80"/>
      <c r="AR17" s="80"/>
      <c r="AS17" s="80"/>
      <c r="AT17" s="80"/>
      <c r="AU17" s="80"/>
    </row>
    <row r="18" spans="4:47" s="53" customFormat="1" x14ac:dyDescent="0.25">
      <c r="D18" s="98"/>
      <c r="E18" s="79"/>
      <c r="F18" s="226"/>
      <c r="G18" s="42"/>
      <c r="H18" s="42"/>
      <c r="I18" s="85"/>
      <c r="J18" s="85"/>
      <c r="K18" s="84"/>
      <c r="L18" s="84"/>
      <c r="M18" s="84"/>
      <c r="N18" s="85"/>
      <c r="O18" s="85"/>
      <c r="P18" s="84"/>
      <c r="Q18" s="84"/>
      <c r="R18" s="84"/>
      <c r="S18" s="84"/>
      <c r="T18" s="96"/>
      <c r="U18" s="80"/>
      <c r="V18" s="80"/>
      <c r="W18" s="80"/>
      <c r="Y18" s="78"/>
      <c r="Z18" s="80"/>
      <c r="AA18" s="80"/>
      <c r="AB18" s="80"/>
      <c r="AC18" s="80"/>
      <c r="AD18" s="80"/>
      <c r="AE18" s="80"/>
      <c r="AF18" s="80"/>
      <c r="AG18" s="80"/>
      <c r="AH18" s="80"/>
      <c r="AI18" s="80"/>
      <c r="AJ18" s="80"/>
      <c r="AK18" s="80"/>
      <c r="AL18" s="80"/>
      <c r="AM18" s="80"/>
      <c r="AN18" s="80"/>
      <c r="AO18" s="80"/>
      <c r="AP18" s="80"/>
      <c r="AQ18" s="80"/>
      <c r="AR18" s="80"/>
      <c r="AS18" s="80"/>
      <c r="AT18" s="80"/>
      <c r="AU18" s="80"/>
    </row>
    <row r="19" spans="4:47" s="53" customFormat="1" x14ac:dyDescent="0.25">
      <c r="D19" s="98"/>
      <c r="E19" s="79"/>
      <c r="F19" s="226"/>
      <c r="G19" s="42"/>
      <c r="H19" s="42"/>
      <c r="I19" s="85"/>
      <c r="J19" s="85"/>
      <c r="K19" s="84"/>
      <c r="L19" s="84"/>
      <c r="M19" s="84"/>
      <c r="N19" s="85"/>
      <c r="O19" s="85"/>
      <c r="P19" s="84"/>
      <c r="Q19" s="84"/>
      <c r="R19" s="84"/>
      <c r="S19" s="84"/>
      <c r="T19" s="96"/>
      <c r="U19" s="80"/>
      <c r="V19" s="80"/>
      <c r="W19" s="80"/>
      <c r="Y19" s="78"/>
      <c r="Z19" s="80"/>
      <c r="AA19" s="80"/>
      <c r="AB19" s="80"/>
      <c r="AC19" s="80"/>
      <c r="AD19" s="80"/>
      <c r="AE19" s="80"/>
      <c r="AF19" s="80"/>
      <c r="AG19" s="80"/>
      <c r="AH19" s="80"/>
      <c r="AI19" s="80"/>
      <c r="AJ19" s="80"/>
      <c r="AK19" s="80"/>
      <c r="AL19" s="80"/>
      <c r="AM19" s="80"/>
      <c r="AN19" s="80"/>
      <c r="AO19" s="80"/>
      <c r="AP19" s="80"/>
      <c r="AQ19" s="80"/>
      <c r="AR19" s="80"/>
      <c r="AS19" s="80"/>
      <c r="AT19" s="80"/>
      <c r="AU19" s="80"/>
    </row>
    <row r="20" spans="4:47" s="53" customFormat="1" x14ac:dyDescent="0.25">
      <c r="D20" s="98"/>
      <c r="E20" s="79"/>
      <c r="F20" s="226"/>
      <c r="G20" s="42"/>
      <c r="H20" s="42"/>
      <c r="I20" s="85"/>
      <c r="J20" s="85"/>
      <c r="K20" s="84"/>
      <c r="L20" s="84"/>
      <c r="M20" s="84"/>
      <c r="N20" s="85"/>
      <c r="O20" s="85"/>
      <c r="P20" s="84"/>
      <c r="Q20" s="84"/>
      <c r="R20" s="84"/>
      <c r="S20" s="84"/>
      <c r="T20" s="96"/>
      <c r="U20" s="80"/>
      <c r="V20" s="80"/>
      <c r="W20" s="80"/>
      <c r="Y20" s="78"/>
      <c r="Z20" s="80"/>
      <c r="AA20" s="80"/>
      <c r="AB20" s="80"/>
      <c r="AC20" s="80"/>
      <c r="AD20" s="80"/>
      <c r="AE20" s="80"/>
      <c r="AF20" s="80"/>
      <c r="AG20" s="80"/>
      <c r="AH20" s="80"/>
      <c r="AI20" s="80"/>
      <c r="AJ20" s="80"/>
      <c r="AK20" s="80"/>
      <c r="AL20" s="80"/>
      <c r="AM20" s="80"/>
      <c r="AN20" s="80"/>
      <c r="AO20" s="80"/>
      <c r="AP20" s="80"/>
      <c r="AQ20" s="80"/>
      <c r="AR20" s="80"/>
      <c r="AS20" s="80"/>
      <c r="AT20" s="80"/>
      <c r="AU20" s="80"/>
    </row>
    <row r="21" spans="4:47" s="53" customFormat="1" x14ac:dyDescent="0.25">
      <c r="D21" s="98"/>
      <c r="E21" s="79"/>
      <c r="F21" s="226"/>
      <c r="G21" s="42"/>
      <c r="H21" s="42"/>
      <c r="I21" s="85"/>
      <c r="J21" s="85"/>
      <c r="K21" s="84"/>
      <c r="L21" s="84"/>
      <c r="M21" s="84"/>
      <c r="N21" s="85"/>
      <c r="O21" s="85"/>
      <c r="P21" s="84"/>
      <c r="Q21" s="84"/>
      <c r="R21" s="84"/>
      <c r="S21" s="84"/>
      <c r="T21" s="96"/>
      <c r="U21" s="80"/>
      <c r="V21" s="80"/>
      <c r="W21" s="80"/>
      <c r="Y21" s="78"/>
      <c r="Z21" s="80"/>
      <c r="AA21" s="80"/>
      <c r="AB21" s="80"/>
      <c r="AC21" s="80"/>
      <c r="AD21" s="80"/>
      <c r="AE21" s="80"/>
      <c r="AF21" s="80"/>
      <c r="AG21" s="80"/>
      <c r="AH21" s="80"/>
      <c r="AI21" s="80"/>
      <c r="AJ21" s="80"/>
      <c r="AK21" s="80"/>
      <c r="AL21" s="80"/>
      <c r="AM21" s="80"/>
      <c r="AN21" s="80"/>
      <c r="AO21" s="80"/>
      <c r="AP21" s="80"/>
      <c r="AQ21" s="80"/>
      <c r="AR21" s="80"/>
      <c r="AS21" s="80"/>
      <c r="AT21" s="80"/>
      <c r="AU21" s="80"/>
    </row>
    <row r="22" spans="4:47" s="53" customFormat="1" x14ac:dyDescent="0.25">
      <c r="D22" s="98"/>
      <c r="E22" s="79"/>
      <c r="F22" s="226"/>
      <c r="G22" s="42"/>
      <c r="H22" s="42"/>
      <c r="I22" s="85"/>
      <c r="J22" s="85"/>
      <c r="K22" s="84"/>
      <c r="L22" s="84"/>
      <c r="M22" s="84"/>
      <c r="N22" s="85"/>
      <c r="O22" s="85"/>
      <c r="P22" s="84"/>
      <c r="Q22" s="84"/>
      <c r="R22" s="84"/>
      <c r="S22" s="84"/>
      <c r="T22" s="96"/>
      <c r="U22" s="80"/>
      <c r="V22" s="80"/>
      <c r="W22" s="80"/>
      <c r="Y22" s="78"/>
      <c r="Z22" s="80"/>
      <c r="AA22" s="80"/>
      <c r="AB22" s="80"/>
      <c r="AC22" s="80"/>
      <c r="AD22" s="80"/>
      <c r="AE22" s="80"/>
      <c r="AF22" s="80"/>
      <c r="AG22" s="80"/>
      <c r="AH22" s="80"/>
      <c r="AI22" s="80"/>
      <c r="AJ22" s="80"/>
      <c r="AK22" s="80"/>
      <c r="AL22" s="80"/>
      <c r="AM22" s="80"/>
      <c r="AN22" s="80"/>
      <c r="AO22" s="80"/>
      <c r="AP22" s="80"/>
      <c r="AQ22" s="80"/>
      <c r="AR22" s="80"/>
      <c r="AS22" s="80"/>
      <c r="AT22" s="80"/>
      <c r="AU22" s="80"/>
    </row>
    <row r="23" spans="4:47" s="53" customFormat="1" x14ac:dyDescent="0.25">
      <c r="D23" s="98"/>
      <c r="E23" s="79"/>
      <c r="F23" s="226"/>
      <c r="G23" s="42"/>
      <c r="H23" s="42"/>
      <c r="I23" s="85"/>
      <c r="J23" s="85"/>
      <c r="K23" s="84"/>
      <c r="L23" s="84"/>
      <c r="M23" s="84"/>
      <c r="N23" s="85"/>
      <c r="O23" s="85"/>
      <c r="P23" s="84"/>
      <c r="Q23" s="84"/>
      <c r="R23" s="84"/>
      <c r="S23" s="84"/>
      <c r="T23" s="96"/>
      <c r="U23" s="80"/>
      <c r="V23" s="80"/>
      <c r="W23" s="80"/>
      <c r="Y23" s="78"/>
      <c r="Z23" s="80"/>
      <c r="AA23" s="80"/>
      <c r="AB23" s="80"/>
      <c r="AC23" s="80"/>
      <c r="AD23" s="80"/>
      <c r="AE23" s="80"/>
      <c r="AF23" s="80"/>
      <c r="AG23" s="80"/>
      <c r="AH23" s="80"/>
      <c r="AI23" s="80"/>
      <c r="AJ23" s="80"/>
      <c r="AK23" s="80"/>
      <c r="AL23" s="80"/>
      <c r="AM23" s="80"/>
      <c r="AN23" s="80"/>
      <c r="AO23" s="80"/>
      <c r="AP23" s="80"/>
      <c r="AQ23" s="80"/>
      <c r="AR23" s="80"/>
      <c r="AS23" s="80"/>
      <c r="AT23" s="80"/>
      <c r="AU23" s="80"/>
    </row>
    <row r="24" spans="4:47" s="53" customFormat="1" x14ac:dyDescent="0.25">
      <c r="D24" s="98"/>
      <c r="E24" s="79"/>
      <c r="F24" s="226"/>
      <c r="G24" s="42"/>
      <c r="H24" s="42"/>
      <c r="I24" s="85"/>
      <c r="J24" s="85"/>
      <c r="K24" s="84"/>
      <c r="L24" s="84"/>
      <c r="M24" s="84"/>
      <c r="N24" s="85"/>
      <c r="O24" s="85"/>
      <c r="P24" s="84"/>
      <c r="Q24" s="84"/>
      <c r="R24" s="84"/>
      <c r="S24" s="84"/>
      <c r="T24" s="96"/>
      <c r="U24" s="80"/>
      <c r="V24" s="80"/>
      <c r="W24" s="80"/>
      <c r="Y24" s="78"/>
      <c r="Z24" s="80"/>
      <c r="AA24" s="80"/>
      <c r="AB24" s="80"/>
      <c r="AC24" s="80"/>
      <c r="AD24" s="80"/>
      <c r="AE24" s="80"/>
      <c r="AF24" s="80"/>
      <c r="AG24" s="80"/>
      <c r="AH24" s="80"/>
      <c r="AI24" s="80"/>
      <c r="AJ24" s="80"/>
      <c r="AK24" s="80"/>
      <c r="AL24" s="80"/>
      <c r="AM24" s="80"/>
      <c r="AN24" s="80"/>
      <c r="AO24" s="80"/>
      <c r="AP24" s="80"/>
      <c r="AQ24" s="80"/>
      <c r="AR24" s="80"/>
      <c r="AS24" s="80"/>
      <c r="AT24" s="80"/>
      <c r="AU24" s="80"/>
    </row>
    <row r="25" spans="4:47" s="53" customFormat="1" x14ac:dyDescent="0.25">
      <c r="D25" s="98"/>
      <c r="E25" s="79"/>
      <c r="F25" s="226"/>
      <c r="G25" s="42"/>
      <c r="H25" s="42"/>
      <c r="I25" s="85"/>
      <c r="J25" s="85"/>
      <c r="K25" s="84"/>
      <c r="L25" s="84"/>
      <c r="M25" s="84"/>
      <c r="N25" s="85"/>
      <c r="O25" s="85"/>
      <c r="P25" s="84"/>
      <c r="Q25" s="84"/>
      <c r="R25" s="84"/>
      <c r="S25" s="84"/>
      <c r="T25" s="96"/>
      <c r="U25" s="80"/>
      <c r="V25" s="80"/>
      <c r="W25" s="80"/>
      <c r="Y25" s="78"/>
      <c r="Z25" s="80"/>
      <c r="AA25" s="80"/>
      <c r="AB25" s="80"/>
      <c r="AC25" s="80"/>
      <c r="AD25" s="80"/>
      <c r="AE25" s="80"/>
      <c r="AF25" s="80"/>
      <c r="AG25" s="80"/>
      <c r="AH25" s="80"/>
      <c r="AI25" s="80"/>
      <c r="AJ25" s="80"/>
      <c r="AK25" s="80"/>
      <c r="AL25" s="80"/>
      <c r="AM25" s="80"/>
      <c r="AN25" s="80"/>
      <c r="AO25" s="80"/>
      <c r="AP25" s="80"/>
      <c r="AQ25" s="80"/>
      <c r="AR25" s="80"/>
      <c r="AS25" s="80"/>
      <c r="AT25" s="80"/>
      <c r="AU25" s="80"/>
    </row>
    <row r="26" spans="4:47" s="53" customFormat="1" x14ac:dyDescent="0.25">
      <c r="D26" s="98"/>
      <c r="E26" s="79"/>
      <c r="F26" s="226"/>
      <c r="G26" s="42"/>
      <c r="H26" s="42"/>
      <c r="I26" s="85"/>
      <c r="J26" s="85"/>
      <c r="K26" s="84"/>
      <c r="L26" s="84"/>
      <c r="M26" s="84"/>
      <c r="N26" s="85"/>
      <c r="O26" s="85"/>
      <c r="P26" s="84"/>
      <c r="Q26" s="84"/>
      <c r="R26" s="84"/>
      <c r="S26" s="84"/>
      <c r="T26" s="96"/>
      <c r="U26" s="80"/>
      <c r="V26" s="80"/>
      <c r="W26" s="80"/>
      <c r="Y26" s="78"/>
      <c r="Z26" s="80"/>
      <c r="AA26" s="80"/>
      <c r="AB26" s="80"/>
      <c r="AC26" s="80"/>
      <c r="AD26" s="80"/>
      <c r="AE26" s="80"/>
      <c r="AF26" s="80"/>
      <c r="AG26" s="80"/>
      <c r="AH26" s="80"/>
      <c r="AI26" s="80"/>
      <c r="AJ26" s="80"/>
      <c r="AK26" s="80"/>
      <c r="AL26" s="80"/>
      <c r="AM26" s="80"/>
      <c r="AN26" s="80"/>
      <c r="AO26" s="80"/>
      <c r="AP26" s="80"/>
      <c r="AQ26" s="80"/>
      <c r="AR26" s="80"/>
      <c r="AS26" s="80"/>
      <c r="AT26" s="80"/>
      <c r="AU26" s="80"/>
    </row>
    <row r="27" spans="4:47" s="53" customFormat="1" x14ac:dyDescent="0.25">
      <c r="D27" s="98"/>
      <c r="E27" s="79"/>
      <c r="F27" s="226"/>
      <c r="G27" s="42"/>
      <c r="H27" s="42"/>
      <c r="I27" s="85"/>
      <c r="J27" s="85"/>
      <c r="K27" s="84"/>
      <c r="L27" s="84"/>
      <c r="M27" s="84"/>
      <c r="N27" s="85"/>
      <c r="O27" s="85"/>
      <c r="P27" s="84"/>
      <c r="Q27" s="84"/>
      <c r="R27" s="84"/>
      <c r="S27" s="84"/>
      <c r="T27" s="96"/>
      <c r="U27" s="80"/>
      <c r="V27" s="80"/>
      <c r="W27" s="80"/>
      <c r="Y27" s="78"/>
      <c r="Z27" s="80"/>
      <c r="AA27" s="80"/>
      <c r="AB27" s="80"/>
      <c r="AC27" s="80"/>
      <c r="AD27" s="80"/>
      <c r="AE27" s="80"/>
      <c r="AF27" s="80"/>
      <c r="AG27" s="80"/>
      <c r="AH27" s="80"/>
      <c r="AI27" s="80"/>
      <c r="AJ27" s="80"/>
      <c r="AK27" s="80"/>
      <c r="AL27" s="80"/>
      <c r="AM27" s="80"/>
      <c r="AN27" s="80"/>
      <c r="AO27" s="80"/>
      <c r="AP27" s="80"/>
      <c r="AQ27" s="80"/>
      <c r="AR27" s="80"/>
      <c r="AS27" s="80"/>
      <c r="AT27" s="80"/>
      <c r="AU27" s="80"/>
    </row>
    <row r="28" spans="4:47" s="53" customFormat="1" x14ac:dyDescent="0.25">
      <c r="D28" s="98"/>
      <c r="E28" s="79"/>
      <c r="F28" s="226"/>
      <c r="G28" s="42"/>
      <c r="H28" s="42"/>
      <c r="I28" s="85"/>
      <c r="J28" s="85"/>
      <c r="K28" s="84"/>
      <c r="L28" s="84"/>
      <c r="M28" s="84"/>
      <c r="N28" s="85"/>
      <c r="O28" s="85"/>
      <c r="P28" s="84"/>
      <c r="Q28" s="84"/>
      <c r="R28" s="84"/>
      <c r="S28" s="84"/>
      <c r="T28" s="96"/>
      <c r="U28" s="80"/>
      <c r="V28" s="80"/>
      <c r="W28" s="80"/>
      <c r="Y28" s="78"/>
      <c r="Z28" s="80"/>
      <c r="AA28" s="80"/>
      <c r="AB28" s="80"/>
      <c r="AC28" s="80"/>
      <c r="AD28" s="80"/>
      <c r="AE28" s="80"/>
      <c r="AF28" s="80"/>
      <c r="AG28" s="80"/>
      <c r="AH28" s="80"/>
      <c r="AI28" s="80"/>
      <c r="AJ28" s="80"/>
      <c r="AK28" s="80"/>
      <c r="AL28" s="80"/>
      <c r="AM28" s="80"/>
      <c r="AN28" s="80"/>
      <c r="AO28" s="80"/>
      <c r="AP28" s="80"/>
      <c r="AQ28" s="80"/>
      <c r="AR28" s="80"/>
      <c r="AS28" s="80"/>
      <c r="AT28" s="80"/>
      <c r="AU28" s="80"/>
    </row>
    <row r="29" spans="4:47" s="53" customFormat="1" x14ac:dyDescent="0.25">
      <c r="D29" s="98"/>
      <c r="E29" s="79"/>
      <c r="F29" s="226"/>
      <c r="G29" s="42"/>
      <c r="H29" s="42"/>
      <c r="I29" s="85"/>
      <c r="J29" s="85"/>
      <c r="K29" s="84"/>
      <c r="L29" s="84"/>
      <c r="M29" s="84"/>
      <c r="N29" s="85"/>
      <c r="O29" s="85"/>
      <c r="P29" s="84"/>
      <c r="Q29" s="84"/>
      <c r="R29" s="84"/>
      <c r="S29" s="84"/>
      <c r="T29" s="96"/>
      <c r="U29" s="80"/>
      <c r="V29" s="80"/>
      <c r="W29" s="80"/>
      <c r="Y29" s="78"/>
      <c r="Z29" s="80"/>
      <c r="AA29" s="80"/>
      <c r="AB29" s="80"/>
      <c r="AC29" s="80"/>
      <c r="AD29" s="80"/>
      <c r="AE29" s="80"/>
      <c r="AF29" s="80"/>
      <c r="AG29" s="80"/>
      <c r="AH29" s="80"/>
      <c r="AI29" s="80"/>
      <c r="AJ29" s="80"/>
      <c r="AK29" s="80"/>
      <c r="AL29" s="80"/>
      <c r="AM29" s="80"/>
      <c r="AN29" s="80"/>
      <c r="AO29" s="80"/>
      <c r="AP29" s="80"/>
      <c r="AQ29" s="80"/>
      <c r="AR29" s="80"/>
      <c r="AS29" s="80"/>
      <c r="AT29" s="80"/>
      <c r="AU29" s="80"/>
    </row>
    <row r="30" spans="4:47" s="53" customFormat="1" ht="25.5" x14ac:dyDescent="0.25">
      <c r="D30" s="98"/>
      <c r="E30" s="79"/>
      <c r="F30" s="226" t="s">
        <v>636</v>
      </c>
      <c r="G30" s="42" t="s">
        <v>947</v>
      </c>
      <c r="H30" s="42" t="s">
        <v>948</v>
      </c>
      <c r="I30" s="85"/>
      <c r="J30" s="85"/>
      <c r="K30" s="84"/>
      <c r="L30" s="84"/>
      <c r="M30" s="84"/>
      <c r="N30" s="85"/>
      <c r="O30" s="85"/>
      <c r="P30" s="84" t="s">
        <v>343</v>
      </c>
      <c r="Q30" s="84" t="s">
        <v>344</v>
      </c>
      <c r="R30" s="84">
        <v>2003</v>
      </c>
      <c r="S30" s="84" t="s">
        <v>949</v>
      </c>
      <c r="T30" s="96"/>
      <c r="U30" s="80" t="s">
        <v>419</v>
      </c>
      <c r="V30" s="80"/>
      <c r="W30" s="80" t="s">
        <v>949</v>
      </c>
      <c r="Y30" s="78"/>
      <c r="Z30" s="80"/>
      <c r="AA30" s="80"/>
      <c r="AB30" s="80"/>
      <c r="AC30" s="80"/>
      <c r="AD30" s="80"/>
      <c r="AE30" s="80"/>
      <c r="AF30" s="80"/>
      <c r="AG30" s="80"/>
      <c r="AH30" s="80"/>
      <c r="AI30" s="80"/>
      <c r="AJ30" s="80"/>
      <c r="AK30" s="80"/>
      <c r="AL30" s="80"/>
      <c r="AM30" s="80"/>
      <c r="AN30" s="80"/>
      <c r="AO30" s="80"/>
      <c r="AP30" s="80"/>
      <c r="AQ30" s="80"/>
      <c r="AR30" s="80"/>
      <c r="AS30" s="80"/>
      <c r="AT30" s="80"/>
      <c r="AU30" s="80"/>
    </row>
    <row r="31" spans="4:47" s="53" customFormat="1" ht="38.25" x14ac:dyDescent="0.25">
      <c r="D31" s="98"/>
      <c r="E31" s="79"/>
      <c r="F31" s="226" t="s">
        <v>641</v>
      </c>
      <c r="G31" s="42" t="s">
        <v>950</v>
      </c>
      <c r="H31" s="42" t="s">
        <v>951</v>
      </c>
      <c r="I31" s="85"/>
      <c r="J31" s="85"/>
      <c r="K31" s="84"/>
      <c r="L31" s="84"/>
      <c r="M31" s="84"/>
      <c r="N31" s="85"/>
      <c r="O31" s="85"/>
      <c r="P31" s="84" t="s">
        <v>343</v>
      </c>
      <c r="Q31" s="84" t="s">
        <v>344</v>
      </c>
      <c r="R31" s="84">
        <v>2015</v>
      </c>
      <c r="S31" s="84" t="s">
        <v>949</v>
      </c>
      <c r="T31" s="96"/>
      <c r="U31" s="80" t="s">
        <v>419</v>
      </c>
      <c r="V31" s="80"/>
      <c r="W31" s="80" t="s">
        <v>949</v>
      </c>
      <c r="Y31" s="78"/>
      <c r="Z31" s="80"/>
      <c r="AA31" s="80"/>
      <c r="AB31" s="80"/>
      <c r="AC31" s="80"/>
      <c r="AD31" s="80"/>
      <c r="AE31" s="80"/>
      <c r="AF31" s="80"/>
      <c r="AG31" s="80"/>
      <c r="AH31" s="80"/>
      <c r="AI31" s="80"/>
      <c r="AJ31" s="80"/>
      <c r="AK31" s="80"/>
      <c r="AL31" s="80"/>
      <c r="AM31" s="80"/>
      <c r="AN31" s="80"/>
      <c r="AO31" s="80"/>
      <c r="AP31" s="80"/>
      <c r="AQ31" s="80"/>
      <c r="AR31" s="80"/>
      <c r="AS31" s="80"/>
      <c r="AT31" s="80"/>
      <c r="AU31" s="80"/>
    </row>
    <row r="32" spans="4:47" s="53" customFormat="1" ht="38.25" x14ac:dyDescent="0.25">
      <c r="D32" s="98"/>
      <c r="E32" s="79"/>
      <c r="F32" s="226" t="s">
        <v>952</v>
      </c>
      <c r="G32" s="42" t="s">
        <v>953</v>
      </c>
      <c r="H32" s="42" t="s">
        <v>954</v>
      </c>
      <c r="I32" s="85"/>
      <c r="J32" s="85"/>
      <c r="K32" s="84"/>
      <c r="L32" s="84"/>
      <c r="M32" s="84"/>
      <c r="N32" s="85"/>
      <c r="O32" s="85"/>
      <c r="P32" s="84" t="s">
        <v>343</v>
      </c>
      <c r="Q32" s="84" t="s">
        <v>344</v>
      </c>
      <c r="R32" s="84">
        <v>2000</v>
      </c>
      <c r="S32" s="84" t="s">
        <v>949</v>
      </c>
      <c r="T32" s="96"/>
      <c r="U32" s="80" t="s">
        <v>419</v>
      </c>
      <c r="V32" s="80"/>
      <c r="W32" s="80" t="s">
        <v>949</v>
      </c>
      <c r="Y32" s="78"/>
      <c r="Z32" s="80"/>
      <c r="AA32" s="80"/>
      <c r="AB32" s="80"/>
      <c r="AC32" s="80"/>
      <c r="AD32" s="80"/>
      <c r="AE32" s="80"/>
      <c r="AF32" s="80"/>
      <c r="AG32" s="80"/>
      <c r="AH32" s="80"/>
      <c r="AI32" s="80"/>
      <c r="AJ32" s="80"/>
      <c r="AK32" s="80"/>
      <c r="AL32" s="80"/>
      <c r="AM32" s="80"/>
      <c r="AN32" s="80"/>
      <c r="AO32" s="80"/>
      <c r="AP32" s="80"/>
      <c r="AQ32" s="80"/>
      <c r="AR32" s="80"/>
      <c r="AS32" s="80"/>
      <c r="AT32" s="80"/>
      <c r="AU32" s="80"/>
    </row>
    <row r="33" spans="4:47" s="53" customFormat="1" ht="38.25" x14ac:dyDescent="0.25">
      <c r="D33" s="98"/>
      <c r="E33" s="79"/>
      <c r="F33" s="226" t="s">
        <v>646</v>
      </c>
      <c r="G33" s="42" t="s">
        <v>955</v>
      </c>
      <c r="H33" s="42" t="s">
        <v>956</v>
      </c>
      <c r="I33" s="85"/>
      <c r="J33" s="85"/>
      <c r="K33" s="84"/>
      <c r="L33" s="84"/>
      <c r="M33" s="84"/>
      <c r="N33" s="85"/>
      <c r="O33" s="85"/>
      <c r="P33" s="84" t="s">
        <v>343</v>
      </c>
      <c r="Q33" s="84" t="s">
        <v>344</v>
      </c>
      <c r="R33" s="84">
        <v>2021</v>
      </c>
      <c r="S33" s="84" t="s">
        <v>949</v>
      </c>
      <c r="T33" s="96"/>
      <c r="U33" s="80" t="s">
        <v>419</v>
      </c>
      <c r="V33" s="80"/>
      <c r="W33" s="80" t="s">
        <v>949</v>
      </c>
      <c r="Y33" s="78"/>
      <c r="Z33" s="80"/>
      <c r="AA33" s="80"/>
      <c r="AB33" s="80"/>
      <c r="AC33" s="80"/>
      <c r="AD33" s="80"/>
      <c r="AE33" s="80"/>
      <c r="AF33" s="80"/>
      <c r="AG33" s="80"/>
      <c r="AH33" s="80"/>
      <c r="AI33" s="80"/>
      <c r="AJ33" s="80"/>
      <c r="AK33" s="80"/>
      <c r="AL33" s="80"/>
      <c r="AM33" s="80"/>
      <c r="AN33" s="80"/>
      <c r="AO33" s="80"/>
      <c r="AP33" s="80"/>
      <c r="AQ33" s="80"/>
      <c r="AR33" s="80"/>
      <c r="AS33" s="80"/>
      <c r="AT33" s="80"/>
      <c r="AU33" s="80"/>
    </row>
    <row r="34" spans="4:47" ht="15" customHeight="1" x14ac:dyDescent="0.2"/>
    <row r="35" spans="4:47" ht="15" customHeight="1" x14ac:dyDescent="0.2"/>
    <row r="36" spans="4:47" ht="15" customHeight="1" x14ac:dyDescent="0.2"/>
    <row r="37" spans="4:47" ht="15" customHeight="1" x14ac:dyDescent="0.2"/>
  </sheetData>
  <dataValidations count="5">
    <dataValidation type="date" allowBlank="1" showInputMessage="1" showErrorMessage="1" promptTitle="Versionsdatum" prompt="Datum im Format YYYY-MM-DD eintragen." sqref="W38:W1895" xr:uid="{00000000-0002-0000-0600-000000000000}">
      <formula1>DATE(2000,1,1)</formula1>
      <formula2>DATE(2100,12,31)</formula2>
    </dataValidation>
    <dataValidation type="date" operator="greaterThanOrEqual" sqref="V7:V33" xr:uid="{00000000-0002-0000-0600-000004000000}">
      <formula1>DATE(2000,1,1)</formula1>
    </dataValidation>
    <dataValidation type="list" allowBlank="1" sqref="P7:P1954" xr:uid="{00000000-0002-0000-0600-000001000000}">
      <formula1>ISG___Informationssicherheitsgesetz</formula1>
    </dataValidation>
    <dataValidation type="list" allowBlank="1" sqref="Q7:Q1954" xr:uid="{00000000-0002-0000-0600-000002000000}">
      <formula1>FAIR_Prinzipien</formula1>
    </dataValidation>
    <dataValidation type="list" allowBlank="1" sqref="U7:U1954" xr:uid="{00000000-0002-0000-0600-000003000000}">
      <formula1>Status</formula1>
    </dataValidation>
  </dataValidations>
  <pageMargins left="0.70866141732283472" right="0.70866141732283472" top="0.78740157480314965" bottom="0.78740157480314965" header="0.31496062992125984" footer="0.31496062992125984"/>
  <pageSetup paperSize="9" scale="29" orientation="landscape" r:id="rId1"/>
  <headerFooter>
    <oddHeader>&amp;CIFMA Schweiz</oddHeader>
    <oddFooter>&amp;L&amp;"Aptos Narrow,Standard"Data_Template_Flächenmanagement&amp;ROkt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68"/>
  <sheetViews>
    <sheetView showGridLines="0" zoomScale="85" zoomScaleNormal="85" workbookViewId="0">
      <pane ySplit="6" topLeftCell="A7" activePane="bottomLeft" state="frozen"/>
      <selection activeCell="D15" sqref="D15"/>
      <selection pane="bottomLeft" activeCell="E14" sqref="E14"/>
    </sheetView>
  </sheetViews>
  <sheetFormatPr baseColWidth="10" defaultColWidth="11.28515625" defaultRowHeight="29.1" customHeight="1" outlineLevelRow="1" outlineLevelCol="1" x14ac:dyDescent="0.2"/>
  <cols>
    <col min="1" max="1" width="6.7109375" style="86" customWidth="1"/>
    <col min="2" max="2" width="25.7109375" style="87" customWidth="1" outlineLevel="1"/>
    <col min="3" max="3" width="6.7109375" style="82" customWidth="1"/>
    <col min="4" max="4" width="25.7109375" style="82" hidden="1" customWidth="1"/>
    <col min="5" max="9" width="25.7109375" style="88" customWidth="1" outlineLevel="1"/>
    <col min="10" max="11" width="6.7109375" style="88" hidden="1" customWidth="1" outlineLevel="1"/>
    <col min="12" max="12" width="6.7109375" style="82" customWidth="1"/>
    <col min="13" max="15" width="25.7109375" style="87" customWidth="1" outlineLevel="1"/>
    <col min="16" max="16" width="4.7109375" style="89" customWidth="1"/>
    <col min="17" max="17" width="25.7109375" style="89" customWidth="1" outlineLevel="1"/>
    <col min="18" max="18" width="27.140625" style="89" customWidth="1" outlineLevel="1"/>
    <col min="19" max="19" width="4.7109375" style="89" customWidth="1" outlineLevel="1"/>
    <col min="20" max="20" width="5.7109375" style="89" bestFit="1" customWidth="1" outlineLevel="1"/>
    <col min="21" max="40" width="4.7109375" style="89" customWidth="1" outlineLevel="1"/>
    <col min="41" max="41" width="4.7109375" style="88" customWidth="1"/>
    <col min="42" max="44" width="11.28515625" style="88" customWidth="1"/>
    <col min="45" max="16384" width="11.28515625" style="88"/>
  </cols>
  <sheetData>
    <row r="1" spans="1:41" s="60" customFormat="1" ht="200.1" customHeight="1" x14ac:dyDescent="0.25">
      <c r="A1" s="56" t="s">
        <v>256</v>
      </c>
      <c r="B1" s="57" t="s">
        <v>33</v>
      </c>
      <c r="C1" s="58" t="s">
        <v>214</v>
      </c>
      <c r="D1" s="91" t="s">
        <v>117</v>
      </c>
      <c r="E1" s="57" t="s">
        <v>215</v>
      </c>
      <c r="F1" s="57" t="s">
        <v>216</v>
      </c>
      <c r="G1" s="57" t="s">
        <v>124</v>
      </c>
      <c r="H1" s="57" t="s">
        <v>128</v>
      </c>
      <c r="I1" s="57" t="s">
        <v>129</v>
      </c>
      <c r="J1" s="57" t="s">
        <v>130</v>
      </c>
      <c r="K1" s="57" t="s">
        <v>131</v>
      </c>
      <c r="L1" s="59" t="s">
        <v>25</v>
      </c>
      <c r="M1" s="57" t="s">
        <v>1</v>
      </c>
      <c r="N1" s="57" t="s">
        <v>138</v>
      </c>
      <c r="O1" s="57" t="s">
        <v>139</v>
      </c>
      <c r="P1" s="121" t="s">
        <v>140</v>
      </c>
      <c r="Q1" s="57" t="s">
        <v>141</v>
      </c>
      <c r="R1" s="57" t="s">
        <v>257</v>
      </c>
      <c r="T1" s="56" t="s">
        <v>258</v>
      </c>
      <c r="U1" s="57"/>
      <c r="V1" s="57"/>
      <c r="W1" s="57"/>
      <c r="X1" s="57"/>
      <c r="Y1" s="57"/>
      <c r="Z1" s="57"/>
      <c r="AA1" s="57"/>
      <c r="AB1" s="57"/>
      <c r="AC1" s="57"/>
      <c r="AD1" s="57"/>
      <c r="AE1" s="57"/>
      <c r="AF1" s="57"/>
      <c r="AG1" s="57"/>
      <c r="AH1" s="57"/>
      <c r="AI1" s="57"/>
      <c r="AJ1" s="57"/>
      <c r="AK1" s="57"/>
      <c r="AL1" s="57"/>
      <c r="AM1" s="57"/>
      <c r="AN1" s="57"/>
      <c r="AO1" s="57"/>
    </row>
    <row r="2" spans="1:41" s="65" customFormat="1" ht="12.75" customHeight="1" outlineLevel="1" x14ac:dyDescent="0.25">
      <c r="A2" s="61"/>
      <c r="B2" s="62" t="s">
        <v>51</v>
      </c>
      <c r="C2" s="63"/>
      <c r="D2" s="64" t="s">
        <v>260</v>
      </c>
      <c r="E2" s="64" t="s">
        <v>260</v>
      </c>
      <c r="F2" s="64" t="s">
        <v>260</v>
      </c>
      <c r="G2" s="64" t="s">
        <v>261</v>
      </c>
      <c r="H2" s="64" t="s">
        <v>261</v>
      </c>
      <c r="I2" s="64" t="s">
        <v>261</v>
      </c>
      <c r="J2" s="64" t="s">
        <v>259</v>
      </c>
      <c r="K2" s="64" t="s">
        <v>259</v>
      </c>
      <c r="L2" s="63"/>
      <c r="M2" s="64" t="s">
        <v>261</v>
      </c>
      <c r="N2" s="64" t="s">
        <v>261</v>
      </c>
      <c r="O2" s="64" t="s">
        <v>261</v>
      </c>
      <c r="P2" s="63"/>
      <c r="Q2" s="64" t="s">
        <v>259</v>
      </c>
      <c r="R2" s="64" t="s">
        <v>259</v>
      </c>
      <c r="T2" s="66"/>
      <c r="U2" s="66"/>
      <c r="V2" s="66"/>
      <c r="W2" s="66"/>
      <c r="X2" s="66"/>
      <c r="Y2" s="66"/>
      <c r="Z2" s="66"/>
      <c r="AA2" s="66"/>
      <c r="AB2" s="66"/>
      <c r="AC2" s="66"/>
      <c r="AD2" s="66"/>
      <c r="AE2" s="66"/>
      <c r="AF2" s="66"/>
      <c r="AG2" s="66"/>
      <c r="AH2" s="66"/>
      <c r="AI2" s="66"/>
      <c r="AJ2" s="66"/>
      <c r="AK2" s="66"/>
      <c r="AL2" s="66"/>
      <c r="AM2" s="66"/>
      <c r="AN2" s="66"/>
      <c r="AO2" s="66"/>
    </row>
    <row r="3" spans="1:41" s="67" customFormat="1" ht="14.25" customHeight="1" outlineLevel="1" x14ac:dyDescent="0.25">
      <c r="A3" s="61"/>
      <c r="B3" s="62" t="s">
        <v>52</v>
      </c>
      <c r="C3" s="63"/>
      <c r="D3" s="73" t="s">
        <v>264</v>
      </c>
      <c r="E3" s="64" t="s">
        <v>268</v>
      </c>
      <c r="F3" s="64" t="s">
        <v>264</v>
      </c>
      <c r="G3" s="64" t="s">
        <v>268</v>
      </c>
      <c r="H3" s="64" t="s">
        <v>268</v>
      </c>
      <c r="I3" s="64" t="s">
        <v>265</v>
      </c>
      <c r="J3" s="64" t="s">
        <v>266</v>
      </c>
      <c r="K3" s="64" t="s">
        <v>267</v>
      </c>
      <c r="L3" s="63"/>
      <c r="M3" s="64" t="s">
        <v>263</v>
      </c>
      <c r="N3" s="64" t="s">
        <v>263</v>
      </c>
      <c r="O3" s="64" t="s">
        <v>263</v>
      </c>
      <c r="P3" s="63"/>
      <c r="Q3" s="64" t="s">
        <v>268</v>
      </c>
      <c r="R3" s="64" t="s">
        <v>263</v>
      </c>
      <c r="T3" s="68"/>
      <c r="U3" s="68"/>
      <c r="V3" s="68"/>
      <c r="W3" s="68"/>
      <c r="X3" s="68"/>
      <c r="Y3" s="68"/>
      <c r="Z3" s="68"/>
      <c r="AA3" s="68"/>
      <c r="AB3" s="68"/>
      <c r="AC3" s="68"/>
      <c r="AD3" s="68"/>
      <c r="AE3" s="68"/>
      <c r="AF3" s="68"/>
      <c r="AG3" s="68"/>
      <c r="AH3" s="68"/>
      <c r="AI3" s="68"/>
      <c r="AJ3" s="68"/>
      <c r="AK3" s="68"/>
      <c r="AL3" s="68"/>
      <c r="AM3" s="68"/>
      <c r="AN3" s="68"/>
      <c r="AO3" s="68"/>
    </row>
    <row r="4" spans="1:41" s="67" customFormat="1" ht="14.25" customHeight="1" outlineLevel="1" x14ac:dyDescent="0.25">
      <c r="A4" s="61"/>
      <c r="B4" s="62" t="s">
        <v>53</v>
      </c>
      <c r="C4" s="63"/>
      <c r="D4" s="73" t="s">
        <v>269</v>
      </c>
      <c r="E4" s="64" t="s">
        <v>270</v>
      </c>
      <c r="F4" s="64"/>
      <c r="G4" s="64"/>
      <c r="H4" s="64"/>
      <c r="I4" s="64"/>
      <c r="J4" s="64"/>
      <c r="K4" s="64"/>
      <c r="L4" s="63"/>
      <c r="M4" s="64" t="s">
        <v>269</v>
      </c>
      <c r="N4" s="64" t="s">
        <v>269</v>
      </c>
      <c r="O4" s="64" t="s">
        <v>269</v>
      </c>
      <c r="P4" s="63"/>
      <c r="Q4" s="64" t="s">
        <v>269</v>
      </c>
      <c r="R4" s="64" t="s">
        <v>269</v>
      </c>
      <c r="T4" s="68"/>
      <c r="U4" s="68"/>
      <c r="V4" s="68"/>
      <c r="W4" s="68"/>
      <c r="X4" s="68"/>
      <c r="Y4" s="68"/>
      <c r="Z4" s="68"/>
      <c r="AA4" s="68"/>
      <c r="AB4" s="68"/>
      <c r="AC4" s="68"/>
      <c r="AD4" s="68"/>
      <c r="AE4" s="68"/>
      <c r="AF4" s="68"/>
      <c r="AG4" s="68"/>
      <c r="AH4" s="68"/>
      <c r="AI4" s="68"/>
      <c r="AJ4" s="68"/>
      <c r="AK4" s="68"/>
      <c r="AL4" s="68"/>
      <c r="AM4" s="68"/>
      <c r="AN4" s="68"/>
      <c r="AO4" s="68"/>
    </row>
    <row r="5" spans="1:41" s="67" customFormat="1" ht="14.25" customHeight="1" outlineLevel="1" x14ac:dyDescent="0.25">
      <c r="A5" s="61"/>
      <c r="B5" s="62" t="s">
        <v>271</v>
      </c>
      <c r="C5" s="63"/>
      <c r="D5" s="73"/>
      <c r="E5" s="64"/>
      <c r="F5" s="64"/>
      <c r="G5" s="64"/>
      <c r="H5" s="64"/>
      <c r="I5" s="64"/>
      <c r="J5" s="64"/>
      <c r="K5" s="64"/>
      <c r="L5" s="63"/>
      <c r="M5" s="64" t="s">
        <v>276</v>
      </c>
      <c r="N5" s="64"/>
      <c r="O5" s="69"/>
      <c r="P5" s="63"/>
      <c r="Q5" s="64"/>
      <c r="R5" s="64"/>
      <c r="T5" s="68"/>
      <c r="U5" s="68"/>
      <c r="V5" s="68"/>
      <c r="W5" s="68"/>
      <c r="X5" s="68"/>
      <c r="Y5" s="68"/>
      <c r="Z5" s="68"/>
      <c r="AA5" s="68"/>
      <c r="AB5" s="68"/>
      <c r="AC5" s="68"/>
      <c r="AD5" s="68"/>
      <c r="AE5" s="68"/>
      <c r="AF5" s="68"/>
      <c r="AG5" s="68"/>
      <c r="AH5" s="68"/>
      <c r="AI5" s="68"/>
      <c r="AJ5" s="68"/>
      <c r="AK5" s="68"/>
      <c r="AL5" s="68"/>
      <c r="AM5" s="68"/>
      <c r="AN5" s="68"/>
      <c r="AO5" s="68"/>
    </row>
    <row r="6" spans="1:41" s="75" customFormat="1" ht="33.75" customHeight="1" outlineLevel="1" x14ac:dyDescent="0.2">
      <c r="A6" s="70"/>
      <c r="B6" s="71" t="s">
        <v>277</v>
      </c>
      <c r="C6" s="72"/>
      <c r="D6" s="73" t="s">
        <v>279</v>
      </c>
      <c r="E6" s="73" t="s">
        <v>280</v>
      </c>
      <c r="F6" s="73" t="s">
        <v>278</v>
      </c>
      <c r="G6" s="73" t="s">
        <v>345</v>
      </c>
      <c r="H6" s="73" t="s">
        <v>278</v>
      </c>
      <c r="I6" s="73" t="s">
        <v>278</v>
      </c>
      <c r="J6" s="73" t="s">
        <v>278</v>
      </c>
      <c r="K6" s="73" t="s">
        <v>278</v>
      </c>
      <c r="L6" s="74"/>
      <c r="M6" s="73" t="s">
        <v>286</v>
      </c>
      <c r="N6" s="73" t="s">
        <v>287</v>
      </c>
      <c r="O6" s="73" t="s">
        <v>278</v>
      </c>
      <c r="P6" s="72"/>
      <c r="Q6" s="73" t="s">
        <v>288</v>
      </c>
      <c r="R6" s="73" t="s">
        <v>289</v>
      </c>
      <c r="T6" s="76"/>
      <c r="U6" s="76"/>
      <c r="V6" s="76"/>
      <c r="W6" s="76"/>
      <c r="X6" s="76"/>
      <c r="Y6" s="76"/>
      <c r="Z6" s="76"/>
      <c r="AA6" s="76"/>
      <c r="AB6" s="76"/>
      <c r="AC6" s="76"/>
      <c r="AD6" s="76"/>
      <c r="AE6" s="76"/>
      <c r="AF6" s="76"/>
      <c r="AG6" s="76"/>
      <c r="AH6" s="76"/>
      <c r="AI6" s="76"/>
      <c r="AJ6" s="76"/>
      <c r="AK6" s="76"/>
      <c r="AL6" s="76"/>
      <c r="AM6" s="76"/>
      <c r="AN6" s="76"/>
      <c r="AO6" s="76"/>
    </row>
    <row r="7" spans="1:41" s="78" customFormat="1" ht="89.25" x14ac:dyDescent="0.2">
      <c r="A7" s="77"/>
      <c r="C7" s="77"/>
      <c r="D7" s="243"/>
      <c r="E7" s="79"/>
      <c r="F7" s="54"/>
      <c r="G7" s="80" t="s">
        <v>884</v>
      </c>
      <c r="H7" s="80" t="s">
        <v>957</v>
      </c>
      <c r="I7" s="80" t="s">
        <v>958</v>
      </c>
      <c r="J7" s="81"/>
      <c r="K7" s="81"/>
      <c r="L7" s="221"/>
      <c r="M7" s="80" t="s">
        <v>292</v>
      </c>
      <c r="N7" s="80" t="s">
        <v>624</v>
      </c>
      <c r="O7" s="80" t="s">
        <v>625</v>
      </c>
      <c r="P7" s="123"/>
      <c r="Q7" s="80"/>
      <c r="R7" s="80"/>
      <c r="T7" s="83"/>
      <c r="U7" s="80"/>
      <c r="V7" s="80"/>
      <c r="W7" s="80"/>
      <c r="X7" s="80"/>
      <c r="Y7" s="80"/>
      <c r="Z7" s="80"/>
      <c r="AA7" s="80"/>
      <c r="AB7" s="80"/>
      <c r="AC7" s="80"/>
      <c r="AD7" s="80"/>
      <c r="AE7" s="80"/>
      <c r="AF7" s="80"/>
      <c r="AG7" s="80"/>
      <c r="AH7" s="80"/>
      <c r="AI7" s="80"/>
      <c r="AJ7" s="80"/>
      <c r="AK7" s="80"/>
      <c r="AL7" s="80"/>
      <c r="AM7" s="80"/>
      <c r="AN7" s="80"/>
      <c r="AO7" s="80"/>
    </row>
    <row r="8" spans="1:41" ht="13.5" customHeight="1" x14ac:dyDescent="0.2"/>
    <row r="9" spans="1:41" ht="13.5" customHeight="1" x14ac:dyDescent="0.2"/>
    <row r="10" spans="1:41" ht="13.5" customHeight="1" x14ac:dyDescent="0.2"/>
    <row r="11" spans="1:41" ht="13.5" customHeight="1" x14ac:dyDescent="0.2"/>
    <row r="12" spans="1:41" ht="13.5" customHeight="1" x14ac:dyDescent="0.2"/>
    <row r="13" spans="1:41" ht="13.5" customHeight="1" x14ac:dyDescent="0.2"/>
    <row r="14" spans="1:41" ht="13.5" customHeight="1" x14ac:dyDescent="0.2"/>
    <row r="15" spans="1:41" ht="13.5" customHeight="1" x14ac:dyDescent="0.2"/>
    <row r="16" spans="1:41"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sheetData>
  <autoFilter ref="A6:R6" xr:uid="{00000000-0009-0000-0000-000007000000}"/>
  <dataValidations count="3">
    <dataValidation type="date" operator="greaterThanOrEqual" sqref="N7" xr:uid="{00000000-0002-0000-0700-000002000000}">
      <formula1>DATE(2000,1,1)</formula1>
    </dataValidation>
    <dataValidation type="date" allowBlank="1" showInputMessage="1" showErrorMessage="1" promptTitle="Versionsdatum" prompt="Datum im Format YYYY-MM-DD eintragen." sqref="N8:N1711" xr:uid="{00000000-0002-0000-0700-000000000000}">
      <formula1>DATE(2000,1,1)</formula1>
      <formula2>DATE(2100,12,31)</formula2>
    </dataValidation>
    <dataValidation type="list" allowBlank="1" sqref="M7:M1982" xr:uid="{00000000-0002-0000-0700-000001000000}">
      <formula1>Status</formula1>
    </dataValidation>
  </dataValidations>
  <pageMargins left="0.70866141732283472" right="0.70866141732283472" top="0.78740157480314965" bottom="0.78740157480314965" header="0.31496062992125984" footer="0.31496062992125984"/>
  <pageSetup paperSize="9" scale="31" orientation="landscape" r:id="rId1"/>
  <headerFooter>
    <oddHeader>&amp;CIFMA Schweiz</oddHeader>
    <oddFooter>&amp;L&amp;"Aptos Narrow,Standard"Data_Template_Flächenmanagement&amp;ROkt 2026 / Seite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X61"/>
  <sheetViews>
    <sheetView zoomScale="85" zoomScaleNormal="85" workbookViewId="0">
      <selection activeCell="E24" sqref="E24"/>
    </sheetView>
  </sheetViews>
  <sheetFormatPr baseColWidth="10" defaultColWidth="11.42578125" defaultRowHeight="15" x14ac:dyDescent="0.25"/>
  <cols>
    <col min="1" max="1" width="18.140625" style="37" customWidth="1"/>
    <col min="2" max="2" width="40.7109375" style="37" customWidth="1"/>
    <col min="3" max="3" width="1.7109375" style="37" customWidth="1"/>
    <col min="4" max="4" width="21.85546875" style="46" customWidth="1"/>
    <col min="5" max="5" width="1.7109375" style="37" customWidth="1"/>
    <col min="6" max="6" width="6.42578125" style="46" bestFit="1" customWidth="1"/>
    <col min="7" max="8" width="3.7109375" style="37" customWidth="1"/>
    <col min="9" max="10" width="35.7109375" style="37" customWidth="1"/>
    <col min="11" max="11" width="3.7109375" style="37" customWidth="1"/>
    <col min="12" max="12" width="35.7109375" style="37" customWidth="1"/>
    <col min="13" max="29" width="3.7109375" style="37" customWidth="1"/>
    <col min="30" max="30" width="7.5703125" style="37" bestFit="1" customWidth="1"/>
    <col min="31" max="53" width="3.7109375" style="37" customWidth="1"/>
    <col min="54" max="54" width="3.85546875" style="37" customWidth="1"/>
    <col min="55" max="55" width="6.42578125" style="47" bestFit="1" customWidth="1"/>
    <col min="56" max="62" width="2.7109375" style="37" customWidth="1"/>
    <col min="63" max="63" width="6.42578125" bestFit="1" customWidth="1"/>
    <col min="64" max="64" width="6.42578125" style="47" bestFit="1" customWidth="1"/>
    <col min="65" max="76" width="2.7109375" style="37" customWidth="1"/>
    <col min="77" max="79" width="11.42578125" style="37" customWidth="1"/>
    <col min="80" max="16384" width="11.42578125" style="37"/>
  </cols>
  <sheetData>
    <row r="1" spans="1:76" ht="17.649999999999999" customHeight="1" x14ac:dyDescent="0.25">
      <c r="D1" s="43" t="s">
        <v>346</v>
      </c>
      <c r="F1" s="43" t="s">
        <v>293</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C1" s="43" t="s">
        <v>347</v>
      </c>
      <c r="BD1" s="43"/>
      <c r="BE1" s="43"/>
      <c r="BF1" s="43"/>
      <c r="BG1" s="43"/>
      <c r="BH1" s="43"/>
      <c r="BI1" s="43"/>
      <c r="BJ1" s="43"/>
      <c r="BL1" s="43" t="s">
        <v>333</v>
      </c>
      <c r="BM1" s="43"/>
      <c r="BN1" s="43"/>
      <c r="BO1" s="43"/>
      <c r="BP1" s="43"/>
      <c r="BQ1" s="43"/>
      <c r="BR1" s="43"/>
      <c r="BS1" s="43"/>
      <c r="BT1" s="43"/>
      <c r="BU1" s="43"/>
      <c r="BV1" s="43"/>
      <c r="BW1" s="43"/>
      <c r="BX1" s="43"/>
    </row>
    <row r="2" spans="1:76" s="38" customFormat="1" ht="162.75" x14ac:dyDescent="0.2">
      <c r="C2" s="37"/>
      <c r="D2" s="44" t="s">
        <v>982</v>
      </c>
      <c r="F2" s="44" t="s">
        <v>983</v>
      </c>
      <c r="G2" s="45" t="str">
        <f t="array" ref="G2:BA2">TRANSPOSE(Properties!K7:K53)</f>
        <v>Name</v>
      </c>
      <c r="H2" s="45" t="str">
        <v>LongName</v>
      </c>
      <c r="I2" s="45" t="str">
        <v>SIA_416_2003</v>
      </c>
      <c r="J2" s="45" t="str">
        <v>SIA_380_2015</v>
      </c>
      <c r="K2" s="45" t="str">
        <v>SIA_2024_2021</v>
      </c>
      <c r="L2" s="45" t="str">
        <v>SIA_d0165_2000</v>
      </c>
      <c r="M2" s="45" t="str">
        <v>RoomUsage</v>
      </c>
      <c r="N2" s="45" t="str">
        <v>RoomType</v>
      </c>
      <c r="O2" s="45" t="str">
        <v>UnitType</v>
      </c>
      <c r="P2" s="45" t="str">
        <v>UnitID</v>
      </c>
      <c r="Q2" s="45" t="str">
        <v>CAFM_ID</v>
      </c>
      <c r="R2" s="45" t="str">
        <v>RoomSignalLabel</v>
      </c>
      <c r="S2" s="45" t="str">
        <v>CleaningGroup</v>
      </c>
      <c r="T2" s="45" t="str">
        <v>AreaLoad</v>
      </c>
      <c r="U2" s="45" t="str">
        <v>PointLoad</v>
      </c>
      <c r="V2" s="45" t="str">
        <v>EnergyReferenceArea</v>
      </c>
      <c r="W2" s="45" t="str">
        <v>WindowsCleaningArea</v>
      </c>
      <c r="X2" s="45" t="str">
        <v>WindowsOpenable</v>
      </c>
      <c r="Y2" s="45" t="str">
        <v>Occupant</v>
      </c>
      <c r="Z2" s="45" t="str">
        <v>Shading</v>
      </c>
      <c r="AA2" s="45" t="str">
        <v>IsHumidified</v>
      </c>
      <c r="AB2" s="45" t="str">
        <v>IsDehumidified</v>
      </c>
      <c r="AC2" s="45" t="str">
        <v>IsRentable</v>
      </c>
      <c r="AD2" s="45" t="str">
        <v>IsExternal</v>
      </c>
      <c r="AE2" s="45" t="str">
        <v>OccupancyType</v>
      </c>
      <c r="AF2" s="45" t="str">
        <v>MinimumHeadroom</v>
      </c>
      <c r="AG2" s="45" t="str">
        <v>OccupancyNumberPeak</v>
      </c>
      <c r="AH2" s="45" t="str">
        <v>OccupancyNumber</v>
      </c>
      <c r="AI2" s="45" t="str">
        <v>FloorCovering</v>
      </c>
      <c r="AJ2" s="45" t="str">
        <v>WallCovering</v>
      </c>
      <c r="AK2" s="45" t="str">
        <v>CeilingCovering</v>
      </c>
      <c r="AL2" s="45" t="str">
        <v>NaturalVentilation</v>
      </c>
      <c r="AM2" s="45" t="str">
        <v>NaturalVentilationRate</v>
      </c>
      <c r="AN2" s="45" t="str">
        <v>MechanicalVentilation</v>
      </c>
      <c r="AO2" s="45" t="str">
        <v>MechanicalVentilationRate</v>
      </c>
      <c r="AP2" s="45" t="str">
        <v>AirConditioning</v>
      </c>
      <c r="AQ2" s="45" t="str">
        <v>TemperatureSetPoint</v>
      </c>
      <c r="AR2" s="45" t="str">
        <v>HumiditySetPoint</v>
      </c>
      <c r="AS2" s="45" t="str">
        <v>FireExit</v>
      </c>
      <c r="AT2" s="45" t="str">
        <v>GrossFloorArea</v>
      </c>
      <c r="AU2" s="45" t="str">
        <v>GrossVolume</v>
      </c>
      <c r="AV2" s="45" t="str">
        <v>NetFloorArea</v>
      </c>
      <c r="AW2" s="45" t="str">
        <v>NetVolume</v>
      </c>
      <c r="AX2" s="45" t="str">
        <v>NetWallArea</v>
      </c>
      <c r="AY2" s="45" t="str">
        <v>Height</v>
      </c>
      <c r="AZ2" s="45" t="str">
        <v>AboveGround</v>
      </c>
      <c r="BA2" s="45" t="str">
        <v>CostZone</v>
      </c>
      <c r="BC2" s="44" t="s">
        <v>141</v>
      </c>
      <c r="BD2" s="45"/>
      <c r="BE2" s="45"/>
      <c r="BF2" s="45"/>
      <c r="BG2" s="45"/>
      <c r="BH2" s="45"/>
      <c r="BI2" s="45"/>
      <c r="BJ2" s="45"/>
      <c r="BL2" s="44" t="s">
        <v>257</v>
      </c>
      <c r="BM2" s="45"/>
      <c r="BN2" s="45"/>
      <c r="BO2" s="45"/>
      <c r="BP2" s="45"/>
      <c r="BQ2" s="45"/>
      <c r="BR2" s="45"/>
      <c r="BS2" s="45"/>
      <c r="BT2" s="45"/>
      <c r="BU2" s="45"/>
      <c r="BV2" s="45"/>
      <c r="BW2" s="45"/>
      <c r="BX2" s="45"/>
    </row>
    <row r="3" spans="1:76" s="38" customFormat="1" ht="88.5" x14ac:dyDescent="0.2">
      <c r="C3" s="37"/>
      <c r="D3" s="44"/>
      <c r="F3" s="44" t="s">
        <v>165</v>
      </c>
      <c r="G3" s="45" t="str">
        <f t="array" ref="G3:BA3">TRANSPOSE(Properties!F7:F53)</f>
        <v>IFMA_P_31020002</v>
      </c>
      <c r="H3" s="45" t="str">
        <v>IFMA_P_31020003</v>
      </c>
      <c r="I3" s="45" t="str">
        <v>IFMA_P_31020004</v>
      </c>
      <c r="J3" s="45" t="str">
        <v>IFMA_P_31020007</v>
      </c>
      <c r="K3" s="45" t="str">
        <v>IFMA_P_31020008</v>
      </c>
      <c r="L3" s="45" t="str">
        <v>IFMA_P_31020010</v>
      </c>
      <c r="M3" s="45" t="str">
        <v>IFMA_P_31020012</v>
      </c>
      <c r="N3" s="45" t="str">
        <v>IFMA_P_31020013</v>
      </c>
      <c r="O3" s="45" t="str">
        <v>IFMA_P_31020014</v>
      </c>
      <c r="P3" s="45" t="str">
        <v>IFMA_P_31020015</v>
      </c>
      <c r="Q3" s="45" t="str">
        <v>IFMA_P_31020016</v>
      </c>
      <c r="R3" s="45" t="str">
        <v>IFMA_P_31020017</v>
      </c>
      <c r="S3" s="45" t="str">
        <v>IFMA_P_31020018</v>
      </c>
      <c r="T3" s="45" t="str">
        <v>IFMA_P_31020019</v>
      </c>
      <c r="U3" s="45" t="str">
        <v>IFMA_P_31020020</v>
      </c>
      <c r="V3" s="45" t="str">
        <v>IFMA_P_31020021</v>
      </c>
      <c r="W3" s="45" t="str">
        <v>IFMA_P_31020022</v>
      </c>
      <c r="X3" s="45" t="str">
        <v>IFMA_P_31020023</v>
      </c>
      <c r="Y3" s="45" t="str">
        <v>IFMA_P_31020024</v>
      </c>
      <c r="Z3" s="45" t="str">
        <v>IFMA_P_31020025</v>
      </c>
      <c r="AA3" s="45" t="str">
        <v>IFMA_P_31020026</v>
      </c>
      <c r="AB3" s="45" t="str">
        <v>IFMA_P_31020027</v>
      </c>
      <c r="AC3" s="45" t="str">
        <v>IFMA_P_31020028</v>
      </c>
      <c r="AD3" s="45" t="str">
        <v>IFMA_P_31020029</v>
      </c>
      <c r="AE3" s="45" t="str">
        <v>IFMA_P_31020030</v>
      </c>
      <c r="AF3" s="45" t="str">
        <v>IFMA_P_31020031</v>
      </c>
      <c r="AG3" s="45" t="str">
        <v>IFMA_P_31020032</v>
      </c>
      <c r="AH3" s="45" t="str">
        <v>IFMA_P_31020033</v>
      </c>
      <c r="AI3" s="45" t="str">
        <v>IFMA_P_31020034</v>
      </c>
      <c r="AJ3" s="45" t="str">
        <v>IFMA_P_31020035</v>
      </c>
      <c r="AK3" s="45" t="str">
        <v>IFMA_P_31020036</v>
      </c>
      <c r="AL3" s="45" t="str">
        <v>IFMA_P_31020037</v>
      </c>
      <c r="AM3" s="45" t="str">
        <v>IFMA_P_31020038</v>
      </c>
      <c r="AN3" s="45" t="str">
        <v>IFMA_P_31020039</v>
      </c>
      <c r="AO3" s="45" t="str">
        <v>IFMA_P_31020040</v>
      </c>
      <c r="AP3" s="45" t="str">
        <v>IFMA_P_31020041</v>
      </c>
      <c r="AQ3" s="45" t="str">
        <v>IFMA_P_31020042</v>
      </c>
      <c r="AR3" s="45" t="str">
        <v>IFMA_P_31020043</v>
      </c>
      <c r="AS3" s="45" t="str">
        <v>IFMA_P_31020044</v>
      </c>
      <c r="AT3" s="45" t="str">
        <v>IFMA_P_31020045</v>
      </c>
      <c r="AU3" s="45" t="str">
        <v>IFMA_P_31020046</v>
      </c>
      <c r="AV3" s="45" t="str">
        <v>IFMA_P_31020047</v>
      </c>
      <c r="AW3" s="45" t="str">
        <v>IFMA_P_31020048</v>
      </c>
      <c r="AX3" s="45" t="str">
        <v>IFMA_P_31020049</v>
      </c>
      <c r="AY3" s="45" t="str">
        <v>IFMA_P_31020050</v>
      </c>
      <c r="AZ3" s="45" t="str">
        <v>IFMA_P_31020051</v>
      </c>
      <c r="BA3" s="45" t="str">
        <v>IFMA_P_31020052</v>
      </c>
      <c r="BC3" s="244"/>
      <c r="BD3" s="245"/>
      <c r="BE3" s="245"/>
      <c r="BF3" s="245"/>
      <c r="BG3" s="245"/>
      <c r="BH3" s="245"/>
      <c r="BI3" s="245"/>
      <c r="BJ3" s="245"/>
      <c r="BL3" s="244"/>
      <c r="BM3" s="245"/>
      <c r="BN3" s="245"/>
      <c r="BO3" s="245"/>
      <c r="BP3" s="245"/>
      <c r="BQ3" s="245"/>
      <c r="BR3" s="245"/>
      <c r="BS3" s="245"/>
      <c r="BT3" s="245"/>
      <c r="BU3" s="245"/>
      <c r="BV3" s="245"/>
      <c r="BW3" s="245"/>
      <c r="BX3" s="245"/>
    </row>
    <row r="4" spans="1:76" ht="18" customHeight="1" x14ac:dyDescent="0.25">
      <c r="A4" s="39" t="s">
        <v>116</v>
      </c>
      <c r="B4" s="39"/>
      <c r="D4" s="37"/>
      <c r="F4" s="37"/>
      <c r="BC4" s="37"/>
      <c r="BL4" s="37"/>
    </row>
    <row r="5" spans="1:76" s="50" customFormat="1" ht="25.5" customHeight="1" x14ac:dyDescent="0.2">
      <c r="A5" s="40" t="s">
        <v>969</v>
      </c>
      <c r="B5" s="40" t="s">
        <v>348</v>
      </c>
      <c r="C5" s="37"/>
      <c r="D5" s="48"/>
      <c r="E5" s="41"/>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C5" s="51"/>
      <c r="BL5" s="51"/>
    </row>
    <row r="6" spans="1:76" s="52" customFormat="1" ht="18" x14ac:dyDescent="0.2">
      <c r="A6" s="42" t="str">
        <f>Classes!J7</f>
        <v>IFMA_C_31010000</v>
      </c>
      <c r="B6" s="42" t="str">
        <f>Classes!P7</f>
        <v>Geschoss</v>
      </c>
      <c r="C6" s="37"/>
      <c r="D6" s="42" t="s">
        <v>884</v>
      </c>
      <c r="E6" s="41"/>
      <c r="F6" s="51"/>
      <c r="G6" s="42" t="s">
        <v>349</v>
      </c>
      <c r="H6" s="42" t="s">
        <v>349</v>
      </c>
      <c r="I6" s="42"/>
      <c r="J6" s="42"/>
      <c r="K6" s="42"/>
      <c r="L6" s="42"/>
      <c r="M6" s="42"/>
      <c r="N6" s="42"/>
      <c r="O6" s="42"/>
      <c r="P6" s="42"/>
      <c r="Q6" s="42" t="s">
        <v>349</v>
      </c>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50"/>
      <c r="BC6" s="42"/>
      <c r="BD6" s="42"/>
      <c r="BE6" s="42"/>
      <c r="BF6" s="42"/>
      <c r="BG6" s="42"/>
      <c r="BH6" s="42"/>
      <c r="BI6" s="42"/>
      <c r="BJ6" s="42"/>
      <c r="BL6" s="42"/>
      <c r="BM6" s="42"/>
      <c r="BN6" s="42"/>
      <c r="BO6" s="42"/>
      <c r="BP6" s="42"/>
      <c r="BQ6" s="42"/>
      <c r="BR6" s="42"/>
      <c r="BS6" s="42"/>
      <c r="BT6" s="42"/>
      <c r="BU6" s="42"/>
      <c r="BV6" s="42"/>
      <c r="BW6" s="42"/>
      <c r="BX6" s="42"/>
    </row>
    <row r="7" spans="1:76" s="51" customFormat="1" ht="14.25" x14ac:dyDescent="0.2">
      <c r="A7" s="42" t="str">
        <f>Classes!J8</f>
        <v>IFMA_C_31010001</v>
      </c>
      <c r="B7" s="42" t="str">
        <f>Classes!P8</f>
        <v>Grundstückfläche</v>
      </c>
      <c r="C7" s="37"/>
      <c r="D7" s="42" t="s">
        <v>884</v>
      </c>
      <c r="E7" s="41"/>
      <c r="G7" s="42"/>
      <c r="H7" s="42"/>
      <c r="I7" s="42" t="s">
        <v>959</v>
      </c>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t="s">
        <v>349</v>
      </c>
      <c r="AU7" s="42"/>
      <c r="AV7" s="42"/>
      <c r="AW7" s="42"/>
      <c r="AX7" s="42"/>
      <c r="AY7" s="42"/>
      <c r="AZ7" s="42"/>
      <c r="BA7" s="42"/>
      <c r="BB7" s="50"/>
      <c r="BC7" s="42"/>
      <c r="BD7" s="42"/>
      <c r="BE7" s="42"/>
      <c r="BF7" s="42"/>
      <c r="BG7" s="42"/>
      <c r="BH7" s="42"/>
      <c r="BI7" s="42"/>
      <c r="BJ7" s="42"/>
      <c r="BL7" s="42"/>
      <c r="BM7" s="42"/>
      <c r="BN7" s="42"/>
      <c r="BO7" s="42"/>
      <c r="BP7" s="42"/>
      <c r="BQ7" s="42"/>
      <c r="BR7" s="42"/>
      <c r="BS7" s="42"/>
      <c r="BT7" s="42"/>
      <c r="BU7" s="42"/>
      <c r="BV7" s="42"/>
      <c r="BW7" s="42"/>
      <c r="BX7" s="42"/>
    </row>
    <row r="8" spans="1:76" s="51" customFormat="1" ht="51" x14ac:dyDescent="0.2">
      <c r="A8" s="42" t="str">
        <f>Classes!J9</f>
        <v>IFMA_C_31010002</v>
      </c>
      <c r="B8" s="42" t="str">
        <f>Classes!P9</f>
        <v>Umgebungsfläche</v>
      </c>
      <c r="C8" s="37"/>
      <c r="D8" s="42" t="s">
        <v>884</v>
      </c>
      <c r="E8" s="41"/>
      <c r="G8" s="42" t="s">
        <v>349</v>
      </c>
      <c r="H8" s="42" t="s">
        <v>349</v>
      </c>
      <c r="I8" s="42" t="s">
        <v>960</v>
      </c>
      <c r="J8" s="42" t="s">
        <v>961</v>
      </c>
      <c r="K8" s="42"/>
      <c r="L8" s="42" t="s">
        <v>962</v>
      </c>
      <c r="M8" s="42" t="s">
        <v>349</v>
      </c>
      <c r="N8" s="42" t="s">
        <v>349</v>
      </c>
      <c r="O8" s="42"/>
      <c r="P8" s="42" t="s">
        <v>349</v>
      </c>
      <c r="Q8" s="42"/>
      <c r="R8" s="42"/>
      <c r="S8" s="42"/>
      <c r="T8" s="42"/>
      <c r="U8" s="42"/>
      <c r="V8" s="42"/>
      <c r="W8" s="42"/>
      <c r="X8" s="42"/>
      <c r="Y8" s="42" t="s">
        <v>349</v>
      </c>
      <c r="Z8" s="42"/>
      <c r="AA8" s="42"/>
      <c r="AB8" s="42"/>
      <c r="AC8" s="42"/>
      <c r="AD8" s="42" t="s">
        <v>963</v>
      </c>
      <c r="AE8" s="42" t="s">
        <v>349</v>
      </c>
      <c r="AF8" s="42"/>
      <c r="AG8" s="42"/>
      <c r="AH8" s="42"/>
      <c r="AI8" s="42" t="s">
        <v>349</v>
      </c>
      <c r="AJ8" s="42"/>
      <c r="AK8" s="42"/>
      <c r="AL8" s="42"/>
      <c r="AM8" s="42"/>
      <c r="AN8" s="42"/>
      <c r="AO8" s="42"/>
      <c r="AP8" s="42"/>
      <c r="AQ8" s="42"/>
      <c r="AR8" s="42"/>
      <c r="AS8" s="42"/>
      <c r="AT8" s="42" t="s">
        <v>349</v>
      </c>
      <c r="AU8" s="42"/>
      <c r="AV8" s="42"/>
      <c r="AW8" s="42"/>
      <c r="AX8" s="42"/>
      <c r="AY8" s="42"/>
      <c r="AZ8" s="42"/>
      <c r="BA8" s="42" t="s">
        <v>349</v>
      </c>
      <c r="BB8" s="50"/>
      <c r="BC8" s="42"/>
      <c r="BD8" s="42"/>
      <c r="BE8" s="42"/>
      <c r="BF8" s="42"/>
      <c r="BG8" s="42"/>
      <c r="BH8" s="42"/>
      <c r="BI8" s="42"/>
      <c r="BJ8" s="42"/>
      <c r="BL8" s="42"/>
      <c r="BM8" s="42"/>
      <c r="BN8" s="42"/>
      <c r="BO8" s="42"/>
      <c r="BP8" s="42"/>
      <c r="BQ8" s="42"/>
      <c r="BR8" s="42"/>
      <c r="BS8" s="42"/>
      <c r="BT8" s="42"/>
      <c r="BU8" s="42"/>
      <c r="BV8" s="42"/>
      <c r="BW8" s="42"/>
      <c r="BX8" s="42"/>
    </row>
    <row r="9" spans="1:76" s="51" customFormat="1" ht="51" x14ac:dyDescent="0.2">
      <c r="A9" s="42" t="str">
        <f>Classes!J10</f>
        <v>IFMA_C_31010003</v>
      </c>
      <c r="B9" s="42" t="str">
        <f>Classes!P10</f>
        <v>Geschossvolumen</v>
      </c>
      <c r="C9" s="37"/>
      <c r="D9" s="42" t="s">
        <v>884</v>
      </c>
      <c r="E9" s="41"/>
      <c r="G9" s="42"/>
      <c r="H9" s="42"/>
      <c r="I9" s="42" t="s">
        <v>964</v>
      </c>
      <c r="J9" s="42"/>
      <c r="K9" s="42"/>
      <c r="L9" s="42"/>
      <c r="M9" s="42" t="s">
        <v>349</v>
      </c>
      <c r="N9" s="42"/>
      <c r="O9" s="42"/>
      <c r="P9" s="42"/>
      <c r="Q9" s="42"/>
      <c r="R9" s="42"/>
      <c r="S9" s="42"/>
      <c r="T9" s="42"/>
      <c r="U9" s="42"/>
      <c r="V9" s="42"/>
      <c r="W9" s="42"/>
      <c r="X9" s="42"/>
      <c r="Y9" s="42" t="s">
        <v>349</v>
      </c>
      <c r="Z9" s="42"/>
      <c r="AA9" s="42"/>
      <c r="AB9" s="42"/>
      <c r="AC9" s="42"/>
      <c r="AD9" s="42" t="s">
        <v>349</v>
      </c>
      <c r="AE9" s="42"/>
      <c r="AF9" s="42"/>
      <c r="AG9" s="42"/>
      <c r="AH9" s="42"/>
      <c r="AI9" s="42"/>
      <c r="AJ9" s="42"/>
      <c r="AK9" s="42"/>
      <c r="AL9" s="42"/>
      <c r="AM9" s="42"/>
      <c r="AN9" s="42"/>
      <c r="AO9" s="42"/>
      <c r="AP9" s="42"/>
      <c r="AQ9" s="42"/>
      <c r="AR9" s="42"/>
      <c r="AS9" s="42"/>
      <c r="AT9" s="42" t="s">
        <v>349</v>
      </c>
      <c r="AU9" s="42" t="s">
        <v>349</v>
      </c>
      <c r="AV9" s="42"/>
      <c r="AW9" s="42"/>
      <c r="AX9" s="42"/>
      <c r="AY9" s="42" t="s">
        <v>349</v>
      </c>
      <c r="AZ9" s="42" t="s">
        <v>349</v>
      </c>
      <c r="BA9" s="42" t="s">
        <v>349</v>
      </c>
      <c r="BB9" s="50"/>
      <c r="BC9" s="42"/>
      <c r="BD9" s="42"/>
      <c r="BE9" s="42"/>
      <c r="BF9" s="42"/>
      <c r="BG9" s="42"/>
      <c r="BH9" s="42"/>
      <c r="BI9" s="42"/>
      <c r="BJ9" s="42"/>
      <c r="BL9" s="42"/>
      <c r="BM9" s="42"/>
      <c r="BN9" s="42"/>
      <c r="BO9" s="42"/>
      <c r="BP9" s="42"/>
      <c r="BQ9" s="42"/>
      <c r="BR9" s="42"/>
      <c r="BS9" s="42"/>
      <c r="BT9" s="42"/>
      <c r="BU9" s="42"/>
      <c r="BV9" s="42"/>
      <c r="BW9" s="42"/>
      <c r="BX9" s="42"/>
    </row>
    <row r="10" spans="1:76" s="51" customFormat="1" ht="89.25" x14ac:dyDescent="0.2">
      <c r="A10" s="42" t="str">
        <f>Classes!J11</f>
        <v>IFMA_C_31010004</v>
      </c>
      <c r="B10" s="42" t="str">
        <f>Classes!P11</f>
        <v>Innenraum</v>
      </c>
      <c r="C10" s="37"/>
      <c r="D10" s="42" t="s">
        <v>884</v>
      </c>
      <c r="E10" s="41"/>
      <c r="G10" s="42" t="s">
        <v>349</v>
      </c>
      <c r="H10" s="42" t="s">
        <v>349</v>
      </c>
      <c r="I10" s="42" t="s">
        <v>965</v>
      </c>
      <c r="J10" s="42" t="s">
        <v>966</v>
      </c>
      <c r="K10" s="42" t="s">
        <v>349</v>
      </c>
      <c r="L10" s="42" t="s">
        <v>349</v>
      </c>
      <c r="M10" s="42" t="s">
        <v>349</v>
      </c>
      <c r="N10" s="42" t="s">
        <v>349</v>
      </c>
      <c r="O10" s="42"/>
      <c r="P10" s="42" t="s">
        <v>349</v>
      </c>
      <c r="Q10" s="42" t="s">
        <v>349</v>
      </c>
      <c r="R10" s="42" t="s">
        <v>349</v>
      </c>
      <c r="S10" s="42" t="s">
        <v>349</v>
      </c>
      <c r="T10" s="42" t="s">
        <v>349</v>
      </c>
      <c r="U10" s="42" t="s">
        <v>349</v>
      </c>
      <c r="V10" s="42" t="s">
        <v>349</v>
      </c>
      <c r="W10" s="42" t="s">
        <v>349</v>
      </c>
      <c r="X10" s="42" t="s">
        <v>349</v>
      </c>
      <c r="Y10" s="42" t="s">
        <v>349</v>
      </c>
      <c r="Z10" s="42" t="s">
        <v>349</v>
      </c>
      <c r="AA10" s="42" t="s">
        <v>349</v>
      </c>
      <c r="AB10" s="42" t="s">
        <v>349</v>
      </c>
      <c r="AC10" s="42" t="s">
        <v>349</v>
      </c>
      <c r="AD10" s="42" t="s">
        <v>967</v>
      </c>
      <c r="AE10" s="42" t="s">
        <v>349</v>
      </c>
      <c r="AF10" s="42" t="s">
        <v>349</v>
      </c>
      <c r="AG10" s="42" t="s">
        <v>349</v>
      </c>
      <c r="AH10" s="42" t="s">
        <v>349</v>
      </c>
      <c r="AI10" s="42" t="s">
        <v>349</v>
      </c>
      <c r="AJ10" s="42" t="s">
        <v>349</v>
      </c>
      <c r="AK10" s="42" t="s">
        <v>349</v>
      </c>
      <c r="AL10" s="42" t="s">
        <v>349</v>
      </c>
      <c r="AM10" s="42" t="s">
        <v>349</v>
      </c>
      <c r="AN10" s="42" t="s">
        <v>349</v>
      </c>
      <c r="AO10" s="42" t="s">
        <v>349</v>
      </c>
      <c r="AP10" s="42" t="s">
        <v>349</v>
      </c>
      <c r="AQ10" s="42" t="s">
        <v>349</v>
      </c>
      <c r="AR10" s="42" t="s">
        <v>349</v>
      </c>
      <c r="AS10" s="42" t="s">
        <v>349</v>
      </c>
      <c r="AT10" s="42"/>
      <c r="AU10" s="42"/>
      <c r="AV10" s="42" t="s">
        <v>349</v>
      </c>
      <c r="AW10" s="42" t="s">
        <v>349</v>
      </c>
      <c r="AX10" s="42" t="s">
        <v>349</v>
      </c>
      <c r="AY10" s="42" t="s">
        <v>349</v>
      </c>
      <c r="AZ10" s="42" t="s">
        <v>349</v>
      </c>
      <c r="BA10" s="42" t="s">
        <v>349</v>
      </c>
      <c r="BB10" s="50"/>
      <c r="BC10" s="42"/>
      <c r="BD10" s="42"/>
      <c r="BE10" s="42"/>
      <c r="BF10" s="42"/>
      <c r="BG10" s="42"/>
      <c r="BH10" s="42"/>
      <c r="BI10" s="42"/>
      <c r="BJ10" s="42"/>
      <c r="BL10" s="42"/>
      <c r="BM10" s="42"/>
      <c r="BN10" s="42"/>
      <c r="BO10" s="42"/>
      <c r="BP10" s="42"/>
      <c r="BQ10" s="42"/>
      <c r="BR10" s="42"/>
      <c r="BS10" s="42"/>
      <c r="BT10" s="42"/>
      <c r="BU10" s="42"/>
      <c r="BV10" s="42"/>
      <c r="BW10" s="42"/>
      <c r="BX10" s="42"/>
    </row>
    <row r="11" spans="1:76" s="51" customFormat="1" ht="63.75" x14ac:dyDescent="0.2">
      <c r="A11" s="42" t="str">
        <f>Classes!J12</f>
        <v>IFMA_C_31010005</v>
      </c>
      <c r="B11" s="42" t="str">
        <f>Classes!P12</f>
        <v>Aussenraum</v>
      </c>
      <c r="C11" s="37"/>
      <c r="D11" s="42" t="s">
        <v>884</v>
      </c>
      <c r="E11" s="41"/>
      <c r="G11" s="42" t="s">
        <v>349</v>
      </c>
      <c r="H11" s="42" t="s">
        <v>349</v>
      </c>
      <c r="I11" s="42" t="s">
        <v>968</v>
      </c>
      <c r="J11" s="42"/>
      <c r="K11" s="42"/>
      <c r="L11" s="42"/>
      <c r="M11" s="42" t="s">
        <v>349</v>
      </c>
      <c r="N11" s="42" t="s">
        <v>349</v>
      </c>
      <c r="O11" s="42"/>
      <c r="P11" s="42" t="s">
        <v>349</v>
      </c>
      <c r="Q11" s="42" t="s">
        <v>349</v>
      </c>
      <c r="R11" s="42"/>
      <c r="S11" s="42"/>
      <c r="T11" s="42"/>
      <c r="U11" s="42"/>
      <c r="V11" s="42"/>
      <c r="W11" s="42"/>
      <c r="X11" s="42"/>
      <c r="Y11" s="42" t="s">
        <v>349</v>
      </c>
      <c r="Z11" s="42"/>
      <c r="AA11" s="42"/>
      <c r="AB11" s="42"/>
      <c r="AC11" s="42" t="s">
        <v>349</v>
      </c>
      <c r="AD11" s="42" t="s">
        <v>963</v>
      </c>
      <c r="AE11" s="42" t="s">
        <v>349</v>
      </c>
      <c r="AF11" s="42"/>
      <c r="AG11" s="42" t="s">
        <v>349</v>
      </c>
      <c r="AH11" s="42" t="s">
        <v>349</v>
      </c>
      <c r="AI11" s="42" t="s">
        <v>349</v>
      </c>
      <c r="AJ11" s="42"/>
      <c r="AK11" s="42"/>
      <c r="AL11" s="42"/>
      <c r="AM11" s="42"/>
      <c r="AN11" s="42"/>
      <c r="AO11" s="42"/>
      <c r="AP11" s="42"/>
      <c r="AQ11" s="42"/>
      <c r="AR11" s="42"/>
      <c r="AS11" s="42"/>
      <c r="AT11" s="42"/>
      <c r="AU11" s="42"/>
      <c r="AV11" s="42" t="s">
        <v>349</v>
      </c>
      <c r="AW11" s="42"/>
      <c r="AX11" s="42"/>
      <c r="AY11" s="42"/>
      <c r="AZ11" s="42"/>
      <c r="BA11" s="42" t="s">
        <v>349</v>
      </c>
      <c r="BB11" s="50"/>
      <c r="BC11" s="42"/>
      <c r="BD11" s="42"/>
      <c r="BE11" s="42"/>
      <c r="BF11" s="42"/>
      <c r="BG11" s="42"/>
      <c r="BH11" s="42"/>
      <c r="BI11" s="42"/>
      <c r="BJ11" s="42"/>
      <c r="BL11" s="42"/>
      <c r="BM11" s="42"/>
      <c r="BN11" s="42"/>
      <c r="BO11" s="42"/>
      <c r="BP11" s="42"/>
      <c r="BQ11" s="42"/>
      <c r="BR11" s="42"/>
      <c r="BS11" s="42"/>
      <c r="BT11" s="42"/>
      <c r="BU11" s="42"/>
      <c r="BV11" s="42"/>
      <c r="BW11" s="42"/>
      <c r="BX11" s="42"/>
    </row>
    <row r="12" spans="1:76" s="51" customFormat="1" ht="14.25" x14ac:dyDescent="0.2">
      <c r="A12" s="42" t="str">
        <f>Classes!J13</f>
        <v>IFMA_C_31010006</v>
      </c>
      <c r="B12" s="42" t="str">
        <f>Classes!P13</f>
        <v>Einzelparkplatz</v>
      </c>
      <c r="C12" s="37"/>
      <c r="D12" s="42" t="s">
        <v>884</v>
      </c>
      <c r="E12" s="41"/>
      <c r="G12" s="42" t="s">
        <v>349</v>
      </c>
      <c r="H12" s="42" t="s">
        <v>349</v>
      </c>
      <c r="I12" s="42"/>
      <c r="J12" s="42"/>
      <c r="K12" s="42"/>
      <c r="L12" s="42"/>
      <c r="M12" s="42" t="s">
        <v>349</v>
      </c>
      <c r="N12" s="42" t="s">
        <v>349</v>
      </c>
      <c r="O12" s="42"/>
      <c r="P12" s="42" t="s">
        <v>349</v>
      </c>
      <c r="Q12" s="42" t="s">
        <v>349</v>
      </c>
      <c r="R12" s="42"/>
      <c r="S12" s="42"/>
      <c r="T12" s="42"/>
      <c r="U12" s="42"/>
      <c r="V12" s="42"/>
      <c r="W12" s="42"/>
      <c r="X12" s="42"/>
      <c r="Y12" s="42" t="s">
        <v>349</v>
      </c>
      <c r="Z12" s="42"/>
      <c r="AA12" s="42"/>
      <c r="AB12" s="42"/>
      <c r="AC12" s="42" t="s">
        <v>349</v>
      </c>
      <c r="AD12" s="42" t="s">
        <v>349</v>
      </c>
      <c r="AE12" s="42" t="s">
        <v>349</v>
      </c>
      <c r="AF12" s="42"/>
      <c r="AG12" s="42"/>
      <c r="AH12" s="42"/>
      <c r="AI12" s="42"/>
      <c r="AJ12" s="42"/>
      <c r="AK12" s="42"/>
      <c r="AL12" s="42"/>
      <c r="AM12" s="42"/>
      <c r="AN12" s="42"/>
      <c r="AO12" s="42"/>
      <c r="AP12" s="42"/>
      <c r="AQ12" s="42"/>
      <c r="AR12" s="42"/>
      <c r="AS12" s="42"/>
      <c r="AT12" s="42" t="s">
        <v>349</v>
      </c>
      <c r="AU12" s="42"/>
      <c r="AV12" s="42"/>
      <c r="AW12" s="42"/>
      <c r="AX12" s="42"/>
      <c r="AY12" s="42" t="s">
        <v>349</v>
      </c>
      <c r="AZ12" s="42"/>
      <c r="BA12" s="42" t="s">
        <v>349</v>
      </c>
      <c r="BB12" s="50"/>
      <c r="BC12" s="42"/>
      <c r="BD12" s="42"/>
      <c r="BE12" s="42"/>
      <c r="BF12" s="42"/>
      <c r="BG12" s="42"/>
      <c r="BH12" s="42"/>
      <c r="BI12" s="42"/>
      <c r="BJ12" s="42"/>
      <c r="BL12" s="42"/>
      <c r="BM12" s="42"/>
      <c r="BN12" s="42"/>
      <c r="BO12" s="42"/>
      <c r="BP12" s="42"/>
      <c r="BQ12" s="42"/>
      <c r="BR12" s="42"/>
      <c r="BS12" s="42"/>
      <c r="BT12" s="42"/>
      <c r="BU12" s="42"/>
      <c r="BV12" s="42"/>
      <c r="BW12" s="42"/>
      <c r="BX12" s="42"/>
    </row>
    <row r="13" spans="1:76" s="51" customFormat="1" ht="14.25" x14ac:dyDescent="0.2">
      <c r="A13" s="42" t="str">
        <f>Classes!J14</f>
        <v>IFMA_C_31010007</v>
      </c>
      <c r="B13" s="42" t="str">
        <f>Classes!P14</f>
        <v>Vermietbare Fläche</v>
      </c>
      <c r="C13" s="37"/>
      <c r="D13" s="42" t="s">
        <v>884</v>
      </c>
      <c r="E13" s="41"/>
      <c r="G13" s="42" t="s">
        <v>349</v>
      </c>
      <c r="H13" s="42" t="s">
        <v>349</v>
      </c>
      <c r="I13" s="42"/>
      <c r="J13" s="42"/>
      <c r="K13" s="42"/>
      <c r="L13" s="42"/>
      <c r="M13" s="42" t="s">
        <v>349</v>
      </c>
      <c r="N13" s="42"/>
      <c r="O13" s="42" t="s">
        <v>349</v>
      </c>
      <c r="P13" s="42" t="s">
        <v>349</v>
      </c>
      <c r="Q13" s="42"/>
      <c r="R13" s="42"/>
      <c r="S13" s="42"/>
      <c r="T13" s="42"/>
      <c r="U13" s="42"/>
      <c r="V13" s="42"/>
      <c r="W13" s="42"/>
      <c r="X13" s="42"/>
      <c r="Y13" s="42" t="s">
        <v>349</v>
      </c>
      <c r="Z13" s="42"/>
      <c r="AA13" s="42"/>
      <c r="AB13" s="42"/>
      <c r="AC13" s="42" t="s">
        <v>349</v>
      </c>
      <c r="AD13" s="42"/>
      <c r="AE13" s="42"/>
      <c r="AF13" s="42"/>
      <c r="AG13" s="42" t="s">
        <v>349</v>
      </c>
      <c r="AH13" s="42" t="s">
        <v>349</v>
      </c>
      <c r="AI13" s="42"/>
      <c r="AJ13" s="42"/>
      <c r="AK13" s="42"/>
      <c r="AL13" s="42"/>
      <c r="AM13" s="42"/>
      <c r="AN13" s="42"/>
      <c r="AO13" s="42"/>
      <c r="AP13" s="42"/>
      <c r="AQ13" s="42"/>
      <c r="AR13" s="42"/>
      <c r="AS13" s="42"/>
      <c r="AT13" s="42" t="s">
        <v>349</v>
      </c>
      <c r="AU13" s="42"/>
      <c r="AV13" s="42" t="s">
        <v>349</v>
      </c>
      <c r="AW13" s="42"/>
      <c r="AX13" s="42"/>
      <c r="AY13" s="42"/>
      <c r="AZ13" s="42"/>
      <c r="BA13" s="42" t="s">
        <v>349</v>
      </c>
      <c r="BB13" s="50"/>
      <c r="BC13" s="42"/>
      <c r="BD13" s="42"/>
      <c r="BE13" s="42"/>
      <c r="BF13" s="42"/>
      <c r="BG13" s="42"/>
      <c r="BH13" s="42"/>
      <c r="BI13" s="42"/>
      <c r="BJ13" s="42"/>
      <c r="BL13" s="42"/>
      <c r="BM13" s="42"/>
      <c r="BN13" s="42"/>
      <c r="BO13" s="42"/>
      <c r="BP13" s="42"/>
      <c r="BQ13" s="42"/>
      <c r="BR13" s="42"/>
      <c r="BS13" s="42"/>
      <c r="BT13" s="42"/>
      <c r="BU13" s="42"/>
      <c r="BV13" s="42"/>
      <c r="BW13" s="42"/>
      <c r="BX13" s="42"/>
    </row>
    <row r="14" spans="1:76" s="51" customFormat="1" ht="14.25" x14ac:dyDescent="0.2">
      <c r="A14" s="42" t="str">
        <f>Classes!J15</f>
        <v>IFMA_C_31010008</v>
      </c>
      <c r="B14" s="42" t="str">
        <f>Classes!P15</f>
        <v>Nutzungseinheit</v>
      </c>
      <c r="C14" s="37"/>
      <c r="D14" s="42" t="s">
        <v>884</v>
      </c>
      <c r="E14" s="41"/>
      <c r="G14" s="42" t="s">
        <v>349</v>
      </c>
      <c r="H14" s="42" t="s">
        <v>349</v>
      </c>
      <c r="I14" s="42"/>
      <c r="J14" s="42"/>
      <c r="K14" s="42"/>
      <c r="L14" s="42"/>
      <c r="M14" s="42" t="s">
        <v>349</v>
      </c>
      <c r="N14" s="42"/>
      <c r="O14" s="42" t="s">
        <v>349</v>
      </c>
      <c r="P14" s="42" t="s">
        <v>349</v>
      </c>
      <c r="Q14" s="42" t="s">
        <v>349</v>
      </c>
      <c r="R14" s="42"/>
      <c r="S14" s="42"/>
      <c r="T14" s="42"/>
      <c r="U14" s="42"/>
      <c r="V14" s="42"/>
      <c r="W14" s="42"/>
      <c r="X14" s="42"/>
      <c r="Y14" s="42" t="s">
        <v>349</v>
      </c>
      <c r="Z14" s="42"/>
      <c r="AA14" s="42"/>
      <c r="AB14" s="42"/>
      <c r="AC14" s="42" t="s">
        <v>349</v>
      </c>
      <c r="AD14" s="42"/>
      <c r="AE14" s="42"/>
      <c r="AF14" s="42"/>
      <c r="AG14" s="42" t="s">
        <v>349</v>
      </c>
      <c r="AH14" s="42" t="s">
        <v>349</v>
      </c>
      <c r="AI14" s="42"/>
      <c r="AJ14" s="42"/>
      <c r="AK14" s="42"/>
      <c r="AL14" s="42"/>
      <c r="AM14" s="42"/>
      <c r="AN14" s="42"/>
      <c r="AO14" s="42"/>
      <c r="AP14" s="42"/>
      <c r="AQ14" s="42"/>
      <c r="AR14" s="42"/>
      <c r="AS14" s="42"/>
      <c r="AT14" s="42"/>
      <c r="AU14" s="42"/>
      <c r="AV14" s="42"/>
      <c r="AW14" s="42"/>
      <c r="AX14" s="42"/>
      <c r="AY14" s="42"/>
      <c r="AZ14" s="42"/>
      <c r="BA14" s="42" t="s">
        <v>349</v>
      </c>
      <c r="BB14" s="50"/>
      <c r="BC14" s="42"/>
      <c r="BD14" s="42"/>
      <c r="BE14" s="42"/>
      <c r="BF14" s="42"/>
      <c r="BG14" s="42"/>
      <c r="BH14" s="42"/>
      <c r="BI14" s="42"/>
      <c r="BJ14" s="42"/>
      <c r="BL14" s="42"/>
      <c r="BM14" s="42"/>
      <c r="BN14" s="42"/>
      <c r="BO14" s="42"/>
      <c r="BP14" s="42"/>
      <c r="BQ14" s="42"/>
      <c r="BR14" s="42"/>
      <c r="BS14" s="42"/>
      <c r="BT14" s="42"/>
      <c r="BU14" s="42"/>
      <c r="BV14" s="42"/>
      <c r="BW14" s="42"/>
      <c r="BX14" s="42"/>
    </row>
    <row r="15" spans="1:76" s="51" customFormat="1" ht="14.25" x14ac:dyDescent="0.2">
      <c r="A15" s="42" t="str">
        <f>Classes!J16</f>
        <v>IFMA_C_31010009</v>
      </c>
      <c r="B15" s="42" t="str">
        <f>Classes!P16</f>
        <v>Grundstück</v>
      </c>
      <c r="C15" s="37"/>
      <c r="D15" s="42" t="s">
        <v>884</v>
      </c>
      <c r="E15" s="41"/>
      <c r="G15" s="42" t="s">
        <v>349</v>
      </c>
      <c r="H15" s="42" t="s">
        <v>349</v>
      </c>
      <c r="I15" s="42"/>
      <c r="J15" s="42"/>
      <c r="K15" s="42"/>
      <c r="L15" s="42"/>
      <c r="M15" s="42"/>
      <c r="N15" s="42"/>
      <c r="O15" s="42"/>
      <c r="P15" s="42"/>
      <c r="Q15" s="42" t="s">
        <v>349</v>
      </c>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50"/>
      <c r="BC15" s="42"/>
      <c r="BD15" s="42"/>
      <c r="BE15" s="42"/>
      <c r="BF15" s="42"/>
      <c r="BG15" s="42"/>
      <c r="BH15" s="42"/>
      <c r="BI15" s="42"/>
      <c r="BJ15" s="42"/>
      <c r="BL15" s="42"/>
      <c r="BM15" s="42"/>
      <c r="BN15" s="42"/>
      <c r="BO15" s="42"/>
      <c r="BP15" s="42"/>
      <c r="BQ15" s="42"/>
      <c r="BR15" s="42"/>
      <c r="BS15" s="42"/>
      <c r="BT15" s="42"/>
      <c r="BU15" s="42"/>
      <c r="BV15" s="42"/>
      <c r="BW15" s="42"/>
      <c r="BX15" s="42"/>
    </row>
    <row r="16" spans="1:76" s="51" customFormat="1" ht="14.25" x14ac:dyDescent="0.2">
      <c r="A16" s="42" t="str">
        <f>Classes!J17</f>
        <v>IFMA_C_31010010</v>
      </c>
      <c r="B16" s="42" t="str">
        <f>Classes!P17</f>
        <v>Gebäude</v>
      </c>
      <c r="C16" s="37"/>
      <c r="D16" s="42" t="s">
        <v>884</v>
      </c>
      <c r="E16" s="41"/>
      <c r="G16" s="42" t="s">
        <v>349</v>
      </c>
      <c r="H16" s="42" t="s">
        <v>349</v>
      </c>
      <c r="I16" s="42"/>
      <c r="J16" s="42"/>
      <c r="K16" s="42"/>
      <c r="L16" s="42"/>
      <c r="M16" s="42"/>
      <c r="N16" s="42"/>
      <c r="O16" s="42"/>
      <c r="P16" s="42"/>
      <c r="Q16" s="42" t="s">
        <v>349</v>
      </c>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50"/>
      <c r="BC16" s="42"/>
      <c r="BD16" s="42"/>
      <c r="BE16" s="42"/>
      <c r="BF16" s="42"/>
      <c r="BG16" s="42"/>
      <c r="BH16" s="42"/>
      <c r="BI16" s="42"/>
      <c r="BJ16" s="42"/>
      <c r="BL16" s="42"/>
      <c r="BM16" s="42"/>
      <c r="BN16" s="42"/>
      <c r="BO16" s="42"/>
      <c r="BP16" s="42"/>
      <c r="BQ16" s="42"/>
      <c r="BR16" s="42"/>
      <c r="BS16" s="42"/>
      <c r="BT16" s="42"/>
      <c r="BU16" s="42"/>
      <c r="BV16" s="42"/>
      <c r="BW16" s="42"/>
      <c r="BX16" s="42"/>
    </row>
    <row r="17" spans="4:64" ht="14.25" customHeight="1" x14ac:dyDescent="0.25">
      <c r="D17" s="55"/>
      <c r="F17" s="55"/>
      <c r="BB17" s="50"/>
      <c r="BC17" s="51"/>
      <c r="BD17" s="50"/>
      <c r="BE17" s="50"/>
      <c r="BF17" s="50"/>
      <c r="BG17" s="50"/>
      <c r="BL17" s="51"/>
    </row>
    <row r="18" spans="4:64" ht="14.25" customHeight="1" x14ac:dyDescent="0.25">
      <c r="D18" s="55"/>
      <c r="F18" s="55"/>
      <c r="BB18" s="50"/>
      <c r="BC18" s="51"/>
      <c r="BD18" s="50"/>
      <c r="BE18" s="50"/>
      <c r="BF18" s="50"/>
      <c r="BG18" s="50"/>
      <c r="BL18" s="51"/>
    </row>
    <row r="19" spans="4:64" ht="14.25" customHeight="1" x14ac:dyDescent="0.25">
      <c r="D19" s="55"/>
      <c r="F19" s="55"/>
      <c r="BB19" s="50"/>
      <c r="BC19" s="51"/>
      <c r="BD19" s="50"/>
      <c r="BE19" s="50"/>
      <c r="BF19" s="50"/>
      <c r="BG19" s="50"/>
      <c r="BL19" s="51"/>
    </row>
    <row r="20" spans="4:64" ht="14.25" customHeight="1" x14ac:dyDescent="0.25">
      <c r="D20" s="55"/>
      <c r="F20" s="55"/>
      <c r="BB20" s="50"/>
      <c r="BC20" s="51"/>
      <c r="BD20" s="50"/>
      <c r="BE20" s="50"/>
      <c r="BF20" s="50"/>
      <c r="BG20" s="50"/>
      <c r="BL20" s="51"/>
    </row>
    <row r="21" spans="4:64" ht="14.25" customHeight="1" x14ac:dyDescent="0.25">
      <c r="D21" s="55"/>
      <c r="F21" s="55"/>
      <c r="BB21" s="50"/>
      <c r="BC21" s="51"/>
      <c r="BD21" s="50"/>
      <c r="BE21" s="50"/>
      <c r="BF21" s="50"/>
      <c r="BG21" s="50"/>
      <c r="BL21" s="51"/>
    </row>
    <row r="22" spans="4:64" ht="14.25" customHeight="1" x14ac:dyDescent="0.25">
      <c r="D22" s="55"/>
      <c r="F22" s="55"/>
      <c r="BB22" s="50"/>
      <c r="BC22" s="51"/>
      <c r="BD22" s="50"/>
      <c r="BE22" s="50"/>
      <c r="BF22" s="50"/>
      <c r="BG22" s="50"/>
      <c r="BL22" s="51"/>
    </row>
    <row r="23" spans="4:64" ht="14.25" customHeight="1" x14ac:dyDescent="0.25">
      <c r="D23" s="55"/>
      <c r="F23" s="55"/>
      <c r="BB23" s="50"/>
      <c r="BC23" s="51"/>
      <c r="BD23" s="50"/>
      <c r="BE23" s="50"/>
      <c r="BF23" s="50"/>
      <c r="BG23" s="50"/>
      <c r="BL23" s="51"/>
    </row>
    <row r="24" spans="4:64" ht="14.25" customHeight="1" x14ac:dyDescent="0.25">
      <c r="D24" s="55"/>
      <c r="F24" s="55"/>
      <c r="BB24" s="50"/>
      <c r="BC24" s="51"/>
      <c r="BD24" s="50"/>
      <c r="BE24" s="50"/>
      <c r="BF24" s="50"/>
      <c r="BG24" s="50"/>
      <c r="BL24" s="51"/>
    </row>
    <row r="25" spans="4:64" ht="14.25" customHeight="1" x14ac:dyDescent="0.25">
      <c r="D25" s="55"/>
      <c r="F25" s="55"/>
      <c r="BB25" s="50"/>
      <c r="BC25" s="51"/>
      <c r="BD25" s="50"/>
      <c r="BE25" s="50"/>
      <c r="BF25" s="50"/>
      <c r="BG25" s="50"/>
      <c r="BL25" s="51"/>
    </row>
    <row r="26" spans="4:64" ht="14.25" customHeight="1" x14ac:dyDescent="0.25">
      <c r="D26" s="55"/>
      <c r="F26" s="55"/>
      <c r="BB26" s="50"/>
      <c r="BC26" s="51"/>
      <c r="BD26" s="50"/>
      <c r="BE26" s="50"/>
      <c r="BF26" s="50"/>
      <c r="BG26" s="50"/>
      <c r="BL26" s="51"/>
    </row>
    <row r="27" spans="4:64" ht="14.25" customHeight="1" x14ac:dyDescent="0.25">
      <c r="D27" s="55"/>
      <c r="F27" s="55"/>
      <c r="BB27" s="50"/>
      <c r="BC27" s="51"/>
      <c r="BD27" s="50"/>
      <c r="BE27" s="50"/>
      <c r="BF27" s="50"/>
      <c r="BG27" s="50"/>
      <c r="BL27" s="51"/>
    </row>
    <row r="28" spans="4:64" ht="14.25" customHeight="1" x14ac:dyDescent="0.25">
      <c r="D28" s="55"/>
      <c r="F28" s="55"/>
      <c r="BB28" s="50"/>
      <c r="BC28" s="51"/>
      <c r="BD28" s="50"/>
      <c r="BE28" s="50"/>
      <c r="BF28" s="50"/>
      <c r="BG28" s="50"/>
      <c r="BL28" s="51"/>
    </row>
    <row r="29" spans="4:64" ht="14.25" customHeight="1" x14ac:dyDescent="0.25">
      <c r="D29" s="55"/>
      <c r="F29" s="55"/>
      <c r="BB29" s="50"/>
      <c r="BC29" s="51"/>
      <c r="BD29" s="50"/>
      <c r="BE29" s="50"/>
      <c r="BF29" s="50"/>
      <c r="BG29" s="50"/>
      <c r="BL29" s="51"/>
    </row>
    <row r="30" spans="4:64" ht="14.25" customHeight="1" x14ac:dyDescent="0.25">
      <c r="D30" s="55"/>
      <c r="F30" s="55"/>
      <c r="BB30" s="50"/>
      <c r="BC30" s="51"/>
      <c r="BD30" s="50"/>
      <c r="BE30" s="50"/>
      <c r="BF30" s="50"/>
      <c r="BG30" s="50"/>
      <c r="BL30" s="51"/>
    </row>
    <row r="31" spans="4:64" ht="14.25" customHeight="1" x14ac:dyDescent="0.25">
      <c r="D31" s="55"/>
      <c r="F31" s="55"/>
      <c r="BB31" s="50"/>
      <c r="BC31" s="51"/>
      <c r="BD31" s="50"/>
      <c r="BE31" s="50"/>
      <c r="BF31" s="50"/>
      <c r="BG31" s="50"/>
      <c r="BL31" s="51"/>
    </row>
    <row r="32" spans="4:64" ht="14.25" customHeight="1" x14ac:dyDescent="0.25">
      <c r="D32" s="55"/>
      <c r="F32" s="55"/>
      <c r="BB32" s="50"/>
      <c r="BC32" s="51"/>
      <c r="BD32" s="50"/>
      <c r="BE32" s="50"/>
      <c r="BF32" s="50"/>
      <c r="BG32" s="50"/>
      <c r="BL32" s="51"/>
    </row>
    <row r="33" spans="4:64" ht="14.25" customHeight="1" x14ac:dyDescent="0.25">
      <c r="D33" s="55"/>
      <c r="F33" s="55"/>
      <c r="BB33" s="50"/>
      <c r="BC33" s="51"/>
      <c r="BD33" s="50"/>
      <c r="BE33" s="50"/>
      <c r="BF33" s="50"/>
      <c r="BG33" s="50"/>
      <c r="BL33" s="51"/>
    </row>
    <row r="34" spans="4:64" ht="14.25" customHeight="1" x14ac:dyDescent="0.25">
      <c r="D34" s="55"/>
      <c r="F34" s="55"/>
      <c r="BB34" s="50"/>
      <c r="BC34" s="51"/>
      <c r="BD34" s="50"/>
      <c r="BE34" s="50"/>
      <c r="BF34" s="50"/>
      <c r="BG34" s="50"/>
      <c r="BL34" s="51"/>
    </row>
    <row r="35" spans="4:64" ht="14.25" customHeight="1" x14ac:dyDescent="0.25">
      <c r="D35" s="55"/>
      <c r="F35" s="55"/>
      <c r="BB35" s="50"/>
      <c r="BC35" s="51"/>
      <c r="BD35" s="50"/>
      <c r="BE35" s="50"/>
      <c r="BF35" s="50"/>
      <c r="BG35" s="50"/>
      <c r="BL35" s="51"/>
    </row>
    <row r="36" spans="4:64" ht="14.25" customHeight="1" x14ac:dyDescent="0.25">
      <c r="D36" s="55"/>
      <c r="F36" s="55"/>
      <c r="BB36" s="50"/>
      <c r="BC36" s="51"/>
      <c r="BD36" s="50"/>
      <c r="BE36" s="50"/>
      <c r="BF36" s="50"/>
      <c r="BG36" s="50"/>
      <c r="BL36" s="51"/>
    </row>
    <row r="37" spans="4:64" ht="14.25" customHeight="1" x14ac:dyDescent="0.25">
      <c r="D37" s="55"/>
      <c r="F37" s="55"/>
      <c r="BB37" s="50"/>
      <c r="BC37" s="51"/>
      <c r="BD37" s="50"/>
      <c r="BE37" s="50"/>
      <c r="BF37" s="50"/>
      <c r="BG37" s="50"/>
      <c r="BL37" s="51"/>
    </row>
    <row r="38" spans="4:64" ht="14.25" customHeight="1" x14ac:dyDescent="0.25">
      <c r="D38" s="55"/>
      <c r="F38" s="55"/>
      <c r="BB38" s="50"/>
      <c r="BC38" s="51"/>
      <c r="BD38" s="50"/>
      <c r="BE38" s="50"/>
      <c r="BF38" s="50"/>
      <c r="BG38" s="50"/>
      <c r="BL38" s="51"/>
    </row>
    <row r="39" spans="4:64" ht="14.25" customHeight="1" x14ac:dyDescent="0.25">
      <c r="D39" s="55"/>
      <c r="F39" s="55"/>
      <c r="BB39" s="50"/>
      <c r="BC39" s="51"/>
      <c r="BD39" s="50"/>
      <c r="BE39" s="50"/>
      <c r="BF39" s="50"/>
      <c r="BG39" s="50"/>
      <c r="BL39" s="51"/>
    </row>
    <row r="40" spans="4:64" ht="14.25" customHeight="1" x14ac:dyDescent="0.25">
      <c r="D40" s="55"/>
      <c r="F40" s="55"/>
      <c r="BB40" s="50"/>
      <c r="BC40" s="51"/>
      <c r="BD40" s="50"/>
      <c r="BE40" s="50"/>
      <c r="BF40" s="50"/>
      <c r="BG40" s="50"/>
      <c r="BL40" s="51"/>
    </row>
    <row r="41" spans="4:64" ht="14.25" customHeight="1" x14ac:dyDescent="0.25">
      <c r="D41" s="55"/>
      <c r="F41" s="55"/>
      <c r="BB41" s="50"/>
      <c r="BC41" s="51"/>
      <c r="BD41" s="50"/>
      <c r="BE41" s="50"/>
      <c r="BF41" s="50"/>
      <c r="BG41" s="50"/>
      <c r="BL41" s="51"/>
    </row>
    <row r="42" spans="4:64" ht="14.25" customHeight="1" x14ac:dyDescent="0.25">
      <c r="D42" s="55"/>
      <c r="F42" s="55"/>
      <c r="BB42" s="50"/>
      <c r="BC42" s="51"/>
      <c r="BD42" s="50"/>
      <c r="BE42" s="50"/>
      <c r="BF42" s="50"/>
      <c r="BG42" s="50"/>
      <c r="BL42" s="51"/>
    </row>
    <row r="43" spans="4:64" ht="14.25" customHeight="1" x14ac:dyDescent="0.25">
      <c r="D43" s="55"/>
      <c r="F43" s="55"/>
      <c r="BB43" s="50"/>
      <c r="BC43" s="51"/>
      <c r="BD43" s="50"/>
      <c r="BE43" s="50"/>
      <c r="BF43" s="50"/>
      <c r="BG43" s="50"/>
      <c r="BL43" s="51"/>
    </row>
    <row r="44" spans="4:64" ht="14.25" customHeight="1" x14ac:dyDescent="0.25">
      <c r="D44" s="55"/>
      <c r="F44" s="55"/>
      <c r="BB44" s="50"/>
      <c r="BC44" s="51"/>
      <c r="BD44" s="50"/>
      <c r="BE44" s="50"/>
      <c r="BF44" s="50"/>
      <c r="BG44" s="50"/>
      <c r="BL44" s="51"/>
    </row>
    <row r="45" spans="4:64" ht="14.25" customHeight="1" x14ac:dyDescent="0.25">
      <c r="D45" s="55"/>
      <c r="F45" s="55"/>
      <c r="BB45" s="50"/>
      <c r="BC45" s="51"/>
      <c r="BD45" s="50"/>
      <c r="BE45" s="50"/>
      <c r="BF45" s="50"/>
      <c r="BG45" s="50"/>
      <c r="BL45" s="51"/>
    </row>
    <row r="46" spans="4:64" ht="14.25" customHeight="1" x14ac:dyDescent="0.25">
      <c r="D46" s="55"/>
      <c r="F46" s="55"/>
      <c r="BB46" s="50"/>
      <c r="BC46" s="51"/>
      <c r="BD46" s="50"/>
      <c r="BE46" s="50"/>
      <c r="BF46" s="50"/>
      <c r="BG46" s="50"/>
      <c r="BL46" s="51"/>
    </row>
    <row r="47" spans="4:64" ht="14.25" customHeight="1" x14ac:dyDescent="0.25">
      <c r="D47" s="55"/>
      <c r="F47" s="55"/>
      <c r="BB47" s="50"/>
      <c r="BC47" s="51"/>
      <c r="BD47" s="50"/>
      <c r="BE47" s="50"/>
      <c r="BF47" s="50"/>
      <c r="BG47" s="50"/>
      <c r="BL47" s="51"/>
    </row>
    <row r="48" spans="4:64" ht="14.25" customHeight="1" x14ac:dyDescent="0.25">
      <c r="D48" s="55"/>
      <c r="F48" s="55"/>
      <c r="BB48" s="50"/>
      <c r="BC48" s="51"/>
      <c r="BD48" s="50"/>
      <c r="BE48" s="50"/>
      <c r="BF48" s="50"/>
      <c r="BG48" s="50"/>
      <c r="BL48" s="51"/>
    </row>
    <row r="49" spans="4:64" ht="14.25" customHeight="1" x14ac:dyDescent="0.25">
      <c r="D49" s="55"/>
      <c r="F49" s="55"/>
      <c r="BB49" s="50"/>
      <c r="BC49" s="51"/>
      <c r="BD49" s="50"/>
      <c r="BE49" s="50"/>
      <c r="BF49" s="50"/>
      <c r="BG49" s="50"/>
      <c r="BL49" s="51"/>
    </row>
    <row r="50" spans="4:64" ht="14.25" customHeight="1" x14ac:dyDescent="0.25">
      <c r="D50" s="55"/>
      <c r="F50" s="55"/>
      <c r="BB50" s="50"/>
      <c r="BC50" s="51"/>
      <c r="BD50" s="50"/>
      <c r="BE50" s="50"/>
      <c r="BF50" s="50"/>
      <c r="BG50" s="50"/>
      <c r="BL50" s="51"/>
    </row>
    <row r="51" spans="4:64" x14ac:dyDescent="0.25">
      <c r="BB51" s="50"/>
      <c r="BC51" s="51"/>
      <c r="BD51" s="50"/>
      <c r="BE51" s="50"/>
      <c r="BF51" s="50"/>
      <c r="BG51" s="50"/>
      <c r="BL51" s="51"/>
    </row>
    <row r="52" spans="4:64" ht="14.25" customHeight="1" x14ac:dyDescent="0.25">
      <c r="BB52" s="50"/>
      <c r="BC52" s="51"/>
      <c r="BD52" s="50"/>
      <c r="BE52" s="50"/>
      <c r="BF52" s="50"/>
      <c r="BG52" s="50"/>
      <c r="BL52" s="51"/>
    </row>
    <row r="53" spans="4:64" x14ac:dyDescent="0.25">
      <c r="BB53" s="50"/>
      <c r="BC53" s="51"/>
      <c r="BD53" s="50"/>
      <c r="BE53" s="50"/>
      <c r="BF53" s="50"/>
      <c r="BG53" s="50"/>
      <c r="BL53" s="51"/>
    </row>
    <row r="54" spans="4:64" x14ac:dyDescent="0.25">
      <c r="BB54" s="50"/>
      <c r="BC54" s="51"/>
      <c r="BD54" s="50"/>
      <c r="BE54" s="50"/>
      <c r="BF54" s="50"/>
      <c r="BG54" s="50"/>
      <c r="BL54" s="51"/>
    </row>
    <row r="55" spans="4:64" x14ac:dyDescent="0.25">
      <c r="BB55" s="50"/>
      <c r="BC55" s="51"/>
      <c r="BD55" s="50"/>
      <c r="BE55" s="50"/>
      <c r="BF55" s="50"/>
      <c r="BG55" s="50"/>
      <c r="BL55" s="51"/>
    </row>
    <row r="56" spans="4:64" x14ac:dyDescent="0.25">
      <c r="BB56" s="50"/>
      <c r="BC56" s="51"/>
      <c r="BD56" s="50"/>
      <c r="BE56" s="50"/>
      <c r="BF56" s="50"/>
      <c r="BG56" s="50"/>
      <c r="BL56" s="51"/>
    </row>
    <row r="57" spans="4:64" x14ac:dyDescent="0.25">
      <c r="BB57" s="50"/>
      <c r="BC57" s="51"/>
      <c r="BD57" s="50"/>
      <c r="BE57" s="50"/>
      <c r="BF57" s="50"/>
      <c r="BG57" s="50"/>
      <c r="BL57" s="51"/>
    </row>
    <row r="59" spans="4:64" ht="25.5" customHeight="1" x14ac:dyDescent="0.25"/>
    <row r="60" spans="4:64" ht="25.5" customHeight="1" x14ac:dyDescent="0.25"/>
    <row r="61" spans="4:64" ht="14.25" customHeight="1" x14ac:dyDescent="0.25"/>
  </sheetData>
  <dataValidations disablePrompts="1" count="1">
    <dataValidation type="list" allowBlank="1" sqref="BH6:BH16 BI17 BL18:BL1989" xr:uid="{00000000-0002-0000-0800-000000000000}">
      <formula1>Status</formula1>
    </dataValidation>
  </dataValidations>
  <pageMargins left="0.70866141732283472" right="0.70866141732283472" top="0.78740157480314965" bottom="0.78740157480314965" header="0.31496062992125984" footer="0.31496062992125984"/>
  <pageSetup paperSize="9" scale="29" orientation="landscape" r:id="rId1"/>
  <headerFooter>
    <oddHeader>&amp;CIFMA Schweiz</oddHeader>
    <oddFooter>&amp;L&amp;"Aptos Narrow,Standard"Data_Template_Flächenmanagement&amp;ROkt 2026 / Seite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35</v>
      </c>
      <c r="C1" s="4" t="s">
        <v>350</v>
      </c>
      <c r="D1" s="4" t="s">
        <v>351</v>
      </c>
      <c r="E1" s="4" t="s">
        <v>352</v>
      </c>
      <c r="F1" s="4" t="s">
        <v>351</v>
      </c>
      <c r="G1" s="4" t="s">
        <v>353</v>
      </c>
      <c r="H1" s="4" t="s">
        <v>351</v>
      </c>
      <c r="I1" s="5" t="s">
        <v>354</v>
      </c>
      <c r="J1" s="6"/>
      <c r="K1" s="7"/>
      <c r="L1" s="7" t="s">
        <v>355</v>
      </c>
      <c r="M1" s="8"/>
      <c r="N1" s="19" t="s">
        <v>356</v>
      </c>
      <c r="O1" s="26" t="s">
        <v>357</v>
      </c>
      <c r="P1" s="24" t="s">
        <v>357</v>
      </c>
      <c r="Q1" s="25" t="s">
        <v>357</v>
      </c>
      <c r="R1" s="9" t="s">
        <v>349</v>
      </c>
      <c r="S1" s="10"/>
      <c r="T1" s="10"/>
      <c r="U1" s="11" t="s">
        <v>349</v>
      </c>
      <c r="V1" s="12" t="s">
        <v>358</v>
      </c>
      <c r="W1" s="13"/>
      <c r="X1" s="14"/>
      <c r="Y1" s="29" t="s">
        <v>359</v>
      </c>
      <c r="Z1" s="27" t="s">
        <v>360</v>
      </c>
      <c r="AA1" s="13" t="s">
        <v>361</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349</v>
      </c>
      <c r="AW1" s="10"/>
      <c r="AX1" s="10"/>
      <c r="AY1" s="10"/>
      <c r="AZ1" s="10"/>
      <c r="BA1" s="10"/>
      <c r="BB1" s="10"/>
      <c r="BC1" s="10"/>
      <c r="BD1" s="10"/>
      <c r="BE1" s="11" t="str">
        <f t="shared" ref="BE1:BE11" si="0">IF(COUNTIF(AJ1:BD1,"x")&gt;0,"x","")</f>
        <v>x</v>
      </c>
    </row>
    <row r="2" spans="1:57" s="1" customFormat="1" ht="13.35" customHeight="1" x14ac:dyDescent="0.25">
      <c r="A2" s="2"/>
      <c r="B2" s="3" t="s">
        <v>35</v>
      </c>
      <c r="C2" s="4" t="s">
        <v>350</v>
      </c>
      <c r="D2" s="4" t="s">
        <v>351</v>
      </c>
      <c r="E2" s="4" t="s">
        <v>352</v>
      </c>
      <c r="F2" s="4" t="s">
        <v>351</v>
      </c>
      <c r="G2" s="4" t="s">
        <v>353</v>
      </c>
      <c r="H2" s="4" t="s">
        <v>351</v>
      </c>
      <c r="I2" s="5" t="s">
        <v>354</v>
      </c>
      <c r="J2" s="6"/>
      <c r="K2" s="7"/>
      <c r="L2" s="7" t="s">
        <v>362</v>
      </c>
      <c r="M2" s="8"/>
      <c r="N2" s="19" t="s">
        <v>356</v>
      </c>
      <c r="O2" s="26" t="s">
        <v>357</v>
      </c>
      <c r="P2" s="24" t="s">
        <v>357</v>
      </c>
      <c r="Q2" s="25" t="s">
        <v>357</v>
      </c>
      <c r="R2" s="9" t="s">
        <v>349</v>
      </c>
      <c r="S2" s="10"/>
      <c r="T2" s="10"/>
      <c r="U2" s="11" t="s">
        <v>349</v>
      </c>
      <c r="V2" s="12" t="s">
        <v>358</v>
      </c>
      <c r="W2" s="13"/>
      <c r="X2" s="14"/>
      <c r="Y2" s="29" t="s">
        <v>363</v>
      </c>
      <c r="Z2" s="27" t="s">
        <v>364</v>
      </c>
      <c r="AA2" s="13" t="s">
        <v>365</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349</v>
      </c>
      <c r="AW2" s="10"/>
      <c r="AX2" s="10"/>
      <c r="AY2" s="10"/>
      <c r="AZ2" s="10"/>
      <c r="BA2" s="10"/>
      <c r="BB2" s="10"/>
      <c r="BC2" s="10"/>
      <c r="BD2" s="10"/>
      <c r="BE2" s="11" t="str">
        <f t="shared" si="0"/>
        <v>x</v>
      </c>
    </row>
    <row r="3" spans="1:57" s="1" customFormat="1" ht="13.35" customHeight="1" x14ac:dyDescent="0.25">
      <c r="A3" s="2"/>
      <c r="B3" s="3" t="s">
        <v>35</v>
      </c>
      <c r="C3" s="4" t="s">
        <v>350</v>
      </c>
      <c r="D3" s="4" t="s">
        <v>351</v>
      </c>
      <c r="E3" s="4" t="s">
        <v>352</v>
      </c>
      <c r="F3" s="4" t="s">
        <v>351</v>
      </c>
      <c r="G3" s="4" t="s">
        <v>353</v>
      </c>
      <c r="H3" s="4" t="s">
        <v>351</v>
      </c>
      <c r="I3" s="5" t="s">
        <v>354</v>
      </c>
      <c r="J3" s="6"/>
      <c r="K3" s="7"/>
      <c r="L3" s="7" t="s">
        <v>366</v>
      </c>
      <c r="M3" s="8"/>
      <c r="N3" s="19" t="s">
        <v>356</v>
      </c>
      <c r="O3" s="26" t="s">
        <v>357</v>
      </c>
      <c r="P3" s="24" t="s">
        <v>357</v>
      </c>
      <c r="Q3" s="25" t="s">
        <v>357</v>
      </c>
      <c r="R3" s="9" t="s">
        <v>349</v>
      </c>
      <c r="S3" s="10"/>
      <c r="T3" s="10"/>
      <c r="U3" s="11" t="s">
        <v>349</v>
      </c>
      <c r="V3" s="12" t="s">
        <v>367</v>
      </c>
      <c r="W3" s="13"/>
      <c r="X3" s="14"/>
      <c r="Y3" s="29"/>
      <c r="Z3" s="27" t="s">
        <v>368</v>
      </c>
      <c r="AA3" s="13" t="s">
        <v>369</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349</v>
      </c>
      <c r="AW3" s="10"/>
      <c r="AX3" s="10"/>
      <c r="AY3" s="10"/>
      <c r="AZ3" s="10"/>
      <c r="BA3" s="10"/>
      <c r="BB3" s="10"/>
      <c r="BC3" s="10"/>
      <c r="BD3" s="10"/>
      <c r="BE3" s="11" t="str">
        <f t="shared" si="0"/>
        <v>x</v>
      </c>
    </row>
    <row r="4" spans="1:57" s="1" customFormat="1" ht="13.35" customHeight="1" x14ac:dyDescent="0.25">
      <c r="A4" s="2"/>
      <c r="B4" s="3" t="s">
        <v>35</v>
      </c>
      <c r="C4" s="4" t="s">
        <v>350</v>
      </c>
      <c r="D4" s="4" t="s">
        <v>351</v>
      </c>
      <c r="E4" s="4" t="s">
        <v>352</v>
      </c>
      <c r="F4" s="4" t="s">
        <v>351</v>
      </c>
      <c r="G4" s="4" t="s">
        <v>353</v>
      </c>
      <c r="H4" s="4" t="s">
        <v>351</v>
      </c>
      <c r="I4" s="5" t="s">
        <v>354</v>
      </c>
      <c r="J4" s="6"/>
      <c r="K4" s="7"/>
      <c r="L4" s="7" t="s">
        <v>370</v>
      </c>
      <c r="M4" s="8"/>
      <c r="N4" s="19" t="s">
        <v>356</v>
      </c>
      <c r="O4" s="26" t="s">
        <v>357</v>
      </c>
      <c r="P4" s="24" t="s">
        <v>357</v>
      </c>
      <c r="Q4" s="25" t="s">
        <v>357</v>
      </c>
      <c r="R4" s="9" t="s">
        <v>349</v>
      </c>
      <c r="S4" s="10"/>
      <c r="T4" s="10"/>
      <c r="U4" s="11" t="s">
        <v>349</v>
      </c>
      <c r="V4" s="12" t="s">
        <v>367</v>
      </c>
      <c r="W4" s="13"/>
      <c r="X4" s="14"/>
      <c r="Y4" s="29"/>
      <c r="Z4" s="27" t="s">
        <v>371</v>
      </c>
      <c r="AA4" s="13" t="s">
        <v>372</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349</v>
      </c>
      <c r="AW4" s="10"/>
      <c r="AX4" s="10"/>
      <c r="AY4" s="10"/>
      <c r="AZ4" s="10"/>
      <c r="BA4" s="10"/>
      <c r="BB4" s="10"/>
      <c r="BC4" s="10"/>
      <c r="BD4" s="10"/>
      <c r="BE4" s="11" t="str">
        <f t="shared" si="0"/>
        <v>x</v>
      </c>
    </row>
    <row r="5" spans="1:57" s="1" customFormat="1" ht="13.35" customHeight="1" x14ac:dyDescent="0.25">
      <c r="A5" s="2"/>
      <c r="B5" s="3" t="s">
        <v>35</v>
      </c>
      <c r="C5" s="4" t="s">
        <v>350</v>
      </c>
      <c r="D5" s="4" t="s">
        <v>351</v>
      </c>
      <c r="E5" s="4" t="s">
        <v>352</v>
      </c>
      <c r="F5" s="4" t="s">
        <v>351</v>
      </c>
      <c r="G5" s="4" t="s">
        <v>353</v>
      </c>
      <c r="H5" s="4" t="s">
        <v>351</v>
      </c>
      <c r="I5" s="5" t="s">
        <v>354</v>
      </c>
      <c r="J5" s="6"/>
      <c r="K5" s="7"/>
      <c r="L5" s="7" t="s">
        <v>373</v>
      </c>
      <c r="M5" s="8"/>
      <c r="N5" s="19" t="s">
        <v>356</v>
      </c>
      <c r="O5" s="26" t="s">
        <v>357</v>
      </c>
      <c r="P5" s="24" t="s">
        <v>357</v>
      </c>
      <c r="Q5" s="25" t="s">
        <v>357</v>
      </c>
      <c r="R5" s="9" t="s">
        <v>349</v>
      </c>
      <c r="S5" s="10"/>
      <c r="T5" s="10"/>
      <c r="U5" s="11" t="s">
        <v>349</v>
      </c>
      <c r="V5" s="12" t="s">
        <v>358</v>
      </c>
      <c r="W5" s="13"/>
      <c r="X5" s="14"/>
      <c r="Y5" s="29" t="s">
        <v>374</v>
      </c>
      <c r="Z5" s="27" t="s">
        <v>375</v>
      </c>
      <c r="AA5" s="13" t="s">
        <v>376</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349</v>
      </c>
      <c r="AW5" s="10"/>
      <c r="AX5" s="10"/>
      <c r="AY5" s="10"/>
      <c r="AZ5" s="10"/>
      <c r="BA5" s="10"/>
      <c r="BB5" s="10"/>
      <c r="BC5" s="10"/>
      <c r="BD5" s="10"/>
      <c r="BE5" s="11" t="str">
        <f t="shared" si="0"/>
        <v>x</v>
      </c>
    </row>
    <row r="6" spans="1:57" s="1" customFormat="1" ht="13.35" customHeight="1" x14ac:dyDescent="0.25">
      <c r="A6" s="2"/>
      <c r="B6" s="3" t="s">
        <v>35</v>
      </c>
      <c r="C6" s="4" t="s">
        <v>350</v>
      </c>
      <c r="D6" s="4" t="s">
        <v>351</v>
      </c>
      <c r="E6" s="4" t="s">
        <v>352</v>
      </c>
      <c r="F6" s="4" t="s">
        <v>351</v>
      </c>
      <c r="G6" s="4" t="s">
        <v>353</v>
      </c>
      <c r="H6" s="4" t="s">
        <v>351</v>
      </c>
      <c r="I6" s="5" t="s">
        <v>354</v>
      </c>
      <c r="J6" s="6"/>
      <c r="K6" s="7"/>
      <c r="L6" s="7" t="s">
        <v>377</v>
      </c>
      <c r="M6" s="8"/>
      <c r="N6" s="19" t="s">
        <v>356</v>
      </c>
      <c r="O6" s="26" t="s">
        <v>357</v>
      </c>
      <c r="P6" s="24" t="s">
        <v>357</v>
      </c>
      <c r="Q6" s="25" t="s">
        <v>357</v>
      </c>
      <c r="R6" s="9" t="s">
        <v>349</v>
      </c>
      <c r="S6" s="10"/>
      <c r="T6" s="10"/>
      <c r="U6" s="11" t="s">
        <v>349</v>
      </c>
      <c r="V6" s="12" t="s">
        <v>367</v>
      </c>
      <c r="W6" s="13"/>
      <c r="X6" s="14"/>
      <c r="Y6" s="29"/>
      <c r="Z6" s="27" t="s">
        <v>368</v>
      </c>
      <c r="AA6" s="13" t="s">
        <v>369</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349</v>
      </c>
      <c r="AW6" s="10"/>
      <c r="AX6" s="10"/>
      <c r="AY6" s="10"/>
      <c r="AZ6" s="10"/>
      <c r="BA6" s="10"/>
      <c r="BB6" s="10"/>
      <c r="BC6" s="10"/>
      <c r="BD6" s="10"/>
      <c r="BE6" s="11" t="str">
        <f t="shared" si="0"/>
        <v>x</v>
      </c>
    </row>
    <row r="7" spans="1:57" s="1" customFormat="1" ht="13.35" customHeight="1" x14ac:dyDescent="0.25">
      <c r="A7" s="2"/>
      <c r="B7" s="3" t="s">
        <v>35</v>
      </c>
      <c r="C7" s="4" t="s">
        <v>350</v>
      </c>
      <c r="D7" s="4" t="s">
        <v>351</v>
      </c>
      <c r="E7" s="4" t="s">
        <v>352</v>
      </c>
      <c r="F7" s="4" t="s">
        <v>351</v>
      </c>
      <c r="G7" s="4" t="s">
        <v>353</v>
      </c>
      <c r="H7" s="4" t="s">
        <v>351</v>
      </c>
      <c r="I7" s="5" t="s">
        <v>354</v>
      </c>
      <c r="J7" s="6"/>
      <c r="K7" s="7"/>
      <c r="L7" s="7" t="s">
        <v>378</v>
      </c>
      <c r="M7" s="8"/>
      <c r="N7" s="19" t="s">
        <v>356</v>
      </c>
      <c r="O7" s="26" t="s">
        <v>357</v>
      </c>
      <c r="P7" s="24" t="s">
        <v>357</v>
      </c>
      <c r="Q7" s="25" t="s">
        <v>357</v>
      </c>
      <c r="R7" s="9" t="s">
        <v>349</v>
      </c>
      <c r="S7" s="10"/>
      <c r="T7" s="10"/>
      <c r="U7" s="11" t="s">
        <v>349</v>
      </c>
      <c r="V7" s="12" t="s">
        <v>358</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349</v>
      </c>
      <c r="AW7" s="10"/>
      <c r="AX7" s="10"/>
      <c r="AY7" s="10"/>
      <c r="AZ7" s="10"/>
      <c r="BA7" s="10"/>
      <c r="BB7" s="10"/>
      <c r="BC7" s="10"/>
      <c r="BD7" s="10"/>
      <c r="BE7" s="11" t="str">
        <f t="shared" si="0"/>
        <v>x</v>
      </c>
    </row>
    <row r="8" spans="1:57" s="1" customFormat="1" ht="13.35" customHeight="1" x14ac:dyDescent="0.25">
      <c r="A8" s="2"/>
      <c r="B8" s="3" t="s">
        <v>35</v>
      </c>
      <c r="C8" s="4" t="s">
        <v>350</v>
      </c>
      <c r="D8" s="4" t="s">
        <v>351</v>
      </c>
      <c r="E8" s="4" t="s">
        <v>352</v>
      </c>
      <c r="F8" s="4" t="s">
        <v>351</v>
      </c>
      <c r="G8" s="4" t="s">
        <v>353</v>
      </c>
      <c r="H8" s="4" t="s">
        <v>351</v>
      </c>
      <c r="I8" s="5" t="s">
        <v>354</v>
      </c>
      <c r="J8" s="6"/>
      <c r="K8" s="7"/>
      <c r="L8" s="23" t="s">
        <v>379</v>
      </c>
      <c r="M8" s="8"/>
      <c r="N8" s="19" t="s">
        <v>356</v>
      </c>
      <c r="O8" s="26" t="s">
        <v>357</v>
      </c>
      <c r="P8" s="24" t="s">
        <v>357</v>
      </c>
      <c r="Q8" s="25" t="s">
        <v>357</v>
      </c>
      <c r="R8" s="9" t="s">
        <v>349</v>
      </c>
      <c r="S8" s="10"/>
      <c r="T8" s="10"/>
      <c r="U8" s="11" t="s">
        <v>349</v>
      </c>
      <c r="V8" s="12" t="s">
        <v>358</v>
      </c>
      <c r="W8" s="13"/>
      <c r="X8" s="14"/>
      <c r="Y8" s="29" t="s">
        <v>359</v>
      </c>
      <c r="Z8" s="27" t="s">
        <v>380</v>
      </c>
      <c r="AA8" s="13" t="s">
        <v>381</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349</v>
      </c>
      <c r="AW8" s="10"/>
      <c r="AX8" s="10"/>
      <c r="AY8" s="10"/>
      <c r="AZ8" s="10"/>
      <c r="BA8" s="10"/>
      <c r="BB8" s="10"/>
      <c r="BC8" s="10"/>
      <c r="BD8" s="10"/>
      <c r="BE8" s="11" t="str">
        <f t="shared" si="0"/>
        <v>x</v>
      </c>
    </row>
    <row r="9" spans="1:57" s="1" customFormat="1" ht="13.35" customHeight="1" x14ac:dyDescent="0.25">
      <c r="A9" s="2"/>
      <c r="B9" s="3" t="s">
        <v>35</v>
      </c>
      <c r="C9" s="4" t="s">
        <v>350</v>
      </c>
      <c r="D9" s="4" t="s">
        <v>351</v>
      </c>
      <c r="E9" s="4" t="s">
        <v>352</v>
      </c>
      <c r="F9" s="4" t="s">
        <v>351</v>
      </c>
      <c r="G9" s="4" t="s">
        <v>353</v>
      </c>
      <c r="H9" s="4" t="s">
        <v>351</v>
      </c>
      <c r="I9" s="5" t="s">
        <v>354</v>
      </c>
      <c r="J9" s="6"/>
      <c r="K9" s="7"/>
      <c r="L9" s="23" t="s">
        <v>382</v>
      </c>
      <c r="M9" s="8"/>
      <c r="N9" s="19" t="s">
        <v>356</v>
      </c>
      <c r="O9" s="26" t="s">
        <v>357</v>
      </c>
      <c r="P9" s="24" t="s">
        <v>357</v>
      </c>
      <c r="Q9" s="25" t="s">
        <v>357</v>
      </c>
      <c r="R9" s="9" t="s">
        <v>349</v>
      </c>
      <c r="S9" s="10"/>
      <c r="T9" s="10"/>
      <c r="U9" s="11" t="s">
        <v>349</v>
      </c>
      <c r="V9" s="12" t="s">
        <v>367</v>
      </c>
      <c r="W9" s="13"/>
      <c r="X9" s="14"/>
      <c r="Y9" s="29"/>
      <c r="Z9" s="27" t="s">
        <v>371</v>
      </c>
      <c r="AA9" s="13" t="s">
        <v>383</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349</v>
      </c>
      <c r="AW9" s="10"/>
      <c r="AX9" s="10"/>
      <c r="AY9" s="10"/>
      <c r="AZ9" s="10"/>
      <c r="BA9" s="10"/>
      <c r="BB9" s="10"/>
      <c r="BC9" s="10"/>
      <c r="BD9" s="10"/>
      <c r="BE9" s="11" t="str">
        <f t="shared" si="0"/>
        <v>x</v>
      </c>
    </row>
    <row r="10" spans="1:57" s="1" customFormat="1" ht="13.35" customHeight="1" x14ac:dyDescent="0.25">
      <c r="A10" s="2"/>
      <c r="B10" s="3" t="s">
        <v>35</v>
      </c>
      <c r="C10" s="4" t="s">
        <v>350</v>
      </c>
      <c r="D10" s="4" t="s">
        <v>351</v>
      </c>
      <c r="E10" s="4" t="s">
        <v>384</v>
      </c>
      <c r="F10" s="4" t="s">
        <v>351</v>
      </c>
      <c r="G10" s="4" t="s">
        <v>385</v>
      </c>
      <c r="H10" s="4" t="s">
        <v>351</v>
      </c>
      <c r="I10" s="5" t="s">
        <v>354</v>
      </c>
      <c r="J10" s="6"/>
      <c r="K10" s="7"/>
      <c r="L10" s="7" t="s">
        <v>386</v>
      </c>
      <c r="M10" s="8"/>
      <c r="N10" s="19" t="s">
        <v>387</v>
      </c>
      <c r="O10" s="26" t="s">
        <v>357</v>
      </c>
      <c r="P10" s="24" t="s">
        <v>357</v>
      </c>
      <c r="Q10" s="25" t="s">
        <v>357</v>
      </c>
      <c r="R10" s="9" t="s">
        <v>349</v>
      </c>
      <c r="S10" s="10"/>
      <c r="T10" s="10"/>
      <c r="U10" s="11" t="s">
        <v>349</v>
      </c>
      <c r="V10" s="12" t="s">
        <v>388</v>
      </c>
      <c r="W10" s="13"/>
      <c r="X10" s="14"/>
      <c r="Y10" s="29" t="s">
        <v>359</v>
      </c>
      <c r="Z10" s="27" t="s">
        <v>389</v>
      </c>
      <c r="AA10" s="13" t="s">
        <v>357</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349</v>
      </c>
      <c r="AW10" s="10"/>
      <c r="AX10" s="10"/>
      <c r="AY10" s="10"/>
      <c r="AZ10" s="10"/>
      <c r="BA10" s="10"/>
      <c r="BB10" s="10"/>
      <c r="BC10" s="10"/>
      <c r="BD10" s="10"/>
      <c r="BE10" s="11" t="str">
        <f t="shared" si="0"/>
        <v>x</v>
      </c>
    </row>
    <row r="11" spans="1:57" s="1" customFormat="1" ht="13.35" customHeight="1" x14ac:dyDescent="0.25">
      <c r="A11" s="2"/>
      <c r="B11" s="3" t="s">
        <v>35</v>
      </c>
      <c r="C11" s="4" t="s">
        <v>350</v>
      </c>
      <c r="D11" s="4" t="s">
        <v>351</v>
      </c>
      <c r="E11" s="4" t="s">
        <v>384</v>
      </c>
      <c r="F11" s="4" t="s">
        <v>351</v>
      </c>
      <c r="G11" s="4" t="s">
        <v>385</v>
      </c>
      <c r="H11" s="4" t="s">
        <v>351</v>
      </c>
      <c r="I11" s="5" t="s">
        <v>354</v>
      </c>
      <c r="J11" s="6"/>
      <c r="K11" s="7"/>
      <c r="L11" s="7" t="s">
        <v>390</v>
      </c>
      <c r="M11" s="8"/>
      <c r="N11" s="19" t="s">
        <v>356</v>
      </c>
      <c r="O11" s="26" t="s">
        <v>357</v>
      </c>
      <c r="P11" s="24" t="s">
        <v>357</v>
      </c>
      <c r="Q11" s="25" t="s">
        <v>357</v>
      </c>
      <c r="R11" s="21" t="s">
        <v>349</v>
      </c>
      <c r="S11" s="22"/>
      <c r="T11" s="10"/>
      <c r="U11" s="11" t="s">
        <v>349</v>
      </c>
      <c r="V11" s="12" t="s">
        <v>388</v>
      </c>
      <c r="W11" s="13"/>
      <c r="X11" s="14"/>
      <c r="Y11" s="29" t="s">
        <v>391</v>
      </c>
      <c r="Z11" s="27" t="s">
        <v>392</v>
      </c>
      <c r="AA11" s="13" t="s">
        <v>357</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349</v>
      </c>
      <c r="AW11" s="10"/>
      <c r="AX11" s="10"/>
      <c r="AY11" s="10"/>
      <c r="AZ11" s="10"/>
      <c r="BA11" s="10"/>
      <c r="BB11" s="10"/>
      <c r="BC11" s="10"/>
      <c r="BD11" s="10"/>
      <c r="BE11" s="11" t="str">
        <f t="shared" si="0"/>
        <v>x</v>
      </c>
    </row>
  </sheetData>
  <conditionalFormatting sqref="AC1:AI11">
    <cfRule type="cellIs" dxfId="17" priority="1" operator="equal">
      <formula>600</formula>
    </cfRule>
    <cfRule type="cellIs" dxfId="16" priority="2" operator="equal">
      <formula>500</formula>
    </cfRule>
    <cfRule type="cellIs" dxfId="15" priority="3" operator="equal">
      <formula>400</formula>
    </cfRule>
    <cfRule type="cellIs" dxfId="14" priority="4" operator="equal">
      <formula>300</formula>
    </cfRule>
    <cfRule type="cellIs" dxfId="13" priority="5" operator="equal">
      <formula>200</formula>
    </cfRule>
    <cfRule type="cellIs" dxfId="12"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8D98-0F56-4A46-A72F-AD8EEFE00187}">
  <sheetPr>
    <pageSetUpPr fitToPage="1"/>
  </sheetPr>
  <dimension ref="A1:BZ95"/>
  <sheetViews>
    <sheetView zoomScale="85" zoomScaleNormal="85" workbookViewId="0"/>
  </sheetViews>
  <sheetFormatPr baseColWidth="10" defaultColWidth="11.42578125" defaultRowHeight="15" x14ac:dyDescent="0.25"/>
  <cols>
    <col min="1" max="1" width="18.140625" style="37" customWidth="1"/>
    <col min="2" max="2" width="40.7109375" style="37" customWidth="1"/>
    <col min="3" max="3" width="1.7109375" style="37" customWidth="1"/>
    <col min="4" max="4" width="21.85546875" style="46" customWidth="1"/>
    <col min="5" max="5" width="1.7109375" style="37" customWidth="1"/>
    <col min="6" max="6" width="6.42578125" style="46" bestFit="1" customWidth="1"/>
    <col min="7" max="8" width="3.7109375" style="37" customWidth="1"/>
    <col min="9" max="10" width="35.7109375" style="37" customWidth="1"/>
    <col min="11" max="11" width="3.7109375" style="37" customWidth="1"/>
    <col min="12" max="12" width="35.7109375" style="37" customWidth="1"/>
    <col min="13" max="29" width="3.7109375" style="37" customWidth="1"/>
    <col min="30" max="30" width="8.28515625" style="37" bestFit="1" customWidth="1"/>
    <col min="31" max="53" width="3.7109375" style="37" customWidth="1"/>
    <col min="54" max="54" width="3.85546875" style="37" customWidth="1"/>
    <col min="55" max="55" width="6.42578125" style="47" bestFit="1" customWidth="1"/>
    <col min="56" max="62" width="2.7109375" style="37" customWidth="1"/>
    <col min="63" max="63" width="6.42578125" bestFit="1" customWidth="1"/>
    <col min="64" max="64" width="6.42578125" style="47" bestFit="1" customWidth="1"/>
    <col min="65" max="76" width="2.7109375" style="37" customWidth="1"/>
    <col min="77" max="79" width="11.42578125" style="37" customWidth="1"/>
    <col min="80" max="86" width="10.85546875" style="37" customWidth="1"/>
    <col min="87" max="103" width="5.28515625" style="37" bestFit="1" customWidth="1"/>
    <col min="104" max="104" width="8.42578125" style="37" bestFit="1" customWidth="1"/>
    <col min="105" max="127" width="5.28515625" style="37" bestFit="1" customWidth="1"/>
    <col min="128" max="16384" width="11.42578125" style="37"/>
  </cols>
  <sheetData>
    <row r="1" spans="1:76" ht="17.649999999999999" customHeight="1" x14ac:dyDescent="0.25">
      <c r="D1" s="43" t="s">
        <v>346</v>
      </c>
      <c r="F1" s="43" t="s">
        <v>293</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C1" s="43" t="s">
        <v>347</v>
      </c>
      <c r="BD1" s="43"/>
      <c r="BE1" s="43"/>
      <c r="BF1" s="43"/>
      <c r="BG1" s="43"/>
      <c r="BH1" s="43"/>
      <c r="BI1" s="43"/>
      <c r="BJ1" s="43"/>
      <c r="BL1" s="43" t="s">
        <v>333</v>
      </c>
      <c r="BM1" s="43"/>
      <c r="BN1" s="43"/>
      <c r="BO1" s="43"/>
      <c r="BP1" s="43"/>
      <c r="BQ1" s="43"/>
      <c r="BR1" s="43"/>
      <c r="BS1" s="43"/>
      <c r="BT1" s="43"/>
      <c r="BU1" s="43"/>
      <c r="BV1" s="43"/>
      <c r="BW1" s="43"/>
      <c r="BX1" s="43"/>
    </row>
    <row r="2" spans="1:76" s="38" customFormat="1" ht="162.75" x14ac:dyDescent="0.2">
      <c r="C2" s="37"/>
      <c r="D2" s="44" t="s">
        <v>982</v>
      </c>
      <c r="F2" s="44" t="s">
        <v>983</v>
      </c>
      <c r="G2" s="45" t="str">
        <f t="array" ref="G2:BA2">TRANSPOSE(Properties!K7:K53)</f>
        <v>Name</v>
      </c>
      <c r="H2" s="45" t="str">
        <v>LongName</v>
      </c>
      <c r="I2" s="45" t="str">
        <v>SIA_416_2003</v>
      </c>
      <c r="J2" s="45" t="str">
        <v>SIA_380_2015</v>
      </c>
      <c r="K2" s="45" t="str">
        <v>SIA_2024_2021</v>
      </c>
      <c r="L2" s="45" t="str">
        <v>SIA_d0165_2000</v>
      </c>
      <c r="M2" s="45" t="str">
        <v>RoomUsage</v>
      </c>
      <c r="N2" s="45" t="str">
        <v>RoomType</v>
      </c>
      <c r="O2" s="45" t="str">
        <v>UnitType</v>
      </c>
      <c r="P2" s="45" t="str">
        <v>UnitID</v>
      </c>
      <c r="Q2" s="45" t="str">
        <v>CAFM_ID</v>
      </c>
      <c r="R2" s="45" t="str">
        <v>RoomSignalLabel</v>
      </c>
      <c r="S2" s="45" t="str">
        <v>CleaningGroup</v>
      </c>
      <c r="T2" s="45" t="str">
        <v>AreaLoad</v>
      </c>
      <c r="U2" s="45" t="str">
        <v>PointLoad</v>
      </c>
      <c r="V2" s="45" t="str">
        <v>EnergyReferenceArea</v>
      </c>
      <c r="W2" s="45" t="str">
        <v>WindowsCleaningArea</v>
      </c>
      <c r="X2" s="45" t="str">
        <v>WindowsOpenable</v>
      </c>
      <c r="Y2" s="45" t="str">
        <v>Occupant</v>
      </c>
      <c r="Z2" s="45" t="str">
        <v>Shading</v>
      </c>
      <c r="AA2" s="45" t="str">
        <v>IsHumidified</v>
      </c>
      <c r="AB2" s="45" t="str">
        <v>IsDehumidified</v>
      </c>
      <c r="AC2" s="45" t="str">
        <v>IsRentable</v>
      </c>
      <c r="AD2" s="45" t="str">
        <v>IsExternal</v>
      </c>
      <c r="AE2" s="45" t="str">
        <v>OccupancyType</v>
      </c>
      <c r="AF2" s="45" t="str">
        <v>MinimumHeadroom</v>
      </c>
      <c r="AG2" s="45" t="str">
        <v>OccupancyNumberPeak</v>
      </c>
      <c r="AH2" s="45" t="str">
        <v>OccupancyNumber</v>
      </c>
      <c r="AI2" s="45" t="str">
        <v>FloorCovering</v>
      </c>
      <c r="AJ2" s="45" t="str">
        <v>WallCovering</v>
      </c>
      <c r="AK2" s="45" t="str">
        <v>CeilingCovering</v>
      </c>
      <c r="AL2" s="45" t="str">
        <v>NaturalVentilation</v>
      </c>
      <c r="AM2" s="45" t="str">
        <v>NaturalVentilationRate</v>
      </c>
      <c r="AN2" s="45" t="str">
        <v>MechanicalVentilation</v>
      </c>
      <c r="AO2" s="45" t="str">
        <v>MechanicalVentilationRate</v>
      </c>
      <c r="AP2" s="45" t="str">
        <v>AirConditioning</v>
      </c>
      <c r="AQ2" s="45" t="str">
        <v>TemperatureSetPoint</v>
      </c>
      <c r="AR2" s="45" t="str">
        <v>HumiditySetPoint</v>
      </c>
      <c r="AS2" s="45" t="str">
        <v>FireExit</v>
      </c>
      <c r="AT2" s="45" t="str">
        <v>GrossFloorArea</v>
      </c>
      <c r="AU2" s="45" t="str">
        <v>GrossVolume</v>
      </c>
      <c r="AV2" s="45" t="str">
        <v>NetFloorArea</v>
      </c>
      <c r="AW2" s="45" t="str">
        <v>NetVolume</v>
      </c>
      <c r="AX2" s="45" t="str">
        <v>NetWallArea</v>
      </c>
      <c r="AY2" s="45" t="str">
        <v>Height</v>
      </c>
      <c r="AZ2" s="45" t="str">
        <v>AboveGround</v>
      </c>
      <c r="BA2" s="45" t="str">
        <v>CostZone</v>
      </c>
      <c r="BC2" s="44" t="s">
        <v>141</v>
      </c>
      <c r="BD2" s="45"/>
      <c r="BE2" s="45"/>
      <c r="BF2" s="45"/>
      <c r="BG2" s="45"/>
      <c r="BH2" s="45"/>
      <c r="BI2" s="45"/>
      <c r="BJ2" s="45"/>
      <c r="BL2" s="44" t="s">
        <v>257</v>
      </c>
      <c r="BM2" s="45"/>
      <c r="BN2" s="45"/>
      <c r="BO2" s="45"/>
      <c r="BP2" s="45"/>
      <c r="BQ2" s="45"/>
      <c r="BR2" s="45"/>
      <c r="BS2" s="45"/>
      <c r="BT2" s="45"/>
      <c r="BU2" s="45"/>
      <c r="BV2" s="45"/>
      <c r="BW2" s="45"/>
      <c r="BX2" s="45"/>
    </row>
    <row r="3" spans="1:76" s="38" customFormat="1" ht="99" customHeight="1" x14ac:dyDescent="0.2">
      <c r="C3" s="37"/>
      <c r="D3" s="244"/>
      <c r="F3" s="244" t="s">
        <v>165</v>
      </c>
      <c r="G3" s="45" t="str">
        <f t="array" ref="G3:BA3">TRANSPOSE(Properties!F7:F53)</f>
        <v>IFMA_P_31020002</v>
      </c>
      <c r="H3" s="45" t="str">
        <v>IFMA_P_31020003</v>
      </c>
      <c r="I3" s="45" t="str">
        <v>IFMA_P_31020004</v>
      </c>
      <c r="J3" s="45" t="str">
        <v>IFMA_P_31020007</v>
      </c>
      <c r="K3" s="45" t="str">
        <v>IFMA_P_31020008</v>
      </c>
      <c r="L3" s="45" t="str">
        <v>IFMA_P_31020010</v>
      </c>
      <c r="M3" s="45" t="str">
        <v>IFMA_P_31020012</v>
      </c>
      <c r="N3" s="45" t="str">
        <v>IFMA_P_31020013</v>
      </c>
      <c r="O3" s="45" t="str">
        <v>IFMA_P_31020014</v>
      </c>
      <c r="P3" s="45" t="str">
        <v>IFMA_P_31020015</v>
      </c>
      <c r="Q3" s="45" t="str">
        <v>IFMA_P_31020016</v>
      </c>
      <c r="R3" s="45" t="str">
        <v>IFMA_P_31020017</v>
      </c>
      <c r="S3" s="45" t="str">
        <v>IFMA_P_31020018</v>
      </c>
      <c r="T3" s="45" t="str">
        <v>IFMA_P_31020019</v>
      </c>
      <c r="U3" s="45" t="str">
        <v>IFMA_P_31020020</v>
      </c>
      <c r="V3" s="45" t="str">
        <v>IFMA_P_31020021</v>
      </c>
      <c r="W3" s="45" t="str">
        <v>IFMA_P_31020022</v>
      </c>
      <c r="X3" s="45" t="str">
        <v>IFMA_P_31020023</v>
      </c>
      <c r="Y3" s="45" t="str">
        <v>IFMA_P_31020024</v>
      </c>
      <c r="Z3" s="45" t="str">
        <v>IFMA_P_31020025</v>
      </c>
      <c r="AA3" s="45" t="str">
        <v>IFMA_P_31020026</v>
      </c>
      <c r="AB3" s="45" t="str">
        <v>IFMA_P_31020027</v>
      </c>
      <c r="AC3" s="45" t="str">
        <v>IFMA_P_31020028</v>
      </c>
      <c r="AD3" s="45" t="str">
        <v>IFMA_P_31020029</v>
      </c>
      <c r="AE3" s="45" t="str">
        <v>IFMA_P_31020030</v>
      </c>
      <c r="AF3" s="45" t="str">
        <v>IFMA_P_31020031</v>
      </c>
      <c r="AG3" s="45" t="str">
        <v>IFMA_P_31020032</v>
      </c>
      <c r="AH3" s="45" t="str">
        <v>IFMA_P_31020033</v>
      </c>
      <c r="AI3" s="45" t="str">
        <v>IFMA_P_31020034</v>
      </c>
      <c r="AJ3" s="45" t="str">
        <v>IFMA_P_31020035</v>
      </c>
      <c r="AK3" s="45" t="str">
        <v>IFMA_P_31020036</v>
      </c>
      <c r="AL3" s="45" t="str">
        <v>IFMA_P_31020037</v>
      </c>
      <c r="AM3" s="45" t="str">
        <v>IFMA_P_31020038</v>
      </c>
      <c r="AN3" s="45" t="str">
        <v>IFMA_P_31020039</v>
      </c>
      <c r="AO3" s="45" t="str">
        <v>IFMA_P_31020040</v>
      </c>
      <c r="AP3" s="45" t="str">
        <v>IFMA_P_31020041</v>
      </c>
      <c r="AQ3" s="45" t="str">
        <v>IFMA_P_31020042</v>
      </c>
      <c r="AR3" s="45" t="str">
        <v>IFMA_P_31020043</v>
      </c>
      <c r="AS3" s="45" t="str">
        <v>IFMA_P_31020044</v>
      </c>
      <c r="AT3" s="45" t="str">
        <v>IFMA_P_31020045</v>
      </c>
      <c r="AU3" s="45" t="str">
        <v>IFMA_P_31020046</v>
      </c>
      <c r="AV3" s="45" t="str">
        <v>IFMA_P_31020047</v>
      </c>
      <c r="AW3" s="45" t="str">
        <v>IFMA_P_31020048</v>
      </c>
      <c r="AX3" s="45" t="str">
        <v>IFMA_P_31020049</v>
      </c>
      <c r="AY3" s="45" t="str">
        <v>IFMA_P_31020050</v>
      </c>
      <c r="AZ3" s="45" t="str">
        <v>IFMA_P_31020051</v>
      </c>
      <c r="BA3" s="45" t="str">
        <v>IFMA_P_31020052</v>
      </c>
      <c r="BC3" s="244"/>
      <c r="BD3" s="245"/>
      <c r="BE3" s="245"/>
      <c r="BF3" s="245"/>
      <c r="BG3" s="245"/>
      <c r="BH3" s="245"/>
      <c r="BI3" s="245"/>
      <c r="BJ3" s="245"/>
      <c r="BL3" s="244"/>
      <c r="BM3" s="245"/>
      <c r="BN3" s="245"/>
      <c r="BO3" s="245"/>
      <c r="BP3" s="245"/>
      <c r="BQ3" s="245"/>
      <c r="BR3" s="245"/>
      <c r="BS3" s="245"/>
      <c r="BT3" s="245"/>
      <c r="BU3" s="245"/>
      <c r="BV3" s="245"/>
      <c r="BW3" s="245"/>
      <c r="BX3" s="245"/>
    </row>
    <row r="4" spans="1:76" ht="18" customHeight="1" x14ac:dyDescent="0.25">
      <c r="A4" s="39" t="s">
        <v>116</v>
      </c>
      <c r="B4" s="39"/>
      <c r="D4" s="37"/>
      <c r="F4" s="37"/>
      <c r="BC4" s="37"/>
      <c r="BL4" s="37"/>
    </row>
    <row r="5" spans="1:76" s="50" customFormat="1" ht="25.5" customHeight="1" x14ac:dyDescent="0.2">
      <c r="A5" s="40" t="s">
        <v>969</v>
      </c>
      <c r="B5" s="40" t="s">
        <v>348</v>
      </c>
      <c r="C5" s="37"/>
      <c r="D5" s="48"/>
      <c r="E5" s="41"/>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C5" s="51"/>
      <c r="BL5" s="51"/>
    </row>
    <row r="6" spans="1:76" ht="14.25" customHeight="1" x14ac:dyDescent="0.25">
      <c r="D6" s="37"/>
      <c r="F6" s="55"/>
      <c r="H6" s="55"/>
      <c r="J6" s="55"/>
      <c r="BC6" s="37"/>
      <c r="BF6" s="50"/>
      <c r="BG6" s="51"/>
      <c r="BH6" s="50"/>
      <c r="BI6" s="50"/>
      <c r="BJ6" s="50"/>
      <c r="BK6" s="50"/>
      <c r="BL6" s="37"/>
      <c r="BO6"/>
      <c r="BP6" s="51"/>
    </row>
    <row r="7" spans="1:76" s="67" customFormat="1" ht="6" customHeight="1" x14ac:dyDescent="0.25">
      <c r="A7" s="268"/>
      <c r="B7" s="269"/>
      <c r="C7" s="251"/>
      <c r="D7" s="252"/>
      <c r="E7" s="253"/>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1"/>
      <c r="BC7" s="254"/>
      <c r="BD7" s="251"/>
      <c r="BE7" s="251"/>
      <c r="BF7" s="251"/>
      <c r="BG7" s="251"/>
      <c r="BH7" s="251"/>
      <c r="BI7" s="251"/>
      <c r="BJ7" s="251"/>
      <c r="BK7" s="251"/>
      <c r="BL7" s="254"/>
      <c r="BM7" s="251"/>
      <c r="BN7" s="251"/>
      <c r="BO7" s="251"/>
      <c r="BP7" s="251"/>
      <c r="BQ7" s="251"/>
      <c r="BR7" s="251"/>
      <c r="BS7" s="251"/>
      <c r="BT7" s="251"/>
      <c r="BU7" s="251"/>
      <c r="BV7" s="251"/>
      <c r="BW7" s="251"/>
      <c r="BX7" s="255"/>
    </row>
    <row r="8" spans="1:76" s="67" customFormat="1" ht="18" customHeight="1" x14ac:dyDescent="0.25">
      <c r="A8" s="272" t="s">
        <v>972</v>
      </c>
      <c r="B8" s="288" t="s">
        <v>973</v>
      </c>
      <c r="C8" s="288"/>
      <c r="D8" s="288"/>
      <c r="E8" s="249"/>
      <c r="F8" s="248"/>
      <c r="G8" s="256"/>
      <c r="H8" s="256"/>
      <c r="I8" s="257" t="s">
        <v>971</v>
      </c>
      <c r="J8" s="257"/>
      <c r="K8" s="257"/>
      <c r="L8" s="257"/>
      <c r="M8" s="248"/>
      <c r="N8" s="248"/>
      <c r="O8" s="273"/>
      <c r="P8" s="273"/>
      <c r="Q8" s="257" t="s">
        <v>996</v>
      </c>
      <c r="R8" s="257"/>
      <c r="S8" s="257"/>
      <c r="T8" s="257"/>
      <c r="U8" s="257"/>
      <c r="V8" s="257"/>
      <c r="W8" s="257"/>
      <c r="X8" s="257"/>
      <c r="Y8" s="257"/>
      <c r="Z8" s="257"/>
      <c r="AA8" s="257"/>
      <c r="AB8" s="257"/>
      <c r="AC8" s="257"/>
      <c r="AD8" s="257"/>
      <c r="AE8" s="257"/>
      <c r="AF8" s="248"/>
      <c r="AG8" s="248"/>
      <c r="AH8" s="248"/>
      <c r="AI8" s="248"/>
      <c r="AJ8" s="248"/>
      <c r="AK8" s="248"/>
      <c r="AL8" s="248"/>
      <c r="AM8" s="248"/>
      <c r="AN8" s="248"/>
      <c r="AO8" s="248"/>
      <c r="AP8" s="248"/>
      <c r="AQ8" s="248"/>
      <c r="AR8" s="248"/>
      <c r="AS8" s="248"/>
      <c r="AT8" s="248"/>
      <c r="AU8" s="248"/>
      <c r="AV8" s="248"/>
      <c r="AW8" s="248"/>
      <c r="AX8" s="248"/>
      <c r="AY8" s="248"/>
      <c r="AZ8" s="248"/>
      <c r="BA8" s="248"/>
      <c r="BB8" s="247"/>
      <c r="BC8" s="250"/>
      <c r="BD8" s="247"/>
      <c r="BE8" s="247"/>
      <c r="BF8" s="247"/>
      <c r="BG8" s="247"/>
      <c r="BH8" s="247"/>
      <c r="BI8" s="247"/>
      <c r="BJ8" s="247"/>
      <c r="BK8" s="247"/>
      <c r="BL8" s="250"/>
      <c r="BM8" s="247"/>
      <c r="BN8" s="247"/>
      <c r="BO8" s="247"/>
      <c r="BP8" s="247"/>
      <c r="BQ8" s="247"/>
      <c r="BR8" s="247"/>
      <c r="BS8" s="247"/>
      <c r="BT8" s="247"/>
      <c r="BU8" s="247"/>
      <c r="BV8" s="247"/>
      <c r="BW8" s="247"/>
      <c r="BX8" s="258"/>
    </row>
    <row r="9" spans="1:76" s="67" customFormat="1" ht="6" customHeight="1" x14ac:dyDescent="0.25">
      <c r="A9" s="270"/>
      <c r="B9" s="271"/>
      <c r="C9" s="259"/>
      <c r="D9" s="260"/>
      <c r="E9" s="261"/>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59"/>
      <c r="BC9" s="262"/>
      <c r="BD9" s="259"/>
      <c r="BE9" s="259"/>
      <c r="BF9" s="259"/>
      <c r="BG9" s="259"/>
      <c r="BH9" s="259"/>
      <c r="BI9" s="259"/>
      <c r="BJ9" s="259"/>
      <c r="BK9" s="259"/>
      <c r="BL9" s="262"/>
      <c r="BM9" s="259"/>
      <c r="BN9" s="259"/>
      <c r="BO9" s="259"/>
      <c r="BP9" s="259"/>
      <c r="BQ9" s="259"/>
      <c r="BR9" s="259"/>
      <c r="BS9" s="259"/>
      <c r="BT9" s="259"/>
      <c r="BU9" s="259"/>
      <c r="BV9" s="259"/>
      <c r="BW9" s="259"/>
      <c r="BX9" s="263"/>
    </row>
    <row r="10" spans="1:76" s="52" customFormat="1" ht="18" x14ac:dyDescent="0.2">
      <c r="A10" s="246" t="str">
        <f>Classes!J7</f>
        <v>IFMA_C_31010000</v>
      </c>
      <c r="B10" s="246" t="str">
        <f>Classes!P7</f>
        <v>Geschoss</v>
      </c>
      <c r="C10" s="37"/>
      <c r="D10" s="246" t="s">
        <v>884</v>
      </c>
      <c r="E10" s="41"/>
      <c r="F10" s="51"/>
      <c r="G10" s="42" t="str">
        <f>IF(VLOOKUP($A10,Data_Template!$A$6:$BA$16,COLUMNS($A:A)+6,0)=0,"",VLOOKUP($A10,Data_Template!$A$6:$BA$16,COLUMNS($A:A)+6,0))</f>
        <v>x</v>
      </c>
      <c r="H10" s="246"/>
      <c r="I10" s="246" t="str">
        <f>IF(VLOOKUP($A10,Data_Template!$A$6:$BA$16,COLUMNS($A:C)+6,0)=0,"",VLOOKUP($A10,Data_Template!$A$6:$BA$16,COLUMNS($A:C)+6,0))</f>
        <v/>
      </c>
      <c r="J10" s="246" t="str">
        <f>IF(VLOOKUP($A10,Data_Template!$A$6:$BA$16,COLUMNS($A:D)+6,0)=0,"",VLOOKUP($A10,Data_Template!$A$6:$BA$16,COLUMNS($A:D)+6,0))</f>
        <v/>
      </c>
      <c r="K10" s="246" t="str">
        <f>IF(VLOOKUP($A10,Data_Template!$A$6:$BA$16,COLUMNS($A:E)+6,0)=0,"",VLOOKUP($A10,Data_Template!$A$6:$BA$16,COLUMNS($A:E)+6,0))</f>
        <v/>
      </c>
      <c r="L10" s="246" t="str">
        <f>IF(VLOOKUP($A10,Data_Template!$A$6:$BA$16,COLUMNS($A:F)+6,0)=0,"",VLOOKUP($A10,Data_Template!$A$6:$BA$16,COLUMNS($A:F)+6,0))</f>
        <v/>
      </c>
      <c r="M10" s="246" t="str">
        <f>IF(VLOOKUP($A10,Data_Template!$A$6:$BA$16,COLUMNS($A:G)+6,0)=0,"",VLOOKUP($A10,Data_Template!$A$6:$BA$16,COLUMNS($A:G)+6,0))</f>
        <v/>
      </c>
      <c r="N10" s="246" t="str">
        <f>IF(VLOOKUP($A10,Data_Template!$A$6:$BA$16,COLUMNS($A:H)+6,0)=0,"",VLOOKUP($A10,Data_Template!$A$6:$BA$16,COLUMNS($A:H)+6,0))</f>
        <v/>
      </c>
      <c r="O10" s="246" t="str">
        <f>IF(VLOOKUP($A10,Data_Template!$A$6:$BA$16,COLUMNS($A:I)+6,0)=0,"",VLOOKUP($A10,Data_Template!$A$6:$BA$16,COLUMNS($A:I)+6,0))</f>
        <v/>
      </c>
      <c r="P10" s="246" t="str">
        <f>IF(VLOOKUP($A10,Data_Template!$A$6:$BA$16,COLUMNS($A:J)+6,0)=0,"",VLOOKUP($A10,Data_Template!$A$6:$BA$16,COLUMNS($A:J)+6,0))</f>
        <v/>
      </c>
      <c r="Q10" s="246"/>
      <c r="R10" s="246" t="str">
        <f>IF(VLOOKUP($A10,Data_Template!$A$6:$BA$16,COLUMNS($A:L)+6,0)=0,"",VLOOKUP($A10,Data_Template!$A$6:$BA$16,COLUMNS($A:L)+6,0))</f>
        <v/>
      </c>
      <c r="S10" s="246" t="str">
        <f>IF(VLOOKUP($A10,Data_Template!$A$6:$BA$16,COLUMNS($A:M)+6,0)=0,"",VLOOKUP($A10,Data_Template!$A$6:$BA$16,COLUMNS($A:M)+6,0))</f>
        <v/>
      </c>
      <c r="T10" s="246" t="str">
        <f>IF(VLOOKUP($A10,Data_Template!$A$6:$BA$16,COLUMNS($A:N)+6,0)=0,"",VLOOKUP($A10,Data_Template!$A$6:$BA$16,COLUMNS($A:N)+6,0))</f>
        <v/>
      </c>
      <c r="U10" s="246" t="str">
        <f>IF(VLOOKUP($A10,Data_Template!$A$6:$BA$16,COLUMNS($A:O)+6,0)=0,"",VLOOKUP($A10,Data_Template!$A$6:$BA$16,COLUMNS($A:O)+6,0))</f>
        <v/>
      </c>
      <c r="V10" s="246" t="str">
        <f>IF(VLOOKUP($A10,Data_Template!$A$6:$BA$16,COLUMNS($A:P)+6,0)=0,"",VLOOKUP($A10,Data_Template!$A$6:$BA$16,COLUMNS($A:P)+6,0))</f>
        <v/>
      </c>
      <c r="W10" s="246" t="str">
        <f>IF(VLOOKUP($A10,Data_Template!$A$6:$BA$16,COLUMNS($A:Q)+6,0)=0,"",VLOOKUP($A10,Data_Template!$A$6:$BA$16,COLUMNS($A:Q)+6,0))</f>
        <v/>
      </c>
      <c r="X10" s="246" t="str">
        <f>IF(VLOOKUP($A10,Data_Template!$A$6:$BA$16,COLUMNS($A:R)+6,0)=0,"",VLOOKUP($A10,Data_Template!$A$6:$BA$16,COLUMNS($A:R)+6,0))</f>
        <v/>
      </c>
      <c r="Y10" s="246" t="str">
        <f>IF(VLOOKUP($A10,Data_Template!$A$6:$BA$16,COLUMNS($A:S)+6,0)=0,"",VLOOKUP($A10,Data_Template!$A$6:$BA$16,COLUMNS($A:S)+6,0))</f>
        <v/>
      </c>
      <c r="Z10" s="246" t="str">
        <f>IF(VLOOKUP($A10,Data_Template!$A$6:$BA$16,COLUMNS($A:T)+6,0)=0,"",VLOOKUP($A10,Data_Template!$A$6:$BA$16,COLUMNS($A:T)+6,0))</f>
        <v/>
      </c>
      <c r="AA10" s="246" t="str">
        <f>IF(VLOOKUP($A10,Data_Template!$A$6:$BA$16,COLUMNS($A:U)+6,0)=0,"",VLOOKUP($A10,Data_Template!$A$6:$BA$16,COLUMNS($A:U)+6,0))</f>
        <v/>
      </c>
      <c r="AB10" s="246" t="str">
        <f>IF(VLOOKUP($A10,Data_Template!$A$6:$BA$16,COLUMNS($A:V)+6,0)=0,"",VLOOKUP($A10,Data_Template!$A$6:$BA$16,COLUMNS($A:V)+6,0))</f>
        <v/>
      </c>
      <c r="AC10" s="246" t="str">
        <f>IF(VLOOKUP($A10,Data_Template!$A$6:$BA$16,COLUMNS($A:W)+6,0)=0,"",VLOOKUP($A10,Data_Template!$A$6:$BA$16,COLUMNS($A:W)+6,0))</f>
        <v/>
      </c>
      <c r="AD10" s="246" t="str">
        <f>IF(VLOOKUP($A10,Data_Template!$A$6:$BA$16,COLUMNS($A:X)+6,0)=0,"",VLOOKUP($A10,Data_Template!$A$6:$BA$16,COLUMNS($A:X)+6,0))</f>
        <v/>
      </c>
      <c r="AE10" s="246" t="str">
        <f>IF(VLOOKUP($A10,Data_Template!$A$6:$BA$16,COLUMNS($A:Y)+6,0)=0,"",VLOOKUP($A10,Data_Template!$A$6:$BA$16,COLUMNS($A:Y)+6,0))</f>
        <v/>
      </c>
      <c r="AF10" s="246" t="str">
        <f>IF(VLOOKUP($A10,Data_Template!$A$6:$BA$16,COLUMNS($A:Z)+6,0)=0,"",VLOOKUP($A10,Data_Template!$A$6:$BA$16,COLUMNS($A:Z)+6,0))</f>
        <v/>
      </c>
      <c r="AG10" s="246" t="str">
        <f>IF(VLOOKUP($A10,Data_Template!$A$6:$BA$16,COLUMNS($A:AA)+6,0)=0,"",VLOOKUP($A10,Data_Template!$A$6:$BA$16,COLUMNS($A:AA)+6,0))</f>
        <v/>
      </c>
      <c r="AH10" s="246" t="str">
        <f>IF(VLOOKUP($A10,Data_Template!$A$6:$BA$16,COLUMNS($A:AB)+6,0)=0,"",VLOOKUP($A10,Data_Template!$A$6:$BA$16,COLUMNS($A:AB)+6,0))</f>
        <v/>
      </c>
      <c r="AI10" s="246" t="str">
        <f>IF(VLOOKUP($A10,Data_Template!$A$6:$BA$16,COLUMNS($A:AC)+6,0)=0,"",VLOOKUP($A10,Data_Template!$A$6:$BA$16,COLUMNS($A:AC)+6,0))</f>
        <v/>
      </c>
      <c r="AJ10" s="246" t="str">
        <f>IF(VLOOKUP($A10,Data_Template!$A$6:$BA$16,COLUMNS($A:AD)+6,0)=0,"",VLOOKUP($A10,Data_Template!$A$6:$BA$16,COLUMNS($A:AD)+6,0))</f>
        <v/>
      </c>
      <c r="AK10" s="246" t="str">
        <f>IF(VLOOKUP($A10,Data_Template!$A$6:$BA$16,COLUMNS($A:AE)+6,0)=0,"",VLOOKUP($A10,Data_Template!$A$6:$BA$16,COLUMNS($A:AE)+6,0))</f>
        <v/>
      </c>
      <c r="AL10" s="246" t="str">
        <f>IF(VLOOKUP($A10,Data_Template!$A$6:$BA$16,COLUMNS($A:AF)+6,0)=0,"",VLOOKUP($A10,Data_Template!$A$6:$BA$16,COLUMNS($A:AF)+6,0))</f>
        <v/>
      </c>
      <c r="AM10" s="246" t="str">
        <f>IF(VLOOKUP($A10,Data_Template!$A$6:$BA$16,COLUMNS($A:AG)+6,0)=0,"",VLOOKUP($A10,Data_Template!$A$6:$BA$16,COLUMNS($A:AG)+6,0))</f>
        <v/>
      </c>
      <c r="AN10" s="246" t="str">
        <f>IF(VLOOKUP($A10,Data_Template!$A$6:$BA$16,COLUMNS($A:AH)+6,0)=0,"",VLOOKUP($A10,Data_Template!$A$6:$BA$16,COLUMNS($A:AH)+6,0))</f>
        <v/>
      </c>
      <c r="AO10" s="246" t="str">
        <f>IF(VLOOKUP($A10,Data_Template!$A$6:$BA$16,COLUMNS($A:AI)+6,0)=0,"",VLOOKUP($A10,Data_Template!$A$6:$BA$16,COLUMNS($A:AI)+6,0))</f>
        <v/>
      </c>
      <c r="AP10" s="246" t="str">
        <f>IF(VLOOKUP($A10,Data_Template!$A$6:$BA$16,COLUMNS($A:AJ)+6,0)=0,"",VLOOKUP($A10,Data_Template!$A$6:$BA$16,COLUMNS($A:AJ)+6,0))</f>
        <v/>
      </c>
      <c r="AQ10" s="246" t="str">
        <f>IF(VLOOKUP($A10,Data_Template!$A$6:$BA$16,COLUMNS($A:AK)+6,0)=0,"",VLOOKUP($A10,Data_Template!$A$6:$BA$16,COLUMNS($A:AK)+6,0))</f>
        <v/>
      </c>
      <c r="AR10" s="246" t="str">
        <f>IF(VLOOKUP($A10,Data_Template!$A$6:$BA$16,COLUMNS($A:AL)+6,0)=0,"",VLOOKUP($A10,Data_Template!$A$6:$BA$16,COLUMNS($A:AL)+6,0))</f>
        <v/>
      </c>
      <c r="AS10" s="246" t="str">
        <f>IF(VLOOKUP($A10,Data_Template!$A$6:$BA$16,COLUMNS($A:AM)+6,0)=0,"",VLOOKUP($A10,Data_Template!$A$6:$BA$16,COLUMNS($A:AM)+6,0))</f>
        <v/>
      </c>
      <c r="AT10" s="246" t="str">
        <f>IF(VLOOKUP($A10,Data_Template!$A$6:$BA$16,COLUMNS($A:AN)+6,0)=0,"",VLOOKUP($A10,Data_Template!$A$6:$BA$16,COLUMNS($A:AN)+6,0))</f>
        <v/>
      </c>
      <c r="AU10" s="246" t="str">
        <f>IF(VLOOKUP($A10,Data_Template!$A$6:$BA$16,COLUMNS($A:AO)+6,0)=0,"",VLOOKUP($A10,Data_Template!$A$6:$BA$16,COLUMNS($A:AO)+6,0))</f>
        <v/>
      </c>
      <c r="AV10" s="246" t="str">
        <f>IF(VLOOKUP($A10,Data_Template!$A$6:$BA$16,COLUMNS($A:AP)+6,0)=0,"",VLOOKUP($A10,Data_Template!$A$6:$BA$16,COLUMNS($A:AP)+6,0))</f>
        <v/>
      </c>
      <c r="AW10" s="246" t="str">
        <f>IF(VLOOKUP($A10,Data_Template!$A$6:$BA$16,COLUMNS($A:AQ)+6,0)=0,"",VLOOKUP($A10,Data_Template!$A$6:$BA$16,COLUMNS($A:AQ)+6,0))</f>
        <v/>
      </c>
      <c r="AX10" s="246" t="str">
        <f>IF(VLOOKUP($A10,Data_Template!$A$6:$BA$16,COLUMNS($A:AR)+6,0)=0,"",VLOOKUP($A10,Data_Template!$A$6:$BA$16,COLUMNS($A:AR)+6,0))</f>
        <v/>
      </c>
      <c r="AY10" s="246" t="str">
        <f>IF(VLOOKUP($A10,Data_Template!$A$6:$BA$16,COLUMNS($A:AS)+6,0)=0,"",VLOOKUP($A10,Data_Template!$A$6:$BA$16,COLUMNS($A:AS)+6,0))</f>
        <v/>
      </c>
      <c r="AZ10" s="246" t="str">
        <f>IF(VLOOKUP($A10,Data_Template!$A$6:$BA$16,COLUMNS($A:AT)+6,0)=0,"",VLOOKUP($A10,Data_Template!$A$6:$BA$16,COLUMNS($A:AT)+6,0))</f>
        <v/>
      </c>
      <c r="BA10" s="246" t="str">
        <f>IF(VLOOKUP($A10,Data_Template!$A$6:$BA$16,COLUMNS($A:AU)+6,0)=0,"",VLOOKUP($A10,Data_Template!$A$6:$BA$16,COLUMNS($A:AU)+6,0))</f>
        <v/>
      </c>
      <c r="BB10" s="50"/>
      <c r="BC10" s="246"/>
      <c r="BD10" s="246"/>
      <c r="BE10" s="246"/>
      <c r="BF10" s="246"/>
      <c r="BG10" s="246"/>
      <c r="BH10" s="246"/>
      <c r="BI10" s="246"/>
      <c r="BJ10" s="246"/>
      <c r="BL10" s="246"/>
      <c r="BM10" s="246"/>
      <c r="BN10" s="246"/>
      <c r="BO10" s="246"/>
      <c r="BP10" s="246"/>
      <c r="BQ10" s="246"/>
      <c r="BR10" s="246"/>
      <c r="BS10" s="246"/>
      <c r="BT10" s="246"/>
      <c r="BU10" s="246"/>
      <c r="BV10" s="246"/>
      <c r="BW10" s="246"/>
      <c r="BX10" s="246"/>
    </row>
    <row r="11" spans="1:76" s="51" customFormat="1" ht="14.25" x14ac:dyDescent="0.2">
      <c r="A11" s="42" t="str">
        <f>Classes!J8</f>
        <v>IFMA_C_31010001</v>
      </c>
      <c r="B11" s="246" t="str">
        <f>Classes!P8</f>
        <v>Grundstückfläche</v>
      </c>
      <c r="C11" s="37"/>
      <c r="D11" s="42" t="s">
        <v>884</v>
      </c>
      <c r="E11" s="41"/>
      <c r="G11" s="42" t="str">
        <f>IF(VLOOKUP($A11,Data_Template!$A$6:$BA$16,COLUMNS($A:A)+6,0)=0,"",VLOOKUP($A11,Data_Template!$A$6:$BA$16,COLUMNS($A:A)+6,0))</f>
        <v/>
      </c>
      <c r="H11" s="42" t="str">
        <f>IF(VLOOKUP($A11,Data_Template!$A$6:$BA$16,COLUMNS($A:B)+6,0)=0,"",VLOOKUP($A11,Data_Template!$A$6:$BA$16,COLUMNS($A:B)+6,0))</f>
        <v/>
      </c>
      <c r="I11" s="42" t="str">
        <f>IF(VLOOKUP($A11,Data_Template!$A$6:$BA$16,COLUMNS($A:C)+6,0)=0,"",VLOOKUP($A11,Data_Template!$A$6:$BA$16,COLUMNS($A:C)+6,0))</f>
        <v>["1_GSF", "1_ST", "1_SF"]</v>
      </c>
      <c r="J11" s="42" t="str">
        <f>IF(VLOOKUP($A11,Data_Template!$A$6:$BA$16,COLUMNS($A:D)+6,0)=0,"",VLOOKUP($A11,Data_Template!$A$6:$BA$16,COLUMNS($A:D)+6,0))</f>
        <v/>
      </c>
      <c r="K11" s="42" t="str">
        <f>IF(VLOOKUP($A11,Data_Template!$A$6:$BA$16,COLUMNS($A:E)+6,0)=0,"",VLOOKUP($A11,Data_Template!$A$6:$BA$16,COLUMNS($A:E)+6,0))</f>
        <v/>
      </c>
      <c r="L11" s="42" t="str">
        <f>IF(VLOOKUP($A11,Data_Template!$A$6:$BA$16,COLUMNS($A:F)+6,0)=0,"",VLOOKUP($A11,Data_Template!$A$6:$BA$16,COLUMNS($A:F)+6,0))</f>
        <v/>
      </c>
      <c r="M11" s="42" t="str">
        <f>IF(VLOOKUP($A11,Data_Template!$A$6:$BA$16,COLUMNS($A:G)+6,0)=0,"",VLOOKUP($A11,Data_Template!$A$6:$BA$16,COLUMNS($A:G)+6,0))</f>
        <v/>
      </c>
      <c r="N11" s="42" t="str">
        <f>IF(VLOOKUP($A11,Data_Template!$A$6:$BA$16,COLUMNS($A:H)+6,0)=0,"",VLOOKUP($A11,Data_Template!$A$6:$BA$16,COLUMNS($A:H)+6,0))</f>
        <v/>
      </c>
      <c r="O11" s="42" t="str">
        <f>IF(VLOOKUP($A11,Data_Template!$A$6:$BA$16,COLUMNS($A:I)+6,0)=0,"",VLOOKUP($A11,Data_Template!$A$6:$BA$16,COLUMNS($A:I)+6,0))</f>
        <v/>
      </c>
      <c r="P11" s="42" t="str">
        <f>IF(VLOOKUP($A11,Data_Template!$A$6:$BA$16,COLUMNS($A:J)+6,0)=0,"",VLOOKUP($A11,Data_Template!$A$6:$BA$16,COLUMNS($A:J)+6,0))</f>
        <v/>
      </c>
      <c r="Q11" s="42" t="str">
        <f>IF(VLOOKUP($A11,Data_Template!$A$6:$BA$16,COLUMNS($A:K)+6,0)=0,"",VLOOKUP($A11,Data_Template!$A$6:$BA$16,COLUMNS($A:K)+6,0))</f>
        <v/>
      </c>
      <c r="R11" s="42" t="str">
        <f>IF(VLOOKUP($A11,Data_Template!$A$6:$BA$16,COLUMNS($A:L)+6,0)=0,"",VLOOKUP($A11,Data_Template!$A$6:$BA$16,COLUMNS($A:L)+6,0))</f>
        <v/>
      </c>
      <c r="S11" s="42" t="str">
        <f>IF(VLOOKUP($A11,Data_Template!$A$6:$BA$16,COLUMNS($A:M)+6,0)=0,"",VLOOKUP($A11,Data_Template!$A$6:$BA$16,COLUMNS($A:M)+6,0))</f>
        <v/>
      </c>
      <c r="T11" s="42" t="str">
        <f>IF(VLOOKUP($A11,Data_Template!$A$6:$BA$16,COLUMNS($A:N)+6,0)=0,"",VLOOKUP($A11,Data_Template!$A$6:$BA$16,COLUMNS($A:N)+6,0))</f>
        <v/>
      </c>
      <c r="U11" s="42" t="str">
        <f>IF(VLOOKUP($A11,Data_Template!$A$6:$BA$16,COLUMNS($A:O)+6,0)=0,"",VLOOKUP($A11,Data_Template!$A$6:$BA$16,COLUMNS($A:O)+6,0))</f>
        <v/>
      </c>
      <c r="V11" s="42" t="str">
        <f>IF(VLOOKUP($A11,Data_Template!$A$6:$BA$16,COLUMNS($A:P)+6,0)=0,"",VLOOKUP($A11,Data_Template!$A$6:$BA$16,COLUMNS($A:P)+6,0))</f>
        <v/>
      </c>
      <c r="W11" s="42" t="str">
        <f>IF(VLOOKUP($A11,Data_Template!$A$6:$BA$16,COLUMNS($A:Q)+6,0)=0,"",VLOOKUP($A11,Data_Template!$A$6:$BA$16,COLUMNS($A:Q)+6,0))</f>
        <v/>
      </c>
      <c r="X11" s="42" t="str">
        <f>IF(VLOOKUP($A11,Data_Template!$A$6:$BA$16,COLUMNS($A:R)+6,0)=0,"",VLOOKUP($A11,Data_Template!$A$6:$BA$16,COLUMNS($A:R)+6,0))</f>
        <v/>
      </c>
      <c r="Y11" s="42" t="str">
        <f>IF(VLOOKUP($A11,Data_Template!$A$6:$BA$16,COLUMNS($A:S)+6,0)=0,"",VLOOKUP($A11,Data_Template!$A$6:$BA$16,COLUMNS($A:S)+6,0))</f>
        <v/>
      </c>
      <c r="Z11" s="42" t="str">
        <f>IF(VLOOKUP($A11,Data_Template!$A$6:$BA$16,COLUMNS($A:T)+6,0)=0,"",VLOOKUP($A11,Data_Template!$A$6:$BA$16,COLUMNS($A:T)+6,0))</f>
        <v/>
      </c>
      <c r="AA11" s="42" t="str">
        <f>IF(VLOOKUP($A11,Data_Template!$A$6:$BA$16,COLUMNS($A:U)+6,0)=0,"",VLOOKUP($A11,Data_Template!$A$6:$BA$16,COLUMNS($A:U)+6,0))</f>
        <v/>
      </c>
      <c r="AB11" s="42" t="str">
        <f>IF(VLOOKUP($A11,Data_Template!$A$6:$BA$16,COLUMNS($A:V)+6,0)=0,"",VLOOKUP($A11,Data_Template!$A$6:$BA$16,COLUMNS($A:V)+6,0))</f>
        <v/>
      </c>
      <c r="AC11" s="42" t="str">
        <f>IF(VLOOKUP($A11,Data_Template!$A$6:$BA$16,COLUMNS($A:W)+6,0)=0,"",VLOOKUP($A11,Data_Template!$A$6:$BA$16,COLUMNS($A:W)+6,0))</f>
        <v/>
      </c>
      <c r="AD11" s="42" t="str">
        <f>IF(VLOOKUP($A11,Data_Template!$A$6:$BA$16,COLUMNS($A:X)+6,0)=0,"",VLOOKUP($A11,Data_Template!$A$6:$BA$16,COLUMNS($A:X)+6,0))</f>
        <v/>
      </c>
      <c r="AE11" s="42" t="str">
        <f>IF(VLOOKUP($A11,Data_Template!$A$6:$BA$16,COLUMNS($A:Y)+6,0)=0,"",VLOOKUP($A11,Data_Template!$A$6:$BA$16,COLUMNS($A:Y)+6,0))</f>
        <v/>
      </c>
      <c r="AF11" s="42" t="str">
        <f>IF(VLOOKUP($A11,Data_Template!$A$6:$BA$16,COLUMNS($A:Z)+6,0)=0,"",VLOOKUP($A11,Data_Template!$A$6:$BA$16,COLUMNS($A:Z)+6,0))</f>
        <v/>
      </c>
      <c r="AG11" s="42" t="str">
        <f>IF(VLOOKUP($A11,Data_Template!$A$6:$BA$16,COLUMNS($A:AA)+6,0)=0,"",VLOOKUP($A11,Data_Template!$A$6:$BA$16,COLUMNS($A:AA)+6,0))</f>
        <v/>
      </c>
      <c r="AH11" s="42" t="str">
        <f>IF(VLOOKUP($A11,Data_Template!$A$6:$BA$16,COLUMNS($A:AB)+6,0)=0,"",VLOOKUP($A11,Data_Template!$A$6:$BA$16,COLUMNS($A:AB)+6,0))</f>
        <v/>
      </c>
      <c r="AI11" s="42" t="str">
        <f>IF(VLOOKUP($A11,Data_Template!$A$6:$BA$16,COLUMNS($A:AC)+6,0)=0,"",VLOOKUP($A11,Data_Template!$A$6:$BA$16,COLUMNS($A:AC)+6,0))</f>
        <v/>
      </c>
      <c r="AJ11" s="42" t="str">
        <f>IF(VLOOKUP($A11,Data_Template!$A$6:$BA$16,COLUMNS($A:AD)+6,0)=0,"",VLOOKUP($A11,Data_Template!$A$6:$BA$16,COLUMNS($A:AD)+6,0))</f>
        <v/>
      </c>
      <c r="AK11" s="42" t="str">
        <f>IF(VLOOKUP($A11,Data_Template!$A$6:$BA$16,COLUMNS($A:AE)+6,0)=0,"",VLOOKUP($A11,Data_Template!$A$6:$BA$16,COLUMNS($A:AE)+6,0))</f>
        <v/>
      </c>
      <c r="AL11" s="42" t="str">
        <f>IF(VLOOKUP($A11,Data_Template!$A$6:$BA$16,COLUMNS($A:AF)+6,0)=0,"",VLOOKUP($A11,Data_Template!$A$6:$BA$16,COLUMNS($A:AF)+6,0))</f>
        <v/>
      </c>
      <c r="AM11" s="42" t="str">
        <f>IF(VLOOKUP($A11,Data_Template!$A$6:$BA$16,COLUMNS($A:AG)+6,0)=0,"",VLOOKUP($A11,Data_Template!$A$6:$BA$16,COLUMNS($A:AG)+6,0))</f>
        <v/>
      </c>
      <c r="AN11" s="42" t="str">
        <f>IF(VLOOKUP($A11,Data_Template!$A$6:$BA$16,COLUMNS($A:AH)+6,0)=0,"",VLOOKUP($A11,Data_Template!$A$6:$BA$16,COLUMNS($A:AH)+6,0))</f>
        <v/>
      </c>
      <c r="AO11" s="42" t="str">
        <f>IF(VLOOKUP($A11,Data_Template!$A$6:$BA$16,COLUMNS($A:AI)+6,0)=0,"",VLOOKUP($A11,Data_Template!$A$6:$BA$16,COLUMNS($A:AI)+6,0))</f>
        <v/>
      </c>
      <c r="AP11" s="42" t="str">
        <f>IF(VLOOKUP($A11,Data_Template!$A$6:$BA$16,COLUMNS($A:AJ)+6,0)=0,"",VLOOKUP($A11,Data_Template!$A$6:$BA$16,COLUMNS($A:AJ)+6,0))</f>
        <v/>
      </c>
      <c r="AQ11" s="42" t="str">
        <f>IF(VLOOKUP($A11,Data_Template!$A$6:$BA$16,COLUMNS($A:AK)+6,0)=0,"",VLOOKUP($A11,Data_Template!$A$6:$BA$16,COLUMNS($A:AK)+6,0))</f>
        <v/>
      </c>
      <c r="AR11" s="42" t="str">
        <f>IF(VLOOKUP($A11,Data_Template!$A$6:$BA$16,COLUMNS($A:AL)+6,0)=0,"",VLOOKUP($A11,Data_Template!$A$6:$BA$16,COLUMNS($A:AL)+6,0))</f>
        <v/>
      </c>
      <c r="AS11" s="42" t="str">
        <f>IF(VLOOKUP($A11,Data_Template!$A$6:$BA$16,COLUMNS($A:AM)+6,0)=0,"",VLOOKUP($A11,Data_Template!$A$6:$BA$16,COLUMNS($A:AM)+6,0))</f>
        <v/>
      </c>
      <c r="AT11" s="42" t="str">
        <f>IF(VLOOKUP($A11,Data_Template!$A$6:$BA$16,COLUMNS($A:AN)+6,0)=0,"",VLOOKUP($A11,Data_Template!$A$6:$BA$16,COLUMNS($A:AN)+6,0))</f>
        <v>x</v>
      </c>
      <c r="AU11" s="42" t="str">
        <f>IF(VLOOKUP($A11,Data_Template!$A$6:$BA$16,COLUMNS($A:AO)+6,0)=0,"",VLOOKUP($A11,Data_Template!$A$6:$BA$16,COLUMNS($A:AO)+6,0))</f>
        <v/>
      </c>
      <c r="AV11" s="42" t="str">
        <f>IF(VLOOKUP($A11,Data_Template!$A$6:$BA$16,COLUMNS($A:AP)+6,0)=0,"",VLOOKUP($A11,Data_Template!$A$6:$BA$16,COLUMNS($A:AP)+6,0))</f>
        <v/>
      </c>
      <c r="AW11" s="42" t="str">
        <f>IF(VLOOKUP($A11,Data_Template!$A$6:$BA$16,COLUMNS($A:AQ)+6,0)=0,"",VLOOKUP($A11,Data_Template!$A$6:$BA$16,COLUMNS($A:AQ)+6,0))</f>
        <v/>
      </c>
      <c r="AX11" s="42" t="str">
        <f>IF(VLOOKUP($A11,Data_Template!$A$6:$BA$16,COLUMNS($A:AR)+6,0)=0,"",VLOOKUP($A11,Data_Template!$A$6:$BA$16,COLUMNS($A:AR)+6,0))</f>
        <v/>
      </c>
      <c r="AY11" s="42" t="str">
        <f>IF(VLOOKUP($A11,Data_Template!$A$6:$BA$16,COLUMNS($A:AS)+6,0)=0,"",VLOOKUP($A11,Data_Template!$A$6:$BA$16,COLUMNS($A:AS)+6,0))</f>
        <v/>
      </c>
      <c r="AZ11" s="42" t="str">
        <f>IF(VLOOKUP($A11,Data_Template!$A$6:$BA$16,COLUMNS($A:AT)+6,0)=0,"",VLOOKUP($A11,Data_Template!$A$6:$BA$16,COLUMNS($A:AT)+6,0))</f>
        <v/>
      </c>
      <c r="BA11" s="42" t="str">
        <f>IF(VLOOKUP($A11,Data_Template!$A$6:$BA$16,COLUMNS($A:AU)+6,0)=0,"",VLOOKUP($A11,Data_Template!$A$6:$BA$16,COLUMNS($A:AU)+6,0))</f>
        <v/>
      </c>
      <c r="BB11" s="50"/>
      <c r="BC11" s="42"/>
      <c r="BD11" s="42"/>
      <c r="BE11" s="42"/>
      <c r="BF11" s="42"/>
      <c r="BG11" s="42"/>
      <c r="BH11" s="42"/>
      <c r="BI11" s="42"/>
      <c r="BJ11" s="42"/>
      <c r="BL11" s="42"/>
      <c r="BM11" s="42"/>
      <c r="BN11" s="42"/>
      <c r="BO11" s="42"/>
      <c r="BP11" s="42"/>
      <c r="BQ11" s="42"/>
      <c r="BR11" s="42"/>
      <c r="BS11" s="42"/>
      <c r="BT11" s="42"/>
      <c r="BU11" s="42"/>
      <c r="BV11" s="42"/>
      <c r="BW11" s="42"/>
      <c r="BX11" s="42"/>
    </row>
    <row r="12" spans="1:76" s="51" customFormat="1" ht="51" x14ac:dyDescent="0.2">
      <c r="A12" s="42" t="str">
        <f>Classes!J9</f>
        <v>IFMA_C_31010002</v>
      </c>
      <c r="B12" s="246" t="str">
        <f>Classes!P9</f>
        <v>Umgebungsfläche</v>
      </c>
      <c r="C12" s="37"/>
      <c r="D12" s="42" t="s">
        <v>884</v>
      </c>
      <c r="E12" s="41"/>
      <c r="G12" s="42"/>
      <c r="H12" s="42"/>
      <c r="I12" s="42" t="str">
        <f>IF(VLOOKUP($A12,Data_Template!$A$6:$BA$16,COLUMNS($A:C)+6,0)=0,"",VLOOKUP($A12,Data_Template!$A$6:$BA$16,COLUMNS($A:C)+6,0))</f>
        <v>["1.2_UF", "1.2.1_BUF", "1.2.2_UUF", "1.2_SA", "1.2.1_SAA", "1.2.2_SAN",  "1.2_SLE", "1.2.1_SLES", "1.2.2_SLEN"]</v>
      </c>
      <c r="J12" s="42"/>
      <c r="K12" s="42" t="str">
        <f>IF(VLOOKUP($A12,Data_Template!$A$6:$BA$16,COLUMNS($A:E)+6,0)=0,"",VLOOKUP($A12,Data_Template!$A$6:$BA$16,COLUMNS($A:E)+6,0))</f>
        <v/>
      </c>
      <c r="L12" s="42" t="str">
        <f>IF(VLOOKUP($A12,Data_Template!$A$6:$BA$16,COLUMNS($A:F)+6,0)=0,"",VLOOKUP($A12,Data_Template!$A$6:$BA$16,COLUMNS($A:F)+6,0))</f>
        <v>["NONE", "10.1_aussenliegende Fahrzeugabstellflächen"]</v>
      </c>
      <c r="M12" s="42"/>
      <c r="N12" s="42"/>
      <c r="O12" s="42" t="str">
        <f>IF(VLOOKUP($A12,Data_Template!$A$6:$BA$16,COLUMNS($A:I)+6,0)=0,"",VLOOKUP($A12,Data_Template!$A$6:$BA$16,COLUMNS($A:I)+6,0))</f>
        <v/>
      </c>
      <c r="P12" s="42"/>
      <c r="Q12" s="42" t="str">
        <f>IF(VLOOKUP($A12,Data_Template!$A$6:$BA$16,COLUMNS($A:K)+6,0)=0,"",VLOOKUP($A12,Data_Template!$A$6:$BA$16,COLUMNS($A:K)+6,0))</f>
        <v/>
      </c>
      <c r="R12" s="42" t="str">
        <f>IF(VLOOKUP($A12,Data_Template!$A$6:$BA$16,COLUMNS($A:L)+6,0)=0,"",VLOOKUP($A12,Data_Template!$A$6:$BA$16,COLUMNS($A:L)+6,0))</f>
        <v/>
      </c>
      <c r="S12" s="42" t="str">
        <f>IF(VLOOKUP($A12,Data_Template!$A$6:$BA$16,COLUMNS($A:M)+6,0)=0,"",VLOOKUP($A12,Data_Template!$A$6:$BA$16,COLUMNS($A:M)+6,0))</f>
        <v/>
      </c>
      <c r="T12" s="42" t="str">
        <f>IF(VLOOKUP($A12,Data_Template!$A$6:$BA$16,COLUMNS($A:N)+6,0)=0,"",VLOOKUP($A12,Data_Template!$A$6:$BA$16,COLUMNS($A:N)+6,0))</f>
        <v/>
      </c>
      <c r="U12" s="42" t="str">
        <f>IF(VLOOKUP($A12,Data_Template!$A$6:$BA$16,COLUMNS($A:O)+6,0)=0,"",VLOOKUP($A12,Data_Template!$A$6:$BA$16,COLUMNS($A:O)+6,0))</f>
        <v/>
      </c>
      <c r="V12" s="42" t="str">
        <f>IF(VLOOKUP($A12,Data_Template!$A$6:$BA$16,COLUMNS($A:P)+6,0)=0,"",VLOOKUP($A12,Data_Template!$A$6:$BA$16,COLUMNS($A:P)+6,0))</f>
        <v/>
      </c>
      <c r="W12" s="42" t="str">
        <f>IF(VLOOKUP($A12,Data_Template!$A$6:$BA$16,COLUMNS($A:Q)+6,0)=0,"",VLOOKUP($A12,Data_Template!$A$6:$BA$16,COLUMNS($A:Q)+6,0))</f>
        <v/>
      </c>
      <c r="X12" s="42" t="str">
        <f>IF(VLOOKUP($A12,Data_Template!$A$6:$BA$16,COLUMNS($A:R)+6,0)=0,"",VLOOKUP($A12,Data_Template!$A$6:$BA$16,COLUMNS($A:R)+6,0))</f>
        <v/>
      </c>
      <c r="Y12" s="42"/>
      <c r="Z12" s="42" t="str">
        <f>IF(VLOOKUP($A12,Data_Template!$A$6:$BA$16,COLUMNS($A:T)+6,0)=0,"",VLOOKUP($A12,Data_Template!$A$6:$BA$16,COLUMNS($A:T)+6,0))</f>
        <v/>
      </c>
      <c r="AA12" s="42" t="str">
        <f>IF(VLOOKUP($A12,Data_Template!$A$6:$BA$16,COLUMNS($A:U)+6,0)=0,"",VLOOKUP($A12,Data_Template!$A$6:$BA$16,COLUMNS($A:U)+6,0))</f>
        <v/>
      </c>
      <c r="AB12" s="42" t="str">
        <f>IF(VLOOKUP($A12,Data_Template!$A$6:$BA$16,COLUMNS($A:V)+6,0)=0,"",VLOOKUP($A12,Data_Template!$A$6:$BA$16,COLUMNS($A:V)+6,0))</f>
        <v/>
      </c>
      <c r="AC12" s="42" t="str">
        <f>IF(VLOOKUP($A12,Data_Template!$A$6:$BA$16,COLUMNS($A:W)+6,0)=0,"",VLOOKUP($A12,Data_Template!$A$6:$BA$16,COLUMNS($A:W)+6,0))</f>
        <v/>
      </c>
      <c r="AD12" s="42" t="str">
        <f>IF(VLOOKUP($A12,Data_Template!$A$6:$BA$16,COLUMNS($A:X)+6,0)=0,"",VLOOKUP($A12,Data_Template!$A$6:$BA$16,COLUMNS($A:X)+6,0))</f>
        <v>["true"]</v>
      </c>
      <c r="AE12" s="42"/>
      <c r="AF12" s="42" t="str">
        <f>IF(VLOOKUP($A12,Data_Template!$A$6:$BA$16,COLUMNS($A:Z)+6,0)=0,"",VLOOKUP($A12,Data_Template!$A$6:$BA$16,COLUMNS($A:Z)+6,0))</f>
        <v/>
      </c>
      <c r="AG12" s="42" t="str">
        <f>IF(VLOOKUP($A12,Data_Template!$A$6:$BA$16,COLUMNS($A:AA)+6,0)=0,"",VLOOKUP($A12,Data_Template!$A$6:$BA$16,COLUMNS($A:AA)+6,0))</f>
        <v/>
      </c>
      <c r="AH12" s="42" t="str">
        <f>IF(VLOOKUP($A12,Data_Template!$A$6:$BA$16,COLUMNS($A:AB)+6,0)=0,"",VLOOKUP($A12,Data_Template!$A$6:$BA$16,COLUMNS($A:AB)+6,0))</f>
        <v/>
      </c>
      <c r="AI12" s="42"/>
      <c r="AJ12" s="42" t="str">
        <f>IF(VLOOKUP($A12,Data_Template!$A$6:$BA$16,COLUMNS($A:AD)+6,0)=0,"",VLOOKUP($A12,Data_Template!$A$6:$BA$16,COLUMNS($A:AD)+6,0))</f>
        <v/>
      </c>
      <c r="AK12" s="42" t="str">
        <f>IF(VLOOKUP($A12,Data_Template!$A$6:$BA$16,COLUMNS($A:AE)+6,0)=0,"",VLOOKUP($A12,Data_Template!$A$6:$BA$16,COLUMNS($A:AE)+6,0))</f>
        <v/>
      </c>
      <c r="AL12" s="42" t="str">
        <f>IF(VLOOKUP($A12,Data_Template!$A$6:$BA$16,COLUMNS($A:AF)+6,0)=0,"",VLOOKUP($A12,Data_Template!$A$6:$BA$16,COLUMNS($A:AF)+6,0))</f>
        <v/>
      </c>
      <c r="AM12" s="42" t="str">
        <f>IF(VLOOKUP($A12,Data_Template!$A$6:$BA$16,COLUMNS($A:AG)+6,0)=0,"",VLOOKUP($A12,Data_Template!$A$6:$BA$16,COLUMNS($A:AG)+6,0))</f>
        <v/>
      </c>
      <c r="AN12" s="42" t="str">
        <f>IF(VLOOKUP($A12,Data_Template!$A$6:$BA$16,COLUMNS($A:AH)+6,0)=0,"",VLOOKUP($A12,Data_Template!$A$6:$BA$16,COLUMNS($A:AH)+6,0))</f>
        <v/>
      </c>
      <c r="AO12" s="42" t="str">
        <f>IF(VLOOKUP($A12,Data_Template!$A$6:$BA$16,COLUMNS($A:AI)+6,0)=0,"",VLOOKUP($A12,Data_Template!$A$6:$BA$16,COLUMNS($A:AI)+6,0))</f>
        <v/>
      </c>
      <c r="AP12" s="42" t="str">
        <f>IF(VLOOKUP($A12,Data_Template!$A$6:$BA$16,COLUMNS($A:AJ)+6,0)=0,"",VLOOKUP($A12,Data_Template!$A$6:$BA$16,COLUMNS($A:AJ)+6,0))</f>
        <v/>
      </c>
      <c r="AQ12" s="42" t="str">
        <f>IF(VLOOKUP($A12,Data_Template!$A$6:$BA$16,COLUMNS($A:AK)+6,0)=0,"",VLOOKUP($A12,Data_Template!$A$6:$BA$16,COLUMNS($A:AK)+6,0))</f>
        <v/>
      </c>
      <c r="AR12" s="42" t="str">
        <f>IF(VLOOKUP($A12,Data_Template!$A$6:$BA$16,COLUMNS($A:AL)+6,0)=0,"",VLOOKUP($A12,Data_Template!$A$6:$BA$16,COLUMNS($A:AL)+6,0))</f>
        <v/>
      </c>
      <c r="AS12" s="42" t="str">
        <f>IF(VLOOKUP($A12,Data_Template!$A$6:$BA$16,COLUMNS($A:AM)+6,0)=0,"",VLOOKUP($A12,Data_Template!$A$6:$BA$16,COLUMNS($A:AM)+6,0))</f>
        <v/>
      </c>
      <c r="AT12" s="42" t="str">
        <f>IF(VLOOKUP($A12,Data_Template!$A$6:$BA$16,COLUMNS($A:AN)+6,0)=0,"",VLOOKUP($A12,Data_Template!$A$6:$BA$16,COLUMNS($A:AN)+6,0))</f>
        <v>x</v>
      </c>
      <c r="AU12" s="42" t="str">
        <f>IF(VLOOKUP($A12,Data_Template!$A$6:$BA$16,COLUMNS($A:AO)+6,0)=0,"",VLOOKUP($A12,Data_Template!$A$6:$BA$16,COLUMNS($A:AO)+6,0))</f>
        <v/>
      </c>
      <c r="AV12" s="42" t="str">
        <f>IF(VLOOKUP($A12,Data_Template!$A$6:$BA$16,COLUMNS($A:AP)+6,0)=0,"",VLOOKUP($A12,Data_Template!$A$6:$BA$16,COLUMNS($A:AP)+6,0))</f>
        <v/>
      </c>
      <c r="AW12" s="42" t="str">
        <f>IF(VLOOKUP($A12,Data_Template!$A$6:$BA$16,COLUMNS($A:AQ)+6,0)=0,"",VLOOKUP($A12,Data_Template!$A$6:$BA$16,COLUMNS($A:AQ)+6,0))</f>
        <v/>
      </c>
      <c r="AX12" s="42" t="str">
        <f>IF(VLOOKUP($A12,Data_Template!$A$6:$BA$16,COLUMNS($A:AR)+6,0)=0,"",VLOOKUP($A12,Data_Template!$A$6:$BA$16,COLUMNS($A:AR)+6,0))</f>
        <v/>
      </c>
      <c r="AY12" s="42" t="str">
        <f>IF(VLOOKUP($A12,Data_Template!$A$6:$BA$16,COLUMNS($A:AS)+6,0)=0,"",VLOOKUP($A12,Data_Template!$A$6:$BA$16,COLUMNS($A:AS)+6,0))</f>
        <v/>
      </c>
      <c r="AZ12" s="42" t="str">
        <f>IF(VLOOKUP($A12,Data_Template!$A$6:$BA$16,COLUMNS($A:AT)+6,0)=0,"",VLOOKUP($A12,Data_Template!$A$6:$BA$16,COLUMNS($A:AT)+6,0))</f>
        <v/>
      </c>
      <c r="BA12" s="42"/>
      <c r="BB12" s="50"/>
      <c r="BC12" s="42"/>
      <c r="BD12" s="42"/>
      <c r="BE12" s="42"/>
      <c r="BF12" s="42"/>
      <c r="BG12" s="42"/>
      <c r="BH12" s="42"/>
      <c r="BI12" s="42"/>
      <c r="BJ12" s="42"/>
      <c r="BL12" s="42"/>
      <c r="BM12" s="42"/>
      <c r="BN12" s="42"/>
      <c r="BO12" s="42"/>
      <c r="BP12" s="42"/>
      <c r="BQ12" s="42"/>
      <c r="BR12" s="42"/>
      <c r="BS12" s="42"/>
      <c r="BT12" s="42"/>
      <c r="BU12" s="42"/>
      <c r="BV12" s="42"/>
      <c r="BW12" s="42"/>
      <c r="BX12" s="42"/>
    </row>
    <row r="13" spans="1:76" s="51" customFormat="1" ht="51" x14ac:dyDescent="0.2">
      <c r="A13" s="42" t="str">
        <f>Classes!J10</f>
        <v>IFMA_C_31010003</v>
      </c>
      <c r="B13" s="246" t="str">
        <f>Classes!P10</f>
        <v>Geschossvolumen</v>
      </c>
      <c r="C13" s="37"/>
      <c r="D13" s="42" t="s">
        <v>884</v>
      </c>
      <c r="E13" s="41"/>
      <c r="G13" s="42" t="str">
        <f>IF(VLOOKUP($A13,Data_Template!$A$6:$BA$16,COLUMNS($A:A)+6,0)=0,"",VLOOKUP($A13,Data_Template!$A$6:$BA$16,COLUMNS($A:A)+6,0))</f>
        <v/>
      </c>
      <c r="H13" s="42" t="str">
        <f>IF(VLOOKUP($A13,Data_Template!$A$6:$BA$16,COLUMNS($A:B)+6,0)=0,"",VLOOKUP($A13,Data_Template!$A$6:$BA$16,COLUMNS($A:B)+6,0))</f>
        <v/>
      </c>
      <c r="I13" s="42" t="str">
        <f>IF(VLOOKUP($A13,Data_Template!$A$6:$BA$16,COLUMNS($A:C)+6,0)=0,"",VLOOKUP($A13,Data_Template!$A$6:$BA$16,COLUMNS($A:C)+6,0))</f>
        <v>["2_GF", "3_AGF", "5_GV", "ROOF_DACH", "2_SP", "3_SEP", "5_VB", "ROOF_TOIT", "2_SP", "3_SPE", "5_VE", "ROOF_TETTO"]</v>
      </c>
      <c r="J13" s="42" t="str">
        <f>IF(VLOOKUP($A13,Data_Template!$A$6:$BA$16,COLUMNS($A:D)+6,0)=0,"",VLOOKUP($A13,Data_Template!$A$6:$BA$16,COLUMNS($A:D)+6,0))</f>
        <v/>
      </c>
      <c r="K13" s="42" t="str">
        <f>IF(VLOOKUP($A13,Data_Template!$A$6:$BA$16,COLUMNS($A:E)+6,0)=0,"",VLOOKUP($A13,Data_Template!$A$6:$BA$16,COLUMNS($A:E)+6,0))</f>
        <v/>
      </c>
      <c r="L13" s="42" t="str">
        <f>IF(VLOOKUP($A13,Data_Template!$A$6:$BA$16,COLUMNS($A:F)+6,0)=0,"",VLOOKUP($A13,Data_Template!$A$6:$BA$16,COLUMNS($A:F)+6,0))</f>
        <v/>
      </c>
      <c r="M13" s="42"/>
      <c r="N13" s="42" t="str">
        <f>IF(VLOOKUP($A13,Data_Template!$A$6:$BA$16,COLUMNS($A:H)+6,0)=0,"",VLOOKUP($A13,Data_Template!$A$6:$BA$16,COLUMNS($A:H)+6,0))</f>
        <v/>
      </c>
      <c r="O13" s="42" t="str">
        <f>IF(VLOOKUP($A13,Data_Template!$A$6:$BA$16,COLUMNS($A:I)+6,0)=0,"",VLOOKUP($A13,Data_Template!$A$6:$BA$16,COLUMNS($A:I)+6,0))</f>
        <v/>
      </c>
      <c r="P13" s="42" t="str">
        <f>IF(VLOOKUP($A13,Data_Template!$A$6:$BA$16,COLUMNS($A:J)+6,0)=0,"",VLOOKUP($A13,Data_Template!$A$6:$BA$16,COLUMNS($A:J)+6,0))</f>
        <v/>
      </c>
      <c r="Q13" s="42" t="str">
        <f>IF(VLOOKUP($A13,Data_Template!$A$6:$BA$16,COLUMNS($A:K)+6,0)=0,"",VLOOKUP($A13,Data_Template!$A$6:$BA$16,COLUMNS($A:K)+6,0))</f>
        <v/>
      </c>
      <c r="R13" s="42" t="str">
        <f>IF(VLOOKUP($A13,Data_Template!$A$6:$BA$16,COLUMNS($A:L)+6,0)=0,"",VLOOKUP($A13,Data_Template!$A$6:$BA$16,COLUMNS($A:L)+6,0))</f>
        <v/>
      </c>
      <c r="S13" s="42" t="str">
        <f>IF(VLOOKUP($A13,Data_Template!$A$6:$BA$16,COLUMNS($A:M)+6,0)=0,"",VLOOKUP($A13,Data_Template!$A$6:$BA$16,COLUMNS($A:M)+6,0))</f>
        <v/>
      </c>
      <c r="T13" s="42" t="str">
        <f>IF(VLOOKUP($A13,Data_Template!$A$6:$BA$16,COLUMNS($A:N)+6,0)=0,"",VLOOKUP($A13,Data_Template!$A$6:$BA$16,COLUMNS($A:N)+6,0))</f>
        <v/>
      </c>
      <c r="U13" s="42" t="str">
        <f>IF(VLOOKUP($A13,Data_Template!$A$6:$BA$16,COLUMNS($A:O)+6,0)=0,"",VLOOKUP($A13,Data_Template!$A$6:$BA$16,COLUMNS($A:O)+6,0))</f>
        <v/>
      </c>
      <c r="V13" s="42" t="str">
        <f>IF(VLOOKUP($A13,Data_Template!$A$6:$BA$16,COLUMNS($A:P)+6,0)=0,"",VLOOKUP($A13,Data_Template!$A$6:$BA$16,COLUMNS($A:P)+6,0))</f>
        <v/>
      </c>
      <c r="W13" s="42" t="str">
        <f>IF(VLOOKUP($A13,Data_Template!$A$6:$BA$16,COLUMNS($A:Q)+6,0)=0,"",VLOOKUP($A13,Data_Template!$A$6:$BA$16,COLUMNS($A:Q)+6,0))</f>
        <v/>
      </c>
      <c r="X13" s="42" t="str">
        <f>IF(VLOOKUP($A13,Data_Template!$A$6:$BA$16,COLUMNS($A:R)+6,0)=0,"",VLOOKUP($A13,Data_Template!$A$6:$BA$16,COLUMNS($A:R)+6,0))</f>
        <v/>
      </c>
      <c r="Y13" s="42"/>
      <c r="Z13" s="42" t="str">
        <f>IF(VLOOKUP($A13,Data_Template!$A$6:$BA$16,COLUMNS($A:T)+6,0)=0,"",VLOOKUP($A13,Data_Template!$A$6:$BA$16,COLUMNS($A:T)+6,0))</f>
        <v/>
      </c>
      <c r="AA13" s="42" t="str">
        <f>IF(VLOOKUP($A13,Data_Template!$A$6:$BA$16,COLUMNS($A:U)+6,0)=0,"",VLOOKUP($A13,Data_Template!$A$6:$BA$16,COLUMNS($A:U)+6,0))</f>
        <v/>
      </c>
      <c r="AB13" s="42" t="str">
        <f>IF(VLOOKUP($A13,Data_Template!$A$6:$BA$16,COLUMNS($A:V)+6,0)=0,"",VLOOKUP($A13,Data_Template!$A$6:$BA$16,COLUMNS($A:V)+6,0))</f>
        <v/>
      </c>
      <c r="AC13" s="42" t="str">
        <f>IF(VLOOKUP($A13,Data_Template!$A$6:$BA$16,COLUMNS($A:W)+6,0)=0,"",VLOOKUP($A13,Data_Template!$A$6:$BA$16,COLUMNS($A:W)+6,0))</f>
        <v/>
      </c>
      <c r="AD13" s="42"/>
      <c r="AE13" s="42" t="str">
        <f>IF(VLOOKUP($A13,Data_Template!$A$6:$BA$16,COLUMNS($A:Y)+6,0)=0,"",VLOOKUP($A13,Data_Template!$A$6:$BA$16,COLUMNS($A:Y)+6,0))</f>
        <v/>
      </c>
      <c r="AF13" s="42" t="str">
        <f>IF(VLOOKUP($A13,Data_Template!$A$6:$BA$16,COLUMNS($A:Z)+6,0)=0,"",VLOOKUP($A13,Data_Template!$A$6:$BA$16,COLUMNS($A:Z)+6,0))</f>
        <v/>
      </c>
      <c r="AG13" s="42" t="str">
        <f>IF(VLOOKUP($A13,Data_Template!$A$6:$BA$16,COLUMNS($A:AA)+6,0)=0,"",VLOOKUP($A13,Data_Template!$A$6:$BA$16,COLUMNS($A:AA)+6,0))</f>
        <v/>
      </c>
      <c r="AH13" s="42" t="str">
        <f>IF(VLOOKUP($A13,Data_Template!$A$6:$BA$16,COLUMNS($A:AB)+6,0)=0,"",VLOOKUP($A13,Data_Template!$A$6:$BA$16,COLUMNS($A:AB)+6,0))</f>
        <v/>
      </c>
      <c r="AI13" s="42" t="str">
        <f>IF(VLOOKUP($A13,Data_Template!$A$6:$BA$16,COLUMNS($A:AC)+6,0)=0,"",VLOOKUP($A13,Data_Template!$A$6:$BA$16,COLUMNS($A:AC)+6,0))</f>
        <v/>
      </c>
      <c r="AJ13" s="42" t="str">
        <f>IF(VLOOKUP($A13,Data_Template!$A$6:$BA$16,COLUMNS($A:AD)+6,0)=0,"",VLOOKUP($A13,Data_Template!$A$6:$BA$16,COLUMNS($A:AD)+6,0))</f>
        <v/>
      </c>
      <c r="AK13" s="42" t="str">
        <f>IF(VLOOKUP($A13,Data_Template!$A$6:$BA$16,COLUMNS($A:AE)+6,0)=0,"",VLOOKUP($A13,Data_Template!$A$6:$BA$16,COLUMNS($A:AE)+6,0))</f>
        <v/>
      </c>
      <c r="AL13" s="42" t="str">
        <f>IF(VLOOKUP($A13,Data_Template!$A$6:$BA$16,COLUMNS($A:AF)+6,0)=0,"",VLOOKUP($A13,Data_Template!$A$6:$BA$16,COLUMNS($A:AF)+6,0))</f>
        <v/>
      </c>
      <c r="AM13" s="42" t="str">
        <f>IF(VLOOKUP($A13,Data_Template!$A$6:$BA$16,COLUMNS($A:AG)+6,0)=0,"",VLOOKUP($A13,Data_Template!$A$6:$BA$16,COLUMNS($A:AG)+6,0))</f>
        <v/>
      </c>
      <c r="AN13" s="42" t="str">
        <f>IF(VLOOKUP($A13,Data_Template!$A$6:$BA$16,COLUMNS($A:AH)+6,0)=0,"",VLOOKUP($A13,Data_Template!$A$6:$BA$16,COLUMNS($A:AH)+6,0))</f>
        <v/>
      </c>
      <c r="AO13" s="42" t="str">
        <f>IF(VLOOKUP($A13,Data_Template!$A$6:$BA$16,COLUMNS($A:AI)+6,0)=0,"",VLOOKUP($A13,Data_Template!$A$6:$BA$16,COLUMNS($A:AI)+6,0))</f>
        <v/>
      </c>
      <c r="AP13" s="42" t="str">
        <f>IF(VLOOKUP($A13,Data_Template!$A$6:$BA$16,COLUMNS($A:AJ)+6,0)=0,"",VLOOKUP($A13,Data_Template!$A$6:$BA$16,COLUMNS($A:AJ)+6,0))</f>
        <v/>
      </c>
      <c r="AQ13" s="42" t="str">
        <f>IF(VLOOKUP($A13,Data_Template!$A$6:$BA$16,COLUMNS($A:AK)+6,0)=0,"",VLOOKUP($A13,Data_Template!$A$6:$BA$16,COLUMNS($A:AK)+6,0))</f>
        <v/>
      </c>
      <c r="AR13" s="42" t="str">
        <f>IF(VLOOKUP($A13,Data_Template!$A$6:$BA$16,COLUMNS($A:AL)+6,0)=0,"",VLOOKUP($A13,Data_Template!$A$6:$BA$16,COLUMNS($A:AL)+6,0))</f>
        <v/>
      </c>
      <c r="AS13" s="42" t="str">
        <f>IF(VLOOKUP($A13,Data_Template!$A$6:$BA$16,COLUMNS($A:AM)+6,0)=0,"",VLOOKUP($A13,Data_Template!$A$6:$BA$16,COLUMNS($A:AM)+6,0))</f>
        <v/>
      </c>
      <c r="AT13" s="42" t="str">
        <f>IF(VLOOKUP($A13,Data_Template!$A$6:$BA$16,COLUMNS($A:AN)+6,0)=0,"",VLOOKUP($A13,Data_Template!$A$6:$BA$16,COLUMNS($A:AN)+6,0))</f>
        <v>x</v>
      </c>
      <c r="AU13" s="42" t="str">
        <f>IF(VLOOKUP($A13,Data_Template!$A$6:$BA$16,COLUMNS($A:AO)+6,0)=0,"",VLOOKUP($A13,Data_Template!$A$6:$BA$16,COLUMNS($A:AO)+6,0))</f>
        <v>x</v>
      </c>
      <c r="AV13" s="42" t="str">
        <f>IF(VLOOKUP($A13,Data_Template!$A$6:$BA$16,COLUMNS($A:AP)+6,0)=0,"",VLOOKUP($A13,Data_Template!$A$6:$BA$16,COLUMNS($A:AP)+6,0))</f>
        <v/>
      </c>
      <c r="AW13" s="42" t="str">
        <f>IF(VLOOKUP($A13,Data_Template!$A$6:$BA$16,COLUMNS($A:AQ)+6,0)=0,"",VLOOKUP($A13,Data_Template!$A$6:$BA$16,COLUMNS($A:AQ)+6,0))</f>
        <v/>
      </c>
      <c r="AX13" s="42" t="str">
        <f>IF(VLOOKUP($A13,Data_Template!$A$6:$BA$16,COLUMNS($A:AR)+6,0)=0,"",VLOOKUP($A13,Data_Template!$A$6:$BA$16,COLUMNS($A:AR)+6,0))</f>
        <v/>
      </c>
      <c r="AY13" s="42" t="str">
        <f>IF(VLOOKUP($A13,Data_Template!$A$6:$BA$16,COLUMNS($A:AS)+6,0)=0,"",VLOOKUP($A13,Data_Template!$A$6:$BA$16,COLUMNS($A:AS)+6,0))</f>
        <v>x</v>
      </c>
      <c r="AZ13" s="42"/>
      <c r="BA13" s="42"/>
      <c r="BB13" s="50"/>
      <c r="BC13" s="42"/>
      <c r="BD13" s="42"/>
      <c r="BE13" s="42"/>
      <c r="BF13" s="42"/>
      <c r="BG13" s="42"/>
      <c r="BH13" s="42"/>
      <c r="BI13" s="42"/>
      <c r="BJ13" s="42"/>
      <c r="BL13" s="42"/>
      <c r="BM13" s="42"/>
      <c r="BN13" s="42"/>
      <c r="BO13" s="42"/>
      <c r="BP13" s="42"/>
      <c r="BQ13" s="42"/>
      <c r="BR13" s="42"/>
      <c r="BS13" s="42"/>
      <c r="BT13" s="42"/>
      <c r="BU13" s="42"/>
      <c r="BV13" s="42"/>
      <c r="BW13" s="42"/>
      <c r="BX13" s="42"/>
    </row>
    <row r="14" spans="1:76" s="51" customFormat="1" ht="76.5" x14ac:dyDescent="0.2">
      <c r="A14" s="42" t="str">
        <f>Classes!J11</f>
        <v>IFMA_C_31010004</v>
      </c>
      <c r="B14" s="246" t="str">
        <f>Classes!P11</f>
        <v>Innenraum</v>
      </c>
      <c r="C14" s="37"/>
      <c r="D14" s="42" t="s">
        <v>884</v>
      </c>
      <c r="E14" s="41"/>
      <c r="G14" s="42"/>
      <c r="H14" s="42"/>
      <c r="I14" s="42" t="str">
        <f>IF(VLOOKUP($A14,Data_Template!$A$6:$BA$16,COLUMNS($A:C)+6,0)=0,"",VLOOKUP($A14,Data_Template!$A$6:$BA$16,COLUMNS($A:C)+6,0))</f>
        <v>["2.1.1_NF", "2.1.1.1_HNF", "2.1.1.2_NNF", "2.1.2_VF", "2.1.3_FF", "2.1.1_SU", "2.1.1.1_SUP", "2.1.1.2_SUS", "2.1.2_SD", "2.1.3_SI", "2.1.1_SU", "2.1.1.1_SUP", "2.1.1.2_SUS", "2.1.2_SCIR", "2.1.3_SI"]</v>
      </c>
      <c r="J14" s="42"/>
      <c r="K14" s="42"/>
      <c r="L14" s="42" t="str">
        <f>IF(VLOOKUP($A14,Data_Template!$A$6:$BA$16,COLUMNS($A:F)+6,0)=0,"",VLOOKUP($A14,Data_Template!$A$6:$BA$16,COLUMNS($A:F)+6,0))</f>
        <v>x</v>
      </c>
      <c r="M14" s="42"/>
      <c r="N14" s="42" t="str">
        <f>IF(VLOOKUP($A14,Data_Template!$A$6:$BA$16,COLUMNS($A:H)+6,0)=0,"",VLOOKUP($A14,Data_Template!$A$6:$BA$16,COLUMNS($A:H)+6,0))</f>
        <v>x</v>
      </c>
      <c r="O14" s="42" t="str">
        <f>IF(VLOOKUP($A14,Data_Template!$A$6:$BA$16,COLUMNS($A:I)+6,0)=0,"",VLOOKUP($A14,Data_Template!$A$6:$BA$16,COLUMNS($A:I)+6,0))</f>
        <v/>
      </c>
      <c r="P14" s="42"/>
      <c r="Q14" s="42"/>
      <c r="R14" s="42"/>
      <c r="S14" s="42" t="str">
        <f>IF(VLOOKUP($A14,Data_Template!$A$6:$BA$16,COLUMNS($A:M)+6,0)=0,"",VLOOKUP($A14,Data_Template!$A$6:$BA$16,COLUMNS($A:M)+6,0))</f>
        <v>x</v>
      </c>
      <c r="T14" s="42"/>
      <c r="U14" s="42"/>
      <c r="V14" s="42" t="str">
        <f>IF(VLOOKUP($A14,Data_Template!$A$6:$BA$16,COLUMNS($A:P)+6,0)=0,"",VLOOKUP($A14,Data_Template!$A$6:$BA$16,COLUMNS($A:P)+6,0))</f>
        <v>x</v>
      </c>
      <c r="W14" s="42" t="str">
        <f>IF(VLOOKUP($A14,Data_Template!$A$6:$BA$16,COLUMNS($A:Q)+6,0)=0,"",VLOOKUP($A14,Data_Template!$A$6:$BA$16,COLUMNS($A:Q)+6,0))</f>
        <v>x</v>
      </c>
      <c r="X14" s="42" t="str">
        <f>IF(VLOOKUP($A14,Data_Template!$A$6:$BA$16,COLUMNS($A:R)+6,0)=0,"",VLOOKUP($A14,Data_Template!$A$6:$BA$16,COLUMNS($A:R)+6,0))</f>
        <v>x</v>
      </c>
      <c r="Y14" s="42"/>
      <c r="Z14" s="42" t="str">
        <f>IF(VLOOKUP($A14,Data_Template!$A$6:$BA$16,COLUMNS($A:T)+6,0)=0,"",VLOOKUP($A14,Data_Template!$A$6:$BA$16,COLUMNS($A:T)+6,0))</f>
        <v>x</v>
      </c>
      <c r="AA14" s="42" t="str">
        <f>IF(VLOOKUP($A14,Data_Template!$A$6:$BA$16,COLUMNS($A:U)+6,0)=0,"",VLOOKUP($A14,Data_Template!$A$6:$BA$16,COLUMNS($A:U)+6,0))</f>
        <v>x</v>
      </c>
      <c r="AB14" s="42" t="str">
        <f>IF(VLOOKUP($A14,Data_Template!$A$6:$BA$16,COLUMNS($A:V)+6,0)=0,"",VLOOKUP($A14,Data_Template!$A$6:$BA$16,COLUMNS($A:V)+6,0))</f>
        <v>x</v>
      </c>
      <c r="AC14" s="42"/>
      <c r="AD14" s="42" t="str">
        <f>IF(VLOOKUP($A14,Data_Template!$A$6:$BA$16,COLUMNS($A:X)+6,0)=0,"",VLOOKUP($A14,Data_Template!$A$6:$BA$16,COLUMNS($A:X)+6,0))</f>
        <v>["false"]</v>
      </c>
      <c r="AE14" s="42"/>
      <c r="AF14" s="42"/>
      <c r="AG14" s="42" t="str">
        <f>IF(VLOOKUP($A14,Data_Template!$A$6:$BA$16,COLUMNS($A:AA)+6,0)=0,"",VLOOKUP($A14,Data_Template!$A$6:$BA$16,COLUMNS($A:AA)+6,0))</f>
        <v>x</v>
      </c>
      <c r="AH14" s="42"/>
      <c r="AI14" s="42" t="str">
        <f>IF(VLOOKUP($A14,Data_Template!$A$6:$BA$16,COLUMNS($A:AC)+6,0)=0,"",VLOOKUP($A14,Data_Template!$A$6:$BA$16,COLUMNS($A:AC)+6,0))</f>
        <v>x</v>
      </c>
      <c r="AJ14" s="42" t="str">
        <f>IF(VLOOKUP($A14,Data_Template!$A$6:$BA$16,COLUMNS($A:AD)+6,0)=0,"",VLOOKUP($A14,Data_Template!$A$6:$BA$16,COLUMNS($A:AD)+6,0))</f>
        <v>x</v>
      </c>
      <c r="AK14" s="42" t="str">
        <f>IF(VLOOKUP($A14,Data_Template!$A$6:$BA$16,COLUMNS($A:AE)+6,0)=0,"",VLOOKUP($A14,Data_Template!$A$6:$BA$16,COLUMNS($A:AE)+6,0))</f>
        <v>x</v>
      </c>
      <c r="AL14" s="42" t="str">
        <f>IF(VLOOKUP($A14,Data_Template!$A$6:$BA$16,COLUMNS($A:AF)+6,0)=0,"",VLOOKUP($A14,Data_Template!$A$6:$BA$16,COLUMNS($A:AF)+6,0))</f>
        <v>x</v>
      </c>
      <c r="AM14" s="42" t="str">
        <f>IF(VLOOKUP($A14,Data_Template!$A$6:$BA$16,COLUMNS($A:AG)+6,0)=0,"",VLOOKUP($A14,Data_Template!$A$6:$BA$16,COLUMNS($A:AG)+6,0))</f>
        <v>x</v>
      </c>
      <c r="AN14" s="42" t="str">
        <f>IF(VLOOKUP($A14,Data_Template!$A$6:$BA$16,COLUMNS($A:AH)+6,0)=0,"",VLOOKUP($A14,Data_Template!$A$6:$BA$16,COLUMNS($A:AH)+6,0))</f>
        <v>x</v>
      </c>
      <c r="AO14" s="42" t="str">
        <f>IF(VLOOKUP($A14,Data_Template!$A$6:$BA$16,COLUMNS($A:AI)+6,0)=0,"",VLOOKUP($A14,Data_Template!$A$6:$BA$16,COLUMNS($A:AI)+6,0))</f>
        <v>x</v>
      </c>
      <c r="AP14" s="42" t="str">
        <f>IF(VLOOKUP($A14,Data_Template!$A$6:$BA$16,COLUMNS($A:AJ)+6,0)=0,"",VLOOKUP($A14,Data_Template!$A$6:$BA$16,COLUMNS($A:AJ)+6,0))</f>
        <v>x</v>
      </c>
      <c r="AQ14" s="42" t="str">
        <f>IF(VLOOKUP($A14,Data_Template!$A$6:$BA$16,COLUMNS($A:AK)+6,0)=0,"",VLOOKUP($A14,Data_Template!$A$6:$BA$16,COLUMNS($A:AK)+6,0))</f>
        <v>x</v>
      </c>
      <c r="AR14" s="42" t="str">
        <f>IF(VLOOKUP($A14,Data_Template!$A$6:$BA$16,COLUMNS($A:AL)+6,0)=0,"",VLOOKUP($A14,Data_Template!$A$6:$BA$16,COLUMNS($A:AL)+6,0))</f>
        <v>x</v>
      </c>
      <c r="AS14" s="42"/>
      <c r="AT14" s="42" t="str">
        <f>IF(VLOOKUP($A14,Data_Template!$A$6:$BA$16,COLUMNS($A:AN)+6,0)=0,"",VLOOKUP($A14,Data_Template!$A$6:$BA$16,COLUMNS($A:AN)+6,0))</f>
        <v/>
      </c>
      <c r="AU14" s="42" t="str">
        <f>IF(VLOOKUP($A14,Data_Template!$A$6:$BA$16,COLUMNS($A:AO)+6,0)=0,"",VLOOKUP($A14,Data_Template!$A$6:$BA$16,COLUMNS($A:AO)+6,0))</f>
        <v/>
      </c>
      <c r="AV14" s="42" t="str">
        <f>IF(VLOOKUP($A14,Data_Template!$A$6:$BA$16,COLUMNS($A:AP)+6,0)=0,"",VLOOKUP($A14,Data_Template!$A$6:$BA$16,COLUMNS($A:AP)+6,0))</f>
        <v>x</v>
      </c>
      <c r="AW14" s="42" t="str">
        <f>IF(VLOOKUP($A14,Data_Template!$A$6:$BA$16,COLUMNS($A:AQ)+6,0)=0,"",VLOOKUP($A14,Data_Template!$A$6:$BA$16,COLUMNS($A:AQ)+6,0))</f>
        <v>x</v>
      </c>
      <c r="AX14" s="42"/>
      <c r="AY14" s="42" t="str">
        <f>IF(VLOOKUP($A14,Data_Template!$A$6:$BA$16,COLUMNS($A:AS)+6,0)=0,"",VLOOKUP($A14,Data_Template!$A$6:$BA$16,COLUMNS($A:AS)+6,0))</f>
        <v>x</v>
      </c>
      <c r="AZ14" s="42"/>
      <c r="BA14" s="42"/>
      <c r="BB14" s="50"/>
      <c r="BC14" s="42"/>
      <c r="BD14" s="42"/>
      <c r="BE14" s="42"/>
      <c r="BF14" s="42"/>
      <c r="BG14" s="42"/>
      <c r="BH14" s="42"/>
      <c r="BI14" s="42"/>
      <c r="BJ14" s="42"/>
      <c r="BL14" s="42"/>
      <c r="BM14" s="42"/>
      <c r="BN14" s="42"/>
      <c r="BO14" s="42"/>
      <c r="BP14" s="42"/>
      <c r="BQ14" s="42"/>
      <c r="BR14" s="42"/>
      <c r="BS14" s="42"/>
      <c r="BT14" s="42"/>
      <c r="BU14" s="42"/>
      <c r="BV14" s="42"/>
      <c r="BW14" s="42"/>
      <c r="BX14" s="42"/>
    </row>
    <row r="15" spans="1:76" s="51" customFormat="1" ht="63.75" x14ac:dyDescent="0.2">
      <c r="A15" s="42" t="str">
        <f>Classes!J12</f>
        <v>IFMA_C_31010005</v>
      </c>
      <c r="B15" s="246" t="str">
        <f>Classes!P12</f>
        <v>Aussenraum</v>
      </c>
      <c r="C15" s="37"/>
      <c r="D15" s="42" t="s">
        <v>884</v>
      </c>
      <c r="E15" s="41"/>
      <c r="G15" s="42"/>
      <c r="H15" s="42"/>
      <c r="I15" s="42" t="str">
        <f>IF(VLOOKUP($A15,Data_Template!$A$6:$BA$16,COLUMNS($A:C)+6,0)=0,"",VLOOKUP($A15,Data_Template!$A$6:$BA$16,COLUMNS($A:C)+6,0))</f>
        <v>["3.1_ANGF", "3.1.1_ANF", "3.1.2_AVF", "3.1.3_AFF", "3.1_SEN", "3.1.1_SEU", "3.1.2_SED", "3.1.3_SEI", "3.1_SNE", "3.1.1_SUE", "3.1.2_SCIRE", "3.1.3_SIE"]</v>
      </c>
      <c r="J15" s="42" t="str">
        <f>IF(VLOOKUP($A15,Data_Template!$A$6:$BA$16,COLUMNS($A:D)+6,0)=0,"",VLOOKUP($A15,Data_Template!$A$6:$BA$16,COLUMNS($A:D)+6,0))</f>
        <v/>
      </c>
      <c r="K15" s="42" t="str">
        <f>IF(VLOOKUP($A15,Data_Template!$A$6:$BA$16,COLUMNS($A:E)+6,0)=0,"",VLOOKUP($A15,Data_Template!$A$6:$BA$16,COLUMNS($A:E)+6,0))</f>
        <v/>
      </c>
      <c r="L15" s="42" t="str">
        <f>IF(VLOOKUP($A15,Data_Template!$A$6:$BA$16,COLUMNS($A:F)+6,0)=0,"",VLOOKUP($A15,Data_Template!$A$6:$BA$16,COLUMNS($A:F)+6,0))</f>
        <v/>
      </c>
      <c r="M15" s="42"/>
      <c r="N15" s="42" t="str">
        <f>IF(VLOOKUP($A15,Data_Template!$A$6:$BA$16,COLUMNS($A:H)+6,0)=0,"",VLOOKUP($A15,Data_Template!$A$6:$BA$16,COLUMNS($A:H)+6,0))</f>
        <v>x</v>
      </c>
      <c r="O15" s="42" t="str">
        <f>IF(VLOOKUP($A15,Data_Template!$A$6:$BA$16,COLUMNS($A:I)+6,0)=0,"",VLOOKUP($A15,Data_Template!$A$6:$BA$16,COLUMNS($A:I)+6,0))</f>
        <v/>
      </c>
      <c r="P15" s="42"/>
      <c r="Q15" s="42"/>
      <c r="R15" s="42" t="str">
        <f>IF(VLOOKUP($A15,Data_Template!$A$6:$BA$16,COLUMNS($A:L)+6,0)=0,"",VLOOKUP($A15,Data_Template!$A$6:$BA$16,COLUMNS($A:L)+6,0))</f>
        <v/>
      </c>
      <c r="S15" s="42" t="str">
        <f>IF(VLOOKUP($A15,Data_Template!$A$6:$BA$16,COLUMNS($A:M)+6,0)=0,"",VLOOKUP($A15,Data_Template!$A$6:$BA$16,COLUMNS($A:M)+6,0))</f>
        <v/>
      </c>
      <c r="T15" s="42" t="str">
        <f>IF(VLOOKUP($A15,Data_Template!$A$6:$BA$16,COLUMNS($A:N)+6,0)=0,"",VLOOKUP($A15,Data_Template!$A$6:$BA$16,COLUMNS($A:N)+6,0))</f>
        <v/>
      </c>
      <c r="U15" s="42" t="str">
        <f>IF(VLOOKUP($A15,Data_Template!$A$6:$BA$16,COLUMNS($A:O)+6,0)=0,"",VLOOKUP($A15,Data_Template!$A$6:$BA$16,COLUMNS($A:O)+6,0))</f>
        <v/>
      </c>
      <c r="V15" s="42" t="str">
        <f>IF(VLOOKUP($A15,Data_Template!$A$6:$BA$16,COLUMNS($A:P)+6,0)=0,"",VLOOKUP($A15,Data_Template!$A$6:$BA$16,COLUMNS($A:P)+6,0))</f>
        <v/>
      </c>
      <c r="W15" s="42" t="str">
        <f>IF(VLOOKUP($A15,Data_Template!$A$6:$BA$16,COLUMNS($A:Q)+6,0)=0,"",VLOOKUP($A15,Data_Template!$A$6:$BA$16,COLUMNS($A:Q)+6,0))</f>
        <v/>
      </c>
      <c r="X15" s="42" t="str">
        <f>IF(VLOOKUP($A15,Data_Template!$A$6:$BA$16,COLUMNS($A:R)+6,0)=0,"",VLOOKUP($A15,Data_Template!$A$6:$BA$16,COLUMNS($A:R)+6,0))</f>
        <v/>
      </c>
      <c r="Y15" s="42"/>
      <c r="Z15" s="42" t="str">
        <f>IF(VLOOKUP($A15,Data_Template!$A$6:$BA$16,COLUMNS($A:T)+6,0)=0,"",VLOOKUP($A15,Data_Template!$A$6:$BA$16,COLUMNS($A:T)+6,0))</f>
        <v/>
      </c>
      <c r="AA15" s="42" t="str">
        <f>IF(VLOOKUP($A15,Data_Template!$A$6:$BA$16,COLUMNS($A:U)+6,0)=0,"",VLOOKUP($A15,Data_Template!$A$6:$BA$16,COLUMNS($A:U)+6,0))</f>
        <v/>
      </c>
      <c r="AB15" s="42" t="str">
        <f>IF(VLOOKUP($A15,Data_Template!$A$6:$BA$16,COLUMNS($A:V)+6,0)=0,"",VLOOKUP($A15,Data_Template!$A$6:$BA$16,COLUMNS($A:V)+6,0))</f>
        <v/>
      </c>
      <c r="AC15" s="42"/>
      <c r="AD15" s="42" t="str">
        <f>IF(VLOOKUP($A15,Data_Template!$A$6:$BA$16,COLUMNS($A:X)+6,0)=0,"",VLOOKUP($A15,Data_Template!$A$6:$BA$16,COLUMNS($A:X)+6,0))</f>
        <v>["true"]</v>
      </c>
      <c r="AE15" s="42"/>
      <c r="AF15" s="42" t="str">
        <f>IF(VLOOKUP($A15,Data_Template!$A$6:$BA$16,COLUMNS($A:Z)+6,0)=0,"",VLOOKUP($A15,Data_Template!$A$6:$BA$16,COLUMNS($A:Z)+6,0))</f>
        <v/>
      </c>
      <c r="AG15" s="42" t="str">
        <f>IF(VLOOKUP($A15,Data_Template!$A$6:$BA$16,COLUMNS($A:AA)+6,0)=0,"",VLOOKUP($A15,Data_Template!$A$6:$BA$16,COLUMNS($A:AA)+6,0))</f>
        <v>x</v>
      </c>
      <c r="AH15" s="42"/>
      <c r="AI15" s="42" t="str">
        <f>IF(VLOOKUP($A15,Data_Template!$A$6:$BA$16,COLUMNS($A:AC)+6,0)=0,"",VLOOKUP($A15,Data_Template!$A$6:$BA$16,COLUMNS($A:AC)+6,0))</f>
        <v>x</v>
      </c>
      <c r="AJ15" s="42" t="str">
        <f>IF(VLOOKUP($A15,Data_Template!$A$6:$BA$16,COLUMNS($A:AD)+6,0)=0,"",VLOOKUP($A15,Data_Template!$A$6:$BA$16,COLUMNS($A:AD)+6,0))</f>
        <v/>
      </c>
      <c r="AK15" s="42" t="str">
        <f>IF(VLOOKUP($A15,Data_Template!$A$6:$BA$16,COLUMNS($A:AE)+6,0)=0,"",VLOOKUP($A15,Data_Template!$A$6:$BA$16,COLUMNS($A:AE)+6,0))</f>
        <v/>
      </c>
      <c r="AL15" s="42" t="str">
        <f>IF(VLOOKUP($A15,Data_Template!$A$6:$BA$16,COLUMNS($A:AF)+6,0)=0,"",VLOOKUP($A15,Data_Template!$A$6:$BA$16,COLUMNS($A:AF)+6,0))</f>
        <v/>
      </c>
      <c r="AM15" s="42" t="str">
        <f>IF(VLOOKUP($A15,Data_Template!$A$6:$BA$16,COLUMNS($A:AG)+6,0)=0,"",VLOOKUP($A15,Data_Template!$A$6:$BA$16,COLUMNS($A:AG)+6,0))</f>
        <v/>
      </c>
      <c r="AN15" s="42" t="str">
        <f>IF(VLOOKUP($A15,Data_Template!$A$6:$BA$16,COLUMNS($A:AH)+6,0)=0,"",VLOOKUP($A15,Data_Template!$A$6:$BA$16,COLUMNS($A:AH)+6,0))</f>
        <v/>
      </c>
      <c r="AO15" s="42" t="str">
        <f>IF(VLOOKUP($A15,Data_Template!$A$6:$BA$16,COLUMNS($A:AI)+6,0)=0,"",VLOOKUP($A15,Data_Template!$A$6:$BA$16,COLUMNS($A:AI)+6,0))</f>
        <v/>
      </c>
      <c r="AP15" s="42" t="str">
        <f>IF(VLOOKUP($A15,Data_Template!$A$6:$BA$16,COLUMNS($A:AJ)+6,0)=0,"",VLOOKUP($A15,Data_Template!$A$6:$BA$16,COLUMNS($A:AJ)+6,0))</f>
        <v/>
      </c>
      <c r="AQ15" s="42" t="str">
        <f>IF(VLOOKUP($A15,Data_Template!$A$6:$BA$16,COLUMNS($A:AK)+6,0)=0,"",VLOOKUP($A15,Data_Template!$A$6:$BA$16,COLUMNS($A:AK)+6,0))</f>
        <v/>
      </c>
      <c r="AR15" s="42" t="str">
        <f>IF(VLOOKUP($A15,Data_Template!$A$6:$BA$16,COLUMNS($A:AL)+6,0)=0,"",VLOOKUP($A15,Data_Template!$A$6:$BA$16,COLUMNS($A:AL)+6,0))</f>
        <v/>
      </c>
      <c r="AS15" s="42" t="str">
        <f>IF(VLOOKUP($A15,Data_Template!$A$6:$BA$16,COLUMNS($A:AM)+6,0)=0,"",VLOOKUP($A15,Data_Template!$A$6:$BA$16,COLUMNS($A:AM)+6,0))</f>
        <v/>
      </c>
      <c r="AT15" s="42" t="str">
        <f>IF(VLOOKUP($A15,Data_Template!$A$6:$BA$16,COLUMNS($A:AN)+6,0)=0,"",VLOOKUP($A15,Data_Template!$A$6:$BA$16,COLUMNS($A:AN)+6,0))</f>
        <v/>
      </c>
      <c r="AU15" s="42" t="str">
        <f>IF(VLOOKUP($A15,Data_Template!$A$6:$BA$16,COLUMNS($A:AO)+6,0)=0,"",VLOOKUP($A15,Data_Template!$A$6:$BA$16,COLUMNS($A:AO)+6,0))</f>
        <v/>
      </c>
      <c r="AV15" s="42" t="str">
        <f>IF(VLOOKUP($A15,Data_Template!$A$6:$BA$16,COLUMNS($A:AP)+6,0)=0,"",VLOOKUP($A15,Data_Template!$A$6:$BA$16,COLUMNS($A:AP)+6,0))</f>
        <v>x</v>
      </c>
      <c r="AW15" s="42" t="str">
        <f>IF(VLOOKUP($A15,Data_Template!$A$6:$BA$16,COLUMNS($A:AQ)+6,0)=0,"",VLOOKUP($A15,Data_Template!$A$6:$BA$16,COLUMNS($A:AQ)+6,0))</f>
        <v/>
      </c>
      <c r="AX15" s="42" t="str">
        <f>IF(VLOOKUP($A15,Data_Template!$A$6:$BA$16,COLUMNS($A:AR)+6,0)=0,"",VLOOKUP($A15,Data_Template!$A$6:$BA$16,COLUMNS($A:AR)+6,0))</f>
        <v/>
      </c>
      <c r="AY15" s="42" t="str">
        <f>IF(VLOOKUP($A15,Data_Template!$A$6:$BA$16,COLUMNS($A:AS)+6,0)=0,"",VLOOKUP($A15,Data_Template!$A$6:$BA$16,COLUMNS($A:AS)+6,0))</f>
        <v/>
      </c>
      <c r="AZ15" s="42" t="str">
        <f>IF(VLOOKUP($A15,Data_Template!$A$6:$BA$16,COLUMNS($A:AT)+6,0)=0,"",VLOOKUP($A15,Data_Template!$A$6:$BA$16,COLUMNS($A:AT)+6,0))</f>
        <v/>
      </c>
      <c r="BA15" s="42"/>
      <c r="BB15" s="50"/>
      <c r="BC15" s="42"/>
      <c r="BD15" s="42"/>
      <c r="BE15" s="42"/>
      <c r="BF15" s="42"/>
      <c r="BG15" s="42"/>
      <c r="BH15" s="42"/>
      <c r="BI15" s="42"/>
      <c r="BJ15" s="42"/>
      <c r="BL15" s="42"/>
      <c r="BM15" s="42"/>
      <c r="BN15" s="42"/>
      <c r="BO15" s="42"/>
      <c r="BP15" s="42"/>
      <c r="BQ15" s="42"/>
      <c r="BR15" s="42"/>
      <c r="BS15" s="42"/>
      <c r="BT15" s="42"/>
      <c r="BU15" s="42"/>
      <c r="BV15" s="42"/>
      <c r="BW15" s="42"/>
      <c r="BX15" s="42"/>
    </row>
    <row r="16" spans="1:76" s="51" customFormat="1" ht="14.25" x14ac:dyDescent="0.2">
      <c r="A16" s="42" t="str">
        <f>Classes!J13</f>
        <v>IFMA_C_31010006</v>
      </c>
      <c r="B16" s="246" t="str">
        <f>Classes!P13</f>
        <v>Einzelparkplatz</v>
      </c>
      <c r="C16" s="37"/>
      <c r="D16" s="42" t="s">
        <v>884</v>
      </c>
      <c r="E16" s="41"/>
      <c r="G16" s="42"/>
      <c r="H16" s="42"/>
      <c r="I16" s="42" t="str">
        <f>IF(VLOOKUP($A16,Data_Template!$A$6:$BA$16,COLUMNS($A:C)+6,0)=0,"",VLOOKUP($A16,Data_Template!$A$6:$BA$16,COLUMNS($A:C)+6,0))</f>
        <v/>
      </c>
      <c r="J16" s="42" t="str">
        <f>IF(VLOOKUP($A16,Data_Template!$A$6:$BA$16,COLUMNS($A:D)+6,0)=0,"",VLOOKUP($A16,Data_Template!$A$6:$BA$16,COLUMNS($A:D)+6,0))</f>
        <v/>
      </c>
      <c r="K16" s="42" t="str">
        <f>IF(VLOOKUP($A16,Data_Template!$A$6:$BA$16,COLUMNS($A:E)+6,0)=0,"",VLOOKUP($A16,Data_Template!$A$6:$BA$16,COLUMNS($A:E)+6,0))</f>
        <v/>
      </c>
      <c r="L16" s="42" t="str">
        <f>IF(VLOOKUP($A16,Data_Template!$A$6:$BA$16,COLUMNS($A:F)+6,0)=0,"",VLOOKUP($A16,Data_Template!$A$6:$BA$16,COLUMNS($A:F)+6,0))</f>
        <v/>
      </c>
      <c r="M16" s="42"/>
      <c r="N16" s="42"/>
      <c r="O16" s="42" t="str">
        <f>IF(VLOOKUP($A16,Data_Template!$A$6:$BA$16,COLUMNS($A:I)+6,0)=0,"",VLOOKUP($A16,Data_Template!$A$6:$BA$16,COLUMNS($A:I)+6,0))</f>
        <v/>
      </c>
      <c r="P16" s="42"/>
      <c r="Q16" s="42"/>
      <c r="R16" s="42" t="str">
        <f>IF(VLOOKUP($A16,Data_Template!$A$6:$BA$16,COLUMNS($A:L)+6,0)=0,"",VLOOKUP($A16,Data_Template!$A$6:$BA$16,COLUMNS($A:L)+6,0))</f>
        <v/>
      </c>
      <c r="S16" s="42" t="str">
        <f>IF(VLOOKUP($A16,Data_Template!$A$6:$BA$16,COLUMNS($A:M)+6,0)=0,"",VLOOKUP($A16,Data_Template!$A$6:$BA$16,COLUMNS($A:M)+6,0))</f>
        <v/>
      </c>
      <c r="T16" s="42" t="str">
        <f>IF(VLOOKUP($A16,Data_Template!$A$6:$BA$16,COLUMNS($A:N)+6,0)=0,"",VLOOKUP($A16,Data_Template!$A$6:$BA$16,COLUMNS($A:N)+6,0))</f>
        <v/>
      </c>
      <c r="U16" s="42" t="str">
        <f>IF(VLOOKUP($A16,Data_Template!$A$6:$BA$16,COLUMNS($A:O)+6,0)=0,"",VLOOKUP($A16,Data_Template!$A$6:$BA$16,COLUMNS($A:O)+6,0))</f>
        <v/>
      </c>
      <c r="V16" s="42" t="str">
        <f>IF(VLOOKUP($A16,Data_Template!$A$6:$BA$16,COLUMNS($A:P)+6,0)=0,"",VLOOKUP($A16,Data_Template!$A$6:$BA$16,COLUMNS($A:P)+6,0))</f>
        <v/>
      </c>
      <c r="W16" s="42" t="str">
        <f>IF(VLOOKUP($A16,Data_Template!$A$6:$BA$16,COLUMNS($A:Q)+6,0)=0,"",VLOOKUP($A16,Data_Template!$A$6:$BA$16,COLUMNS($A:Q)+6,0))</f>
        <v/>
      </c>
      <c r="X16" s="42" t="str">
        <f>IF(VLOOKUP($A16,Data_Template!$A$6:$BA$16,COLUMNS($A:R)+6,0)=0,"",VLOOKUP($A16,Data_Template!$A$6:$BA$16,COLUMNS($A:R)+6,0))</f>
        <v/>
      </c>
      <c r="Y16" s="42"/>
      <c r="Z16" s="42" t="str">
        <f>IF(VLOOKUP($A16,Data_Template!$A$6:$BA$16,COLUMNS($A:T)+6,0)=0,"",VLOOKUP($A16,Data_Template!$A$6:$BA$16,COLUMNS($A:T)+6,0))</f>
        <v/>
      </c>
      <c r="AA16" s="42" t="str">
        <f>IF(VLOOKUP($A16,Data_Template!$A$6:$BA$16,COLUMNS($A:U)+6,0)=0,"",VLOOKUP($A16,Data_Template!$A$6:$BA$16,COLUMNS($A:U)+6,0))</f>
        <v/>
      </c>
      <c r="AB16" s="42" t="str">
        <f>IF(VLOOKUP($A16,Data_Template!$A$6:$BA$16,COLUMNS($A:V)+6,0)=0,"",VLOOKUP($A16,Data_Template!$A$6:$BA$16,COLUMNS($A:V)+6,0))</f>
        <v/>
      </c>
      <c r="AC16" s="42"/>
      <c r="AD16" s="42"/>
      <c r="AE16" s="42"/>
      <c r="AF16" s="42" t="str">
        <f>IF(VLOOKUP($A16,Data_Template!$A$6:$BA$16,COLUMNS($A:Z)+6,0)=0,"",VLOOKUP($A16,Data_Template!$A$6:$BA$16,COLUMNS($A:Z)+6,0))</f>
        <v/>
      </c>
      <c r="AG16" s="42" t="str">
        <f>IF(VLOOKUP($A16,Data_Template!$A$6:$BA$16,COLUMNS($A:AA)+6,0)=0,"",VLOOKUP($A16,Data_Template!$A$6:$BA$16,COLUMNS($A:AA)+6,0))</f>
        <v/>
      </c>
      <c r="AH16" s="42" t="str">
        <f>IF(VLOOKUP($A16,Data_Template!$A$6:$BA$16,COLUMNS($A:AB)+6,0)=0,"",VLOOKUP($A16,Data_Template!$A$6:$BA$16,COLUMNS($A:AB)+6,0))</f>
        <v/>
      </c>
      <c r="AI16" s="42" t="str">
        <f>IF(VLOOKUP($A16,Data_Template!$A$6:$BA$16,COLUMNS($A:AC)+6,0)=0,"",VLOOKUP($A16,Data_Template!$A$6:$BA$16,COLUMNS($A:AC)+6,0))</f>
        <v/>
      </c>
      <c r="AJ16" s="42" t="str">
        <f>IF(VLOOKUP($A16,Data_Template!$A$6:$BA$16,COLUMNS($A:AD)+6,0)=0,"",VLOOKUP($A16,Data_Template!$A$6:$BA$16,COLUMNS($A:AD)+6,0))</f>
        <v/>
      </c>
      <c r="AK16" s="42" t="str">
        <f>IF(VLOOKUP($A16,Data_Template!$A$6:$BA$16,COLUMNS($A:AE)+6,0)=0,"",VLOOKUP($A16,Data_Template!$A$6:$BA$16,COLUMNS($A:AE)+6,0))</f>
        <v/>
      </c>
      <c r="AL16" s="42" t="str">
        <f>IF(VLOOKUP($A16,Data_Template!$A$6:$BA$16,COLUMNS($A:AF)+6,0)=0,"",VLOOKUP($A16,Data_Template!$A$6:$BA$16,COLUMNS($A:AF)+6,0))</f>
        <v/>
      </c>
      <c r="AM16" s="42" t="str">
        <f>IF(VLOOKUP($A16,Data_Template!$A$6:$BA$16,COLUMNS($A:AG)+6,0)=0,"",VLOOKUP($A16,Data_Template!$A$6:$BA$16,COLUMNS($A:AG)+6,0))</f>
        <v/>
      </c>
      <c r="AN16" s="42" t="str">
        <f>IF(VLOOKUP($A16,Data_Template!$A$6:$BA$16,COLUMNS($A:AH)+6,0)=0,"",VLOOKUP($A16,Data_Template!$A$6:$BA$16,COLUMNS($A:AH)+6,0))</f>
        <v/>
      </c>
      <c r="AO16" s="42" t="str">
        <f>IF(VLOOKUP($A16,Data_Template!$A$6:$BA$16,COLUMNS($A:AI)+6,0)=0,"",VLOOKUP($A16,Data_Template!$A$6:$BA$16,COLUMNS($A:AI)+6,0))</f>
        <v/>
      </c>
      <c r="AP16" s="42" t="str">
        <f>IF(VLOOKUP($A16,Data_Template!$A$6:$BA$16,COLUMNS($A:AJ)+6,0)=0,"",VLOOKUP($A16,Data_Template!$A$6:$BA$16,COLUMNS($A:AJ)+6,0))</f>
        <v/>
      </c>
      <c r="AQ16" s="42" t="str">
        <f>IF(VLOOKUP($A16,Data_Template!$A$6:$BA$16,COLUMNS($A:AK)+6,0)=0,"",VLOOKUP($A16,Data_Template!$A$6:$BA$16,COLUMNS($A:AK)+6,0))</f>
        <v/>
      </c>
      <c r="AR16" s="42" t="str">
        <f>IF(VLOOKUP($A16,Data_Template!$A$6:$BA$16,COLUMNS($A:AL)+6,0)=0,"",VLOOKUP($A16,Data_Template!$A$6:$BA$16,COLUMNS($A:AL)+6,0))</f>
        <v/>
      </c>
      <c r="AS16" s="42" t="str">
        <f>IF(VLOOKUP($A16,Data_Template!$A$6:$BA$16,COLUMNS($A:AM)+6,0)=0,"",VLOOKUP($A16,Data_Template!$A$6:$BA$16,COLUMNS($A:AM)+6,0))</f>
        <v/>
      </c>
      <c r="AT16" s="42"/>
      <c r="AU16" s="42" t="str">
        <f>IF(VLOOKUP($A16,Data_Template!$A$6:$BA$16,COLUMNS($A:AO)+6,0)=0,"",VLOOKUP($A16,Data_Template!$A$6:$BA$16,COLUMNS($A:AO)+6,0))</f>
        <v/>
      </c>
      <c r="AV16" s="42" t="str">
        <f>IF(VLOOKUP($A16,Data_Template!$A$6:$BA$16,COLUMNS($A:AP)+6,0)=0,"",VLOOKUP($A16,Data_Template!$A$6:$BA$16,COLUMNS($A:AP)+6,0))</f>
        <v/>
      </c>
      <c r="AW16" s="42" t="str">
        <f>IF(VLOOKUP($A16,Data_Template!$A$6:$BA$16,COLUMNS($A:AQ)+6,0)=0,"",VLOOKUP($A16,Data_Template!$A$6:$BA$16,COLUMNS($A:AQ)+6,0))</f>
        <v/>
      </c>
      <c r="AX16" s="42" t="str">
        <f>IF(VLOOKUP($A16,Data_Template!$A$6:$BA$16,COLUMNS($A:AR)+6,0)=0,"",VLOOKUP($A16,Data_Template!$A$6:$BA$16,COLUMNS($A:AR)+6,0))</f>
        <v/>
      </c>
      <c r="AY16" s="42"/>
      <c r="AZ16" s="42" t="str">
        <f>IF(VLOOKUP($A16,Data_Template!$A$6:$BA$16,COLUMNS($A:AT)+6,0)=0,"",VLOOKUP($A16,Data_Template!$A$6:$BA$16,COLUMNS($A:AT)+6,0))</f>
        <v/>
      </c>
      <c r="BA16" s="42"/>
      <c r="BB16" s="50"/>
      <c r="BC16" s="42"/>
      <c r="BD16" s="42"/>
      <c r="BE16" s="42"/>
      <c r="BF16" s="42"/>
      <c r="BG16" s="42"/>
      <c r="BH16" s="42"/>
      <c r="BI16" s="42"/>
      <c r="BJ16" s="42"/>
      <c r="BL16" s="42"/>
      <c r="BM16" s="42"/>
      <c r="BN16" s="42"/>
      <c r="BO16" s="42"/>
      <c r="BP16" s="42"/>
      <c r="BQ16" s="42"/>
      <c r="BR16" s="42"/>
      <c r="BS16" s="42"/>
      <c r="BT16" s="42"/>
      <c r="BU16" s="42"/>
      <c r="BV16" s="42"/>
      <c r="BW16" s="42"/>
      <c r="BX16" s="42"/>
    </row>
    <row r="17" spans="1:76" s="51" customFormat="1" ht="14.25" x14ac:dyDescent="0.2">
      <c r="A17" s="42" t="str">
        <f>Classes!J14</f>
        <v>IFMA_C_31010007</v>
      </c>
      <c r="B17" s="246" t="str">
        <f>Classes!P14</f>
        <v>Vermietbare Fläche</v>
      </c>
      <c r="C17" s="37"/>
      <c r="D17" s="42" t="s">
        <v>884</v>
      </c>
      <c r="E17" s="41"/>
      <c r="G17" s="42"/>
      <c r="H17" s="42"/>
      <c r="I17" s="42" t="str">
        <f>IF(VLOOKUP($A17,Data_Template!$A$6:$BA$16,COLUMNS($A:C)+6,0)=0,"",VLOOKUP($A17,Data_Template!$A$6:$BA$16,COLUMNS($A:C)+6,0))</f>
        <v/>
      </c>
      <c r="J17" s="42" t="str">
        <f>IF(VLOOKUP($A17,Data_Template!$A$6:$BA$16,COLUMNS($A:D)+6,0)=0,"",VLOOKUP($A17,Data_Template!$A$6:$BA$16,COLUMNS($A:D)+6,0))</f>
        <v/>
      </c>
      <c r="K17" s="42" t="str">
        <f>IF(VLOOKUP($A17,Data_Template!$A$6:$BA$16,COLUMNS($A:E)+6,0)=0,"",VLOOKUP($A17,Data_Template!$A$6:$BA$16,COLUMNS($A:E)+6,0))</f>
        <v/>
      </c>
      <c r="L17" s="42" t="str">
        <f>IF(VLOOKUP($A17,Data_Template!$A$6:$BA$16,COLUMNS($A:F)+6,0)=0,"",VLOOKUP($A17,Data_Template!$A$6:$BA$16,COLUMNS($A:F)+6,0))</f>
        <v/>
      </c>
      <c r="M17" s="42"/>
      <c r="N17" s="42" t="str">
        <f>IF(VLOOKUP($A17,Data_Template!$A$6:$BA$16,COLUMNS($A:H)+6,0)=0,"",VLOOKUP($A17,Data_Template!$A$6:$BA$16,COLUMNS($A:H)+6,0))</f>
        <v/>
      </c>
      <c r="O17" s="42"/>
      <c r="P17" s="42"/>
      <c r="Q17" s="42" t="str">
        <f>IF(VLOOKUP($A17,Data_Template!$A$6:$BA$16,COLUMNS($A:K)+6,0)=0,"",VLOOKUP($A17,Data_Template!$A$6:$BA$16,COLUMNS($A:K)+6,0))</f>
        <v/>
      </c>
      <c r="R17" s="42" t="str">
        <f>IF(VLOOKUP($A17,Data_Template!$A$6:$BA$16,COLUMNS($A:L)+6,0)=0,"",VLOOKUP($A17,Data_Template!$A$6:$BA$16,COLUMNS($A:L)+6,0))</f>
        <v/>
      </c>
      <c r="S17" s="42" t="str">
        <f>IF(VLOOKUP($A17,Data_Template!$A$6:$BA$16,COLUMNS($A:M)+6,0)=0,"",VLOOKUP($A17,Data_Template!$A$6:$BA$16,COLUMNS($A:M)+6,0))</f>
        <v/>
      </c>
      <c r="T17" s="42" t="str">
        <f>IF(VLOOKUP($A17,Data_Template!$A$6:$BA$16,COLUMNS($A:N)+6,0)=0,"",VLOOKUP($A17,Data_Template!$A$6:$BA$16,COLUMNS($A:N)+6,0))</f>
        <v/>
      </c>
      <c r="U17" s="42" t="str">
        <f>IF(VLOOKUP($A17,Data_Template!$A$6:$BA$16,COLUMNS($A:O)+6,0)=0,"",VLOOKUP($A17,Data_Template!$A$6:$BA$16,COLUMNS($A:O)+6,0))</f>
        <v/>
      </c>
      <c r="V17" s="42" t="str">
        <f>IF(VLOOKUP($A17,Data_Template!$A$6:$BA$16,COLUMNS($A:P)+6,0)=0,"",VLOOKUP($A17,Data_Template!$A$6:$BA$16,COLUMNS($A:P)+6,0))</f>
        <v/>
      </c>
      <c r="W17" s="42" t="str">
        <f>IF(VLOOKUP($A17,Data_Template!$A$6:$BA$16,COLUMNS($A:Q)+6,0)=0,"",VLOOKUP($A17,Data_Template!$A$6:$BA$16,COLUMNS($A:Q)+6,0))</f>
        <v/>
      </c>
      <c r="X17" s="42" t="str">
        <f>IF(VLOOKUP($A17,Data_Template!$A$6:$BA$16,COLUMNS($A:R)+6,0)=0,"",VLOOKUP($A17,Data_Template!$A$6:$BA$16,COLUMNS($A:R)+6,0))</f>
        <v/>
      </c>
      <c r="Y17" s="42"/>
      <c r="Z17" s="42" t="str">
        <f>IF(VLOOKUP($A17,Data_Template!$A$6:$BA$16,COLUMNS($A:T)+6,0)=0,"",VLOOKUP($A17,Data_Template!$A$6:$BA$16,COLUMNS($A:T)+6,0))</f>
        <v/>
      </c>
      <c r="AA17" s="42" t="str">
        <f>IF(VLOOKUP($A17,Data_Template!$A$6:$BA$16,COLUMNS($A:U)+6,0)=0,"",VLOOKUP($A17,Data_Template!$A$6:$BA$16,COLUMNS($A:U)+6,0))</f>
        <v/>
      </c>
      <c r="AB17" s="42" t="str">
        <f>IF(VLOOKUP($A17,Data_Template!$A$6:$BA$16,COLUMNS($A:V)+6,0)=0,"",VLOOKUP($A17,Data_Template!$A$6:$BA$16,COLUMNS($A:V)+6,0))</f>
        <v/>
      </c>
      <c r="AC17" s="42"/>
      <c r="AD17" s="42" t="str">
        <f>IF(VLOOKUP($A17,Data_Template!$A$6:$BA$16,COLUMNS($A:X)+6,0)=0,"",VLOOKUP($A17,Data_Template!$A$6:$BA$16,COLUMNS($A:X)+6,0))</f>
        <v/>
      </c>
      <c r="AE17" s="42" t="str">
        <f>IF(VLOOKUP($A17,Data_Template!$A$6:$BA$16,COLUMNS($A:Y)+6,0)=0,"",VLOOKUP($A17,Data_Template!$A$6:$BA$16,COLUMNS($A:Y)+6,0))</f>
        <v/>
      </c>
      <c r="AF17" s="42" t="str">
        <f>IF(VLOOKUP($A17,Data_Template!$A$6:$BA$16,COLUMNS($A:Z)+6,0)=0,"",VLOOKUP($A17,Data_Template!$A$6:$BA$16,COLUMNS($A:Z)+6,0))</f>
        <v/>
      </c>
      <c r="AG17" s="42"/>
      <c r="AH17" s="42"/>
      <c r="AI17" s="42" t="str">
        <f>IF(VLOOKUP($A17,Data_Template!$A$6:$BA$16,COLUMNS($A:AC)+6,0)=0,"",VLOOKUP($A17,Data_Template!$A$6:$BA$16,COLUMNS($A:AC)+6,0))</f>
        <v/>
      </c>
      <c r="AJ17" s="42" t="str">
        <f>IF(VLOOKUP($A17,Data_Template!$A$6:$BA$16,COLUMNS($A:AD)+6,0)=0,"",VLOOKUP($A17,Data_Template!$A$6:$BA$16,COLUMNS($A:AD)+6,0))</f>
        <v/>
      </c>
      <c r="AK17" s="42" t="str">
        <f>IF(VLOOKUP($A17,Data_Template!$A$6:$BA$16,COLUMNS($A:AE)+6,0)=0,"",VLOOKUP($A17,Data_Template!$A$6:$BA$16,COLUMNS($A:AE)+6,0))</f>
        <v/>
      </c>
      <c r="AL17" s="42" t="str">
        <f>IF(VLOOKUP($A17,Data_Template!$A$6:$BA$16,COLUMNS($A:AF)+6,0)=0,"",VLOOKUP($A17,Data_Template!$A$6:$BA$16,COLUMNS($A:AF)+6,0))</f>
        <v/>
      </c>
      <c r="AM17" s="42" t="str">
        <f>IF(VLOOKUP($A17,Data_Template!$A$6:$BA$16,COLUMNS($A:AG)+6,0)=0,"",VLOOKUP($A17,Data_Template!$A$6:$BA$16,COLUMNS($A:AG)+6,0))</f>
        <v/>
      </c>
      <c r="AN17" s="42" t="str">
        <f>IF(VLOOKUP($A17,Data_Template!$A$6:$BA$16,COLUMNS($A:AH)+6,0)=0,"",VLOOKUP($A17,Data_Template!$A$6:$BA$16,COLUMNS($A:AH)+6,0))</f>
        <v/>
      </c>
      <c r="AO17" s="42" t="str">
        <f>IF(VLOOKUP($A17,Data_Template!$A$6:$BA$16,COLUMNS($A:AI)+6,0)=0,"",VLOOKUP($A17,Data_Template!$A$6:$BA$16,COLUMNS($A:AI)+6,0))</f>
        <v/>
      </c>
      <c r="AP17" s="42" t="str">
        <f>IF(VLOOKUP($A17,Data_Template!$A$6:$BA$16,COLUMNS($A:AJ)+6,0)=0,"",VLOOKUP($A17,Data_Template!$A$6:$BA$16,COLUMNS($A:AJ)+6,0))</f>
        <v/>
      </c>
      <c r="AQ17" s="42" t="str">
        <f>IF(VLOOKUP($A17,Data_Template!$A$6:$BA$16,COLUMNS($A:AK)+6,0)=0,"",VLOOKUP($A17,Data_Template!$A$6:$BA$16,COLUMNS($A:AK)+6,0))</f>
        <v/>
      </c>
      <c r="AR17" s="42" t="str">
        <f>IF(VLOOKUP($A17,Data_Template!$A$6:$BA$16,COLUMNS($A:AL)+6,0)=0,"",VLOOKUP($A17,Data_Template!$A$6:$BA$16,COLUMNS($A:AL)+6,0))</f>
        <v/>
      </c>
      <c r="AS17" s="42" t="str">
        <f>IF(VLOOKUP($A17,Data_Template!$A$6:$BA$16,COLUMNS($A:AM)+6,0)=0,"",VLOOKUP($A17,Data_Template!$A$6:$BA$16,COLUMNS($A:AM)+6,0))</f>
        <v/>
      </c>
      <c r="AT17" s="42"/>
      <c r="AU17" s="42" t="str">
        <f>IF(VLOOKUP($A17,Data_Template!$A$6:$BA$16,COLUMNS($A:AO)+6,0)=0,"",VLOOKUP($A17,Data_Template!$A$6:$BA$16,COLUMNS($A:AO)+6,0))</f>
        <v/>
      </c>
      <c r="AV17" s="42"/>
      <c r="AW17" s="42" t="str">
        <f>IF(VLOOKUP($A17,Data_Template!$A$6:$BA$16,COLUMNS($A:AQ)+6,0)=0,"",VLOOKUP($A17,Data_Template!$A$6:$BA$16,COLUMNS($A:AQ)+6,0))</f>
        <v/>
      </c>
      <c r="AX17" s="42" t="str">
        <f>IF(VLOOKUP($A17,Data_Template!$A$6:$BA$16,COLUMNS($A:AR)+6,0)=0,"",VLOOKUP($A17,Data_Template!$A$6:$BA$16,COLUMNS($A:AR)+6,0))</f>
        <v/>
      </c>
      <c r="AY17" s="42" t="str">
        <f>IF(VLOOKUP($A17,Data_Template!$A$6:$BA$16,COLUMNS($A:AS)+6,0)=0,"",VLOOKUP($A17,Data_Template!$A$6:$BA$16,COLUMNS($A:AS)+6,0))</f>
        <v/>
      </c>
      <c r="AZ17" s="42" t="str">
        <f>IF(VLOOKUP($A17,Data_Template!$A$6:$BA$16,COLUMNS($A:AT)+6,0)=0,"",VLOOKUP($A17,Data_Template!$A$6:$BA$16,COLUMNS($A:AT)+6,0))</f>
        <v/>
      </c>
      <c r="BA17" s="42"/>
      <c r="BB17" s="50"/>
      <c r="BC17" s="42"/>
      <c r="BD17" s="42"/>
      <c r="BE17" s="42"/>
      <c r="BF17" s="42"/>
      <c r="BG17" s="42"/>
      <c r="BH17" s="42"/>
      <c r="BI17" s="42"/>
      <c r="BJ17" s="42"/>
      <c r="BL17" s="42"/>
      <c r="BM17" s="42"/>
      <c r="BN17" s="42"/>
      <c r="BO17" s="42"/>
      <c r="BP17" s="42"/>
      <c r="BQ17" s="42"/>
      <c r="BR17" s="42"/>
      <c r="BS17" s="42"/>
      <c r="BT17" s="42"/>
      <c r="BU17" s="42"/>
      <c r="BV17" s="42"/>
      <c r="BW17" s="42"/>
      <c r="BX17" s="42"/>
    </row>
    <row r="18" spans="1:76" s="51" customFormat="1" ht="14.25" x14ac:dyDescent="0.2">
      <c r="A18" s="42" t="str">
        <f>Classes!J15</f>
        <v>IFMA_C_31010008</v>
      </c>
      <c r="B18" s="246" t="str">
        <f>Classes!P15</f>
        <v>Nutzungseinheit</v>
      </c>
      <c r="C18" s="37"/>
      <c r="D18" s="42" t="s">
        <v>884</v>
      </c>
      <c r="E18" s="41"/>
      <c r="G18" s="42"/>
      <c r="H18" s="42"/>
      <c r="I18" s="42" t="str">
        <f>IF(VLOOKUP($A18,Data_Template!$A$6:$BA$16,COLUMNS($A:C)+6,0)=0,"",VLOOKUP($A18,Data_Template!$A$6:$BA$16,COLUMNS($A:C)+6,0))</f>
        <v/>
      </c>
      <c r="J18" s="42" t="str">
        <f>IF(VLOOKUP($A18,Data_Template!$A$6:$BA$16,COLUMNS($A:D)+6,0)=0,"",VLOOKUP($A18,Data_Template!$A$6:$BA$16,COLUMNS($A:D)+6,0))</f>
        <v/>
      </c>
      <c r="K18" s="42" t="str">
        <f>IF(VLOOKUP($A18,Data_Template!$A$6:$BA$16,COLUMNS($A:E)+6,0)=0,"",VLOOKUP($A18,Data_Template!$A$6:$BA$16,COLUMNS($A:E)+6,0))</f>
        <v/>
      </c>
      <c r="L18" s="42" t="str">
        <f>IF(VLOOKUP($A18,Data_Template!$A$6:$BA$16,COLUMNS($A:F)+6,0)=0,"",VLOOKUP($A18,Data_Template!$A$6:$BA$16,COLUMNS($A:F)+6,0))</f>
        <v/>
      </c>
      <c r="M18" s="42"/>
      <c r="N18" s="42" t="str">
        <f>IF(VLOOKUP($A18,Data_Template!$A$6:$BA$16,COLUMNS($A:H)+6,0)=0,"",VLOOKUP($A18,Data_Template!$A$6:$BA$16,COLUMNS($A:H)+6,0))</f>
        <v/>
      </c>
      <c r="O18" s="42"/>
      <c r="P18" s="42"/>
      <c r="Q18" s="42"/>
      <c r="R18" s="42" t="str">
        <f>IF(VLOOKUP($A18,Data_Template!$A$6:$BA$16,COLUMNS($A:L)+6,0)=0,"",VLOOKUP($A18,Data_Template!$A$6:$BA$16,COLUMNS($A:L)+6,0))</f>
        <v/>
      </c>
      <c r="S18" s="42" t="str">
        <f>IF(VLOOKUP($A18,Data_Template!$A$6:$BA$16,COLUMNS($A:M)+6,0)=0,"",VLOOKUP($A18,Data_Template!$A$6:$BA$16,COLUMNS($A:M)+6,0))</f>
        <v/>
      </c>
      <c r="T18" s="42" t="str">
        <f>IF(VLOOKUP($A18,Data_Template!$A$6:$BA$16,COLUMNS($A:N)+6,0)=0,"",VLOOKUP($A18,Data_Template!$A$6:$BA$16,COLUMNS($A:N)+6,0))</f>
        <v/>
      </c>
      <c r="U18" s="42" t="str">
        <f>IF(VLOOKUP($A18,Data_Template!$A$6:$BA$16,COLUMNS($A:O)+6,0)=0,"",VLOOKUP($A18,Data_Template!$A$6:$BA$16,COLUMNS($A:O)+6,0))</f>
        <v/>
      </c>
      <c r="V18" s="42" t="str">
        <f>IF(VLOOKUP($A18,Data_Template!$A$6:$BA$16,COLUMNS($A:P)+6,0)=0,"",VLOOKUP($A18,Data_Template!$A$6:$BA$16,COLUMNS($A:P)+6,0))</f>
        <v/>
      </c>
      <c r="W18" s="42" t="str">
        <f>IF(VLOOKUP($A18,Data_Template!$A$6:$BA$16,COLUMNS($A:Q)+6,0)=0,"",VLOOKUP($A18,Data_Template!$A$6:$BA$16,COLUMNS($A:Q)+6,0))</f>
        <v/>
      </c>
      <c r="X18" s="42" t="str">
        <f>IF(VLOOKUP($A18,Data_Template!$A$6:$BA$16,COLUMNS($A:R)+6,0)=0,"",VLOOKUP($A18,Data_Template!$A$6:$BA$16,COLUMNS($A:R)+6,0))</f>
        <v/>
      </c>
      <c r="Y18" s="42"/>
      <c r="Z18" s="42" t="str">
        <f>IF(VLOOKUP($A18,Data_Template!$A$6:$BA$16,COLUMNS($A:T)+6,0)=0,"",VLOOKUP($A18,Data_Template!$A$6:$BA$16,COLUMNS($A:T)+6,0))</f>
        <v/>
      </c>
      <c r="AA18" s="42" t="str">
        <f>IF(VLOOKUP($A18,Data_Template!$A$6:$BA$16,COLUMNS($A:U)+6,0)=0,"",VLOOKUP($A18,Data_Template!$A$6:$BA$16,COLUMNS($A:U)+6,0))</f>
        <v/>
      </c>
      <c r="AB18" s="42" t="str">
        <f>IF(VLOOKUP($A18,Data_Template!$A$6:$BA$16,COLUMNS($A:V)+6,0)=0,"",VLOOKUP($A18,Data_Template!$A$6:$BA$16,COLUMNS($A:V)+6,0))</f>
        <v/>
      </c>
      <c r="AC18" s="42"/>
      <c r="AD18" s="42" t="str">
        <f>IF(VLOOKUP($A18,Data_Template!$A$6:$BA$16,COLUMNS($A:X)+6,0)=0,"",VLOOKUP($A18,Data_Template!$A$6:$BA$16,COLUMNS($A:X)+6,0))</f>
        <v/>
      </c>
      <c r="AE18" s="42" t="str">
        <f>IF(VLOOKUP($A18,Data_Template!$A$6:$BA$16,COLUMNS($A:Y)+6,0)=0,"",VLOOKUP($A18,Data_Template!$A$6:$BA$16,COLUMNS($A:Y)+6,0))</f>
        <v/>
      </c>
      <c r="AF18" s="42" t="str">
        <f>IF(VLOOKUP($A18,Data_Template!$A$6:$BA$16,COLUMNS($A:Z)+6,0)=0,"",VLOOKUP($A18,Data_Template!$A$6:$BA$16,COLUMNS($A:Z)+6,0))</f>
        <v/>
      </c>
      <c r="AG18" s="42"/>
      <c r="AH18" s="42"/>
      <c r="AI18" s="42" t="str">
        <f>IF(VLOOKUP($A18,Data_Template!$A$6:$BA$16,COLUMNS($A:AC)+6,0)=0,"",VLOOKUP($A18,Data_Template!$A$6:$BA$16,COLUMNS($A:AC)+6,0))</f>
        <v/>
      </c>
      <c r="AJ18" s="42" t="str">
        <f>IF(VLOOKUP($A18,Data_Template!$A$6:$BA$16,COLUMNS($A:AD)+6,0)=0,"",VLOOKUP($A18,Data_Template!$A$6:$BA$16,COLUMNS($A:AD)+6,0))</f>
        <v/>
      </c>
      <c r="AK18" s="42" t="str">
        <f>IF(VLOOKUP($A18,Data_Template!$A$6:$BA$16,COLUMNS($A:AE)+6,0)=0,"",VLOOKUP($A18,Data_Template!$A$6:$BA$16,COLUMNS($A:AE)+6,0))</f>
        <v/>
      </c>
      <c r="AL18" s="42" t="str">
        <f>IF(VLOOKUP($A18,Data_Template!$A$6:$BA$16,COLUMNS($A:AF)+6,0)=0,"",VLOOKUP($A18,Data_Template!$A$6:$BA$16,COLUMNS($A:AF)+6,0))</f>
        <v/>
      </c>
      <c r="AM18" s="42" t="str">
        <f>IF(VLOOKUP($A18,Data_Template!$A$6:$BA$16,COLUMNS($A:AG)+6,0)=0,"",VLOOKUP($A18,Data_Template!$A$6:$BA$16,COLUMNS($A:AG)+6,0))</f>
        <v/>
      </c>
      <c r="AN18" s="42" t="str">
        <f>IF(VLOOKUP($A18,Data_Template!$A$6:$BA$16,COLUMNS($A:AH)+6,0)=0,"",VLOOKUP($A18,Data_Template!$A$6:$BA$16,COLUMNS($A:AH)+6,0))</f>
        <v/>
      </c>
      <c r="AO18" s="42" t="str">
        <f>IF(VLOOKUP($A18,Data_Template!$A$6:$BA$16,COLUMNS($A:AI)+6,0)=0,"",VLOOKUP($A18,Data_Template!$A$6:$BA$16,COLUMNS($A:AI)+6,0))</f>
        <v/>
      </c>
      <c r="AP18" s="42" t="str">
        <f>IF(VLOOKUP($A18,Data_Template!$A$6:$BA$16,COLUMNS($A:AJ)+6,0)=0,"",VLOOKUP($A18,Data_Template!$A$6:$BA$16,COLUMNS($A:AJ)+6,0))</f>
        <v/>
      </c>
      <c r="AQ18" s="42" t="str">
        <f>IF(VLOOKUP($A18,Data_Template!$A$6:$BA$16,COLUMNS($A:AK)+6,0)=0,"",VLOOKUP($A18,Data_Template!$A$6:$BA$16,COLUMNS($A:AK)+6,0))</f>
        <v/>
      </c>
      <c r="AR18" s="42" t="str">
        <f>IF(VLOOKUP($A18,Data_Template!$A$6:$BA$16,COLUMNS($A:AL)+6,0)=0,"",VLOOKUP($A18,Data_Template!$A$6:$BA$16,COLUMNS($A:AL)+6,0))</f>
        <v/>
      </c>
      <c r="AS18" s="42" t="str">
        <f>IF(VLOOKUP($A18,Data_Template!$A$6:$BA$16,COLUMNS($A:AM)+6,0)=0,"",VLOOKUP($A18,Data_Template!$A$6:$BA$16,COLUMNS($A:AM)+6,0))</f>
        <v/>
      </c>
      <c r="AT18" s="42" t="str">
        <f>IF(VLOOKUP($A18,Data_Template!$A$6:$BA$16,COLUMNS($A:AN)+6,0)=0,"",VLOOKUP($A18,Data_Template!$A$6:$BA$16,COLUMNS($A:AN)+6,0))</f>
        <v/>
      </c>
      <c r="AU18" s="42" t="str">
        <f>IF(VLOOKUP($A18,Data_Template!$A$6:$BA$16,COLUMNS($A:AO)+6,0)=0,"",VLOOKUP($A18,Data_Template!$A$6:$BA$16,COLUMNS($A:AO)+6,0))</f>
        <v/>
      </c>
      <c r="AV18" s="42" t="str">
        <f>IF(VLOOKUP($A18,Data_Template!$A$6:$BA$16,COLUMNS($A:AP)+6,0)=0,"",VLOOKUP($A18,Data_Template!$A$6:$BA$16,COLUMNS($A:AP)+6,0))</f>
        <v/>
      </c>
      <c r="AW18" s="42" t="str">
        <f>IF(VLOOKUP($A18,Data_Template!$A$6:$BA$16,COLUMNS($A:AQ)+6,0)=0,"",VLOOKUP($A18,Data_Template!$A$6:$BA$16,COLUMNS($A:AQ)+6,0))</f>
        <v/>
      </c>
      <c r="AX18" s="42" t="str">
        <f>IF(VLOOKUP($A18,Data_Template!$A$6:$BA$16,COLUMNS($A:AR)+6,0)=0,"",VLOOKUP($A18,Data_Template!$A$6:$BA$16,COLUMNS($A:AR)+6,0))</f>
        <v/>
      </c>
      <c r="AY18" s="42" t="str">
        <f>IF(VLOOKUP($A18,Data_Template!$A$6:$BA$16,COLUMNS($A:AS)+6,0)=0,"",VLOOKUP($A18,Data_Template!$A$6:$BA$16,COLUMNS($A:AS)+6,0))</f>
        <v/>
      </c>
      <c r="AZ18" s="42" t="str">
        <f>IF(VLOOKUP($A18,Data_Template!$A$6:$BA$16,COLUMNS($A:AT)+6,0)=0,"",VLOOKUP($A18,Data_Template!$A$6:$BA$16,COLUMNS($A:AT)+6,0))</f>
        <v/>
      </c>
      <c r="BA18" s="42"/>
      <c r="BB18" s="50"/>
      <c r="BC18" s="42"/>
      <c r="BD18" s="42"/>
      <c r="BE18" s="42"/>
      <c r="BF18" s="42"/>
      <c r="BG18" s="42"/>
      <c r="BH18" s="42"/>
      <c r="BI18" s="42"/>
      <c r="BJ18" s="42"/>
      <c r="BL18" s="42"/>
      <c r="BM18" s="42"/>
      <c r="BN18" s="42"/>
      <c r="BO18" s="42"/>
      <c r="BP18" s="42"/>
      <c r="BQ18" s="42"/>
      <c r="BR18" s="42"/>
      <c r="BS18" s="42"/>
      <c r="BT18" s="42"/>
      <c r="BU18" s="42"/>
      <c r="BV18" s="42"/>
      <c r="BW18" s="42"/>
      <c r="BX18" s="42"/>
    </row>
    <row r="19" spans="1:76" s="51" customFormat="1" ht="14.25" x14ac:dyDescent="0.2">
      <c r="A19" s="42" t="str">
        <f>Classes!J16</f>
        <v>IFMA_C_31010009</v>
      </c>
      <c r="B19" s="246" t="str">
        <f>Classes!P16</f>
        <v>Grundstück</v>
      </c>
      <c r="C19" s="37"/>
      <c r="D19" s="42" t="s">
        <v>884</v>
      </c>
      <c r="E19" s="41"/>
      <c r="G19" s="42"/>
      <c r="H19" s="42" t="str">
        <f>IF(VLOOKUP($A19,Data_Template!$A$6:$BA$16,COLUMNS($A:B)+6,0)=0,"",VLOOKUP($A19,Data_Template!$A$6:$BA$16,COLUMNS($A:B)+6,0))</f>
        <v>x</v>
      </c>
      <c r="I19" s="42" t="str">
        <f>IF(VLOOKUP($A19,Data_Template!$A$6:$BA$16,COLUMNS($A:C)+6,0)=0,"",VLOOKUP($A19,Data_Template!$A$6:$BA$16,COLUMNS($A:C)+6,0))</f>
        <v/>
      </c>
      <c r="J19" s="42" t="str">
        <f>IF(VLOOKUP($A19,Data_Template!$A$6:$BA$16,COLUMNS($A:D)+6,0)=0,"",VLOOKUP($A19,Data_Template!$A$6:$BA$16,COLUMNS($A:D)+6,0))</f>
        <v/>
      </c>
      <c r="K19" s="42" t="str">
        <f>IF(VLOOKUP($A19,Data_Template!$A$6:$BA$16,COLUMNS($A:E)+6,0)=0,"",VLOOKUP($A19,Data_Template!$A$6:$BA$16,COLUMNS($A:E)+6,0))</f>
        <v/>
      </c>
      <c r="L19" s="42" t="str">
        <f>IF(VLOOKUP($A19,Data_Template!$A$6:$BA$16,COLUMNS($A:F)+6,0)=0,"",VLOOKUP($A19,Data_Template!$A$6:$BA$16,COLUMNS($A:F)+6,0))</f>
        <v/>
      </c>
      <c r="M19" s="42" t="str">
        <f>IF(VLOOKUP($A19,Data_Template!$A$6:$BA$16,COLUMNS($A:G)+6,0)=0,"",VLOOKUP($A19,Data_Template!$A$6:$BA$16,COLUMNS($A:G)+6,0))</f>
        <v/>
      </c>
      <c r="N19" s="42" t="str">
        <f>IF(VLOOKUP($A19,Data_Template!$A$6:$BA$16,COLUMNS($A:H)+6,0)=0,"",VLOOKUP($A19,Data_Template!$A$6:$BA$16,COLUMNS($A:H)+6,0))</f>
        <v/>
      </c>
      <c r="O19" s="42" t="str">
        <f>IF(VLOOKUP($A19,Data_Template!$A$6:$BA$16,COLUMNS($A:I)+6,0)=0,"",VLOOKUP($A19,Data_Template!$A$6:$BA$16,COLUMNS($A:I)+6,0))</f>
        <v/>
      </c>
      <c r="P19" s="42" t="str">
        <f>IF(VLOOKUP($A19,Data_Template!$A$6:$BA$16,COLUMNS($A:J)+6,0)=0,"",VLOOKUP($A19,Data_Template!$A$6:$BA$16,COLUMNS($A:J)+6,0))</f>
        <v/>
      </c>
      <c r="Q19" s="42"/>
      <c r="R19" s="42" t="str">
        <f>IF(VLOOKUP($A19,Data_Template!$A$6:$BA$16,COLUMNS($A:L)+6,0)=0,"",VLOOKUP($A19,Data_Template!$A$6:$BA$16,COLUMNS($A:L)+6,0))</f>
        <v/>
      </c>
      <c r="S19" s="42" t="str">
        <f>IF(VLOOKUP($A19,Data_Template!$A$6:$BA$16,COLUMNS($A:M)+6,0)=0,"",VLOOKUP($A19,Data_Template!$A$6:$BA$16,COLUMNS($A:M)+6,0))</f>
        <v/>
      </c>
      <c r="T19" s="42" t="str">
        <f>IF(VLOOKUP($A19,Data_Template!$A$6:$BA$16,COLUMNS($A:N)+6,0)=0,"",VLOOKUP($A19,Data_Template!$A$6:$BA$16,COLUMNS($A:N)+6,0))</f>
        <v/>
      </c>
      <c r="U19" s="42" t="str">
        <f>IF(VLOOKUP($A19,Data_Template!$A$6:$BA$16,COLUMNS($A:O)+6,0)=0,"",VLOOKUP($A19,Data_Template!$A$6:$BA$16,COLUMNS($A:O)+6,0))</f>
        <v/>
      </c>
      <c r="V19" s="42" t="str">
        <f>IF(VLOOKUP($A19,Data_Template!$A$6:$BA$16,COLUMNS($A:P)+6,0)=0,"",VLOOKUP($A19,Data_Template!$A$6:$BA$16,COLUMNS($A:P)+6,0))</f>
        <v/>
      </c>
      <c r="W19" s="42" t="str">
        <f>IF(VLOOKUP($A19,Data_Template!$A$6:$BA$16,COLUMNS($A:Q)+6,0)=0,"",VLOOKUP($A19,Data_Template!$A$6:$BA$16,COLUMNS($A:Q)+6,0))</f>
        <v/>
      </c>
      <c r="X19" s="42" t="str">
        <f>IF(VLOOKUP($A19,Data_Template!$A$6:$BA$16,COLUMNS($A:R)+6,0)=0,"",VLOOKUP($A19,Data_Template!$A$6:$BA$16,COLUMNS($A:R)+6,0))</f>
        <v/>
      </c>
      <c r="Y19" s="42" t="str">
        <f>IF(VLOOKUP($A19,Data_Template!$A$6:$BA$16,COLUMNS($A:S)+6,0)=0,"",VLOOKUP($A19,Data_Template!$A$6:$BA$16,COLUMNS($A:S)+6,0))</f>
        <v/>
      </c>
      <c r="Z19" s="42" t="str">
        <f>IF(VLOOKUP($A19,Data_Template!$A$6:$BA$16,COLUMNS($A:T)+6,0)=0,"",VLOOKUP($A19,Data_Template!$A$6:$BA$16,COLUMNS($A:T)+6,0))</f>
        <v/>
      </c>
      <c r="AA19" s="42" t="str">
        <f>IF(VLOOKUP($A19,Data_Template!$A$6:$BA$16,COLUMNS($A:U)+6,0)=0,"",VLOOKUP($A19,Data_Template!$A$6:$BA$16,COLUMNS($A:U)+6,0))</f>
        <v/>
      </c>
      <c r="AB19" s="42" t="str">
        <f>IF(VLOOKUP($A19,Data_Template!$A$6:$BA$16,COLUMNS($A:V)+6,0)=0,"",VLOOKUP($A19,Data_Template!$A$6:$BA$16,COLUMNS($A:V)+6,0))</f>
        <v/>
      </c>
      <c r="AC19" s="42" t="str">
        <f>IF(VLOOKUP($A19,Data_Template!$A$6:$BA$16,COLUMNS($A:W)+6,0)=0,"",VLOOKUP($A19,Data_Template!$A$6:$BA$16,COLUMNS($A:W)+6,0))</f>
        <v/>
      </c>
      <c r="AD19" s="42" t="str">
        <f>IF(VLOOKUP($A19,Data_Template!$A$6:$BA$16,COLUMNS($A:X)+6,0)=0,"",VLOOKUP($A19,Data_Template!$A$6:$BA$16,COLUMNS($A:X)+6,0))</f>
        <v/>
      </c>
      <c r="AE19" s="42" t="str">
        <f>IF(VLOOKUP($A19,Data_Template!$A$6:$BA$16,COLUMNS($A:Y)+6,0)=0,"",VLOOKUP($A19,Data_Template!$A$6:$BA$16,COLUMNS($A:Y)+6,0))</f>
        <v/>
      </c>
      <c r="AF19" s="42" t="str">
        <f>IF(VLOOKUP($A19,Data_Template!$A$6:$BA$16,COLUMNS($A:Z)+6,0)=0,"",VLOOKUP($A19,Data_Template!$A$6:$BA$16,COLUMNS($A:Z)+6,0))</f>
        <v/>
      </c>
      <c r="AG19" s="42" t="str">
        <f>IF(VLOOKUP($A19,Data_Template!$A$6:$BA$16,COLUMNS($A:AA)+6,0)=0,"",VLOOKUP($A19,Data_Template!$A$6:$BA$16,COLUMNS($A:AA)+6,0))</f>
        <v/>
      </c>
      <c r="AH19" s="42" t="str">
        <f>IF(VLOOKUP($A19,Data_Template!$A$6:$BA$16,COLUMNS($A:AB)+6,0)=0,"",VLOOKUP($A19,Data_Template!$A$6:$BA$16,COLUMNS($A:AB)+6,0))</f>
        <v/>
      </c>
      <c r="AI19" s="42" t="str">
        <f>IF(VLOOKUP($A19,Data_Template!$A$6:$BA$16,COLUMNS($A:AC)+6,0)=0,"",VLOOKUP($A19,Data_Template!$A$6:$BA$16,COLUMNS($A:AC)+6,0))</f>
        <v/>
      </c>
      <c r="AJ19" s="42" t="str">
        <f>IF(VLOOKUP($A19,Data_Template!$A$6:$BA$16,COLUMNS($A:AD)+6,0)=0,"",VLOOKUP($A19,Data_Template!$A$6:$BA$16,COLUMNS($A:AD)+6,0))</f>
        <v/>
      </c>
      <c r="AK19" s="42" t="str">
        <f>IF(VLOOKUP($A19,Data_Template!$A$6:$BA$16,COLUMNS($A:AE)+6,0)=0,"",VLOOKUP($A19,Data_Template!$A$6:$BA$16,COLUMNS($A:AE)+6,0))</f>
        <v/>
      </c>
      <c r="AL19" s="42" t="str">
        <f>IF(VLOOKUP($A19,Data_Template!$A$6:$BA$16,COLUMNS($A:AF)+6,0)=0,"",VLOOKUP($A19,Data_Template!$A$6:$BA$16,COLUMNS($A:AF)+6,0))</f>
        <v/>
      </c>
      <c r="AM19" s="42" t="str">
        <f>IF(VLOOKUP($A19,Data_Template!$A$6:$BA$16,COLUMNS($A:AG)+6,0)=0,"",VLOOKUP($A19,Data_Template!$A$6:$BA$16,COLUMNS($A:AG)+6,0))</f>
        <v/>
      </c>
      <c r="AN19" s="42" t="str">
        <f>IF(VLOOKUP($A19,Data_Template!$A$6:$BA$16,COLUMNS($A:AH)+6,0)=0,"",VLOOKUP($A19,Data_Template!$A$6:$BA$16,COLUMNS($A:AH)+6,0))</f>
        <v/>
      </c>
      <c r="AO19" s="42" t="str">
        <f>IF(VLOOKUP($A19,Data_Template!$A$6:$BA$16,COLUMNS($A:AI)+6,0)=0,"",VLOOKUP($A19,Data_Template!$A$6:$BA$16,COLUMNS($A:AI)+6,0))</f>
        <v/>
      </c>
      <c r="AP19" s="42" t="str">
        <f>IF(VLOOKUP($A19,Data_Template!$A$6:$BA$16,COLUMNS($A:AJ)+6,0)=0,"",VLOOKUP($A19,Data_Template!$A$6:$BA$16,COLUMNS($A:AJ)+6,0))</f>
        <v/>
      </c>
      <c r="AQ19" s="42" t="str">
        <f>IF(VLOOKUP($A19,Data_Template!$A$6:$BA$16,COLUMNS($A:AK)+6,0)=0,"",VLOOKUP($A19,Data_Template!$A$6:$BA$16,COLUMNS($A:AK)+6,0))</f>
        <v/>
      </c>
      <c r="AR19" s="42" t="str">
        <f>IF(VLOOKUP($A19,Data_Template!$A$6:$BA$16,COLUMNS($A:AL)+6,0)=0,"",VLOOKUP($A19,Data_Template!$A$6:$BA$16,COLUMNS($A:AL)+6,0))</f>
        <v/>
      </c>
      <c r="AS19" s="42" t="str">
        <f>IF(VLOOKUP($A19,Data_Template!$A$6:$BA$16,COLUMNS($A:AM)+6,0)=0,"",VLOOKUP($A19,Data_Template!$A$6:$BA$16,COLUMNS($A:AM)+6,0))</f>
        <v/>
      </c>
      <c r="AT19" s="42" t="str">
        <f>IF(VLOOKUP($A19,Data_Template!$A$6:$BA$16,COLUMNS($A:AN)+6,0)=0,"",VLOOKUP($A19,Data_Template!$A$6:$BA$16,COLUMNS($A:AN)+6,0))</f>
        <v/>
      </c>
      <c r="AU19" s="42" t="str">
        <f>IF(VLOOKUP($A19,Data_Template!$A$6:$BA$16,COLUMNS($A:AO)+6,0)=0,"",VLOOKUP($A19,Data_Template!$A$6:$BA$16,COLUMNS($A:AO)+6,0))</f>
        <v/>
      </c>
      <c r="AV19" s="42" t="str">
        <f>IF(VLOOKUP($A19,Data_Template!$A$6:$BA$16,COLUMNS($A:AP)+6,0)=0,"",VLOOKUP($A19,Data_Template!$A$6:$BA$16,COLUMNS($A:AP)+6,0))</f>
        <v/>
      </c>
      <c r="AW19" s="42" t="str">
        <f>IF(VLOOKUP($A19,Data_Template!$A$6:$BA$16,COLUMNS($A:AQ)+6,0)=0,"",VLOOKUP($A19,Data_Template!$A$6:$BA$16,COLUMNS($A:AQ)+6,0))</f>
        <v/>
      </c>
      <c r="AX19" s="42" t="str">
        <f>IF(VLOOKUP($A19,Data_Template!$A$6:$BA$16,COLUMNS($A:AR)+6,0)=0,"",VLOOKUP($A19,Data_Template!$A$6:$BA$16,COLUMNS($A:AR)+6,0))</f>
        <v/>
      </c>
      <c r="AY19" s="42" t="str">
        <f>IF(VLOOKUP($A19,Data_Template!$A$6:$BA$16,COLUMNS($A:AS)+6,0)=0,"",VLOOKUP($A19,Data_Template!$A$6:$BA$16,COLUMNS($A:AS)+6,0))</f>
        <v/>
      </c>
      <c r="AZ19" s="42" t="str">
        <f>IF(VLOOKUP($A19,Data_Template!$A$6:$BA$16,COLUMNS($A:AT)+6,0)=0,"",VLOOKUP($A19,Data_Template!$A$6:$BA$16,COLUMNS($A:AT)+6,0))</f>
        <v/>
      </c>
      <c r="BA19" s="42" t="str">
        <f>IF(VLOOKUP($A19,Data_Template!$A$6:$BA$16,COLUMNS($A:AU)+6,0)=0,"",VLOOKUP($A19,Data_Template!$A$6:$BA$16,COLUMNS($A:AU)+6,0))</f>
        <v/>
      </c>
      <c r="BB19" s="50"/>
      <c r="BC19" s="42"/>
      <c r="BD19" s="42"/>
      <c r="BE19" s="42"/>
      <c r="BF19" s="42"/>
      <c r="BG19" s="42"/>
      <c r="BH19" s="42"/>
      <c r="BI19" s="42"/>
      <c r="BJ19" s="42"/>
      <c r="BL19" s="42"/>
      <c r="BM19" s="42"/>
      <c r="BN19" s="42"/>
      <c r="BO19" s="42"/>
      <c r="BP19" s="42"/>
      <c r="BQ19" s="42"/>
      <c r="BR19" s="42"/>
      <c r="BS19" s="42"/>
      <c r="BT19" s="42"/>
      <c r="BU19" s="42"/>
      <c r="BV19" s="42"/>
      <c r="BW19" s="42"/>
      <c r="BX19" s="42"/>
    </row>
    <row r="20" spans="1:76" s="51" customFormat="1" ht="14.25" x14ac:dyDescent="0.2">
      <c r="A20" s="42" t="str">
        <f>Classes!J17</f>
        <v>IFMA_C_31010010</v>
      </c>
      <c r="B20" s="246" t="str">
        <f>Classes!P17</f>
        <v>Gebäude</v>
      </c>
      <c r="C20" s="37"/>
      <c r="D20" s="42" t="s">
        <v>884</v>
      </c>
      <c r="E20" s="41"/>
      <c r="G20" s="42"/>
      <c r="H20" s="42" t="str">
        <f>IF(VLOOKUP($A20,Data_Template!$A$6:$BA$16,COLUMNS($A:B)+6,0)=0,"",VLOOKUP($A20,Data_Template!$A$6:$BA$16,COLUMNS($A:B)+6,0))</f>
        <v>x</v>
      </c>
      <c r="I20" s="42" t="str">
        <f>IF(VLOOKUP($A20,Data_Template!$A$6:$BA$16,COLUMNS($A:C)+6,0)=0,"",VLOOKUP($A20,Data_Template!$A$6:$BA$16,COLUMNS($A:C)+6,0))</f>
        <v/>
      </c>
      <c r="J20" s="42" t="str">
        <f>IF(VLOOKUP($A20,Data_Template!$A$6:$BA$16,COLUMNS($A:D)+6,0)=0,"",VLOOKUP($A20,Data_Template!$A$6:$BA$16,COLUMNS($A:D)+6,0))</f>
        <v/>
      </c>
      <c r="K20" s="42" t="str">
        <f>IF(VLOOKUP($A20,Data_Template!$A$6:$BA$16,COLUMNS($A:E)+6,0)=0,"",VLOOKUP($A20,Data_Template!$A$6:$BA$16,COLUMNS($A:E)+6,0))</f>
        <v/>
      </c>
      <c r="L20" s="42" t="str">
        <f>IF(VLOOKUP($A20,Data_Template!$A$6:$BA$16,COLUMNS($A:F)+6,0)=0,"",VLOOKUP($A20,Data_Template!$A$6:$BA$16,COLUMNS($A:F)+6,0))</f>
        <v/>
      </c>
      <c r="M20" s="42" t="str">
        <f>IF(VLOOKUP($A20,Data_Template!$A$6:$BA$16,COLUMNS($A:G)+6,0)=0,"",VLOOKUP($A20,Data_Template!$A$6:$BA$16,COLUMNS($A:G)+6,0))</f>
        <v/>
      </c>
      <c r="N20" s="42" t="str">
        <f>IF(VLOOKUP($A20,Data_Template!$A$6:$BA$16,COLUMNS($A:H)+6,0)=0,"",VLOOKUP($A20,Data_Template!$A$6:$BA$16,COLUMNS($A:H)+6,0))</f>
        <v/>
      </c>
      <c r="O20" s="42" t="str">
        <f>IF(VLOOKUP($A20,Data_Template!$A$6:$BA$16,COLUMNS($A:I)+6,0)=0,"",VLOOKUP($A20,Data_Template!$A$6:$BA$16,COLUMNS($A:I)+6,0))</f>
        <v/>
      </c>
      <c r="P20" s="42" t="str">
        <f>IF(VLOOKUP($A20,Data_Template!$A$6:$BA$16,COLUMNS($A:J)+6,0)=0,"",VLOOKUP($A20,Data_Template!$A$6:$BA$16,COLUMNS($A:J)+6,0))</f>
        <v/>
      </c>
      <c r="Q20" s="42"/>
      <c r="R20" s="42" t="str">
        <f>IF(VLOOKUP($A20,Data_Template!$A$6:$BA$16,COLUMNS($A:L)+6,0)=0,"",VLOOKUP($A20,Data_Template!$A$6:$BA$16,COLUMNS($A:L)+6,0))</f>
        <v/>
      </c>
      <c r="S20" s="42" t="str">
        <f>IF(VLOOKUP($A20,Data_Template!$A$6:$BA$16,COLUMNS($A:M)+6,0)=0,"",VLOOKUP($A20,Data_Template!$A$6:$BA$16,COLUMNS($A:M)+6,0))</f>
        <v/>
      </c>
      <c r="T20" s="42" t="str">
        <f>IF(VLOOKUP($A20,Data_Template!$A$6:$BA$16,COLUMNS($A:N)+6,0)=0,"",VLOOKUP($A20,Data_Template!$A$6:$BA$16,COLUMNS($A:N)+6,0))</f>
        <v/>
      </c>
      <c r="U20" s="42" t="str">
        <f>IF(VLOOKUP($A20,Data_Template!$A$6:$BA$16,COLUMNS($A:O)+6,0)=0,"",VLOOKUP($A20,Data_Template!$A$6:$BA$16,COLUMNS($A:O)+6,0))</f>
        <v/>
      </c>
      <c r="V20" s="42" t="str">
        <f>IF(VLOOKUP($A20,Data_Template!$A$6:$BA$16,COLUMNS($A:P)+6,0)=0,"",VLOOKUP($A20,Data_Template!$A$6:$BA$16,COLUMNS($A:P)+6,0))</f>
        <v/>
      </c>
      <c r="W20" s="42" t="str">
        <f>IF(VLOOKUP($A20,Data_Template!$A$6:$BA$16,COLUMNS($A:Q)+6,0)=0,"",VLOOKUP($A20,Data_Template!$A$6:$BA$16,COLUMNS($A:Q)+6,0))</f>
        <v/>
      </c>
      <c r="X20" s="42" t="str">
        <f>IF(VLOOKUP($A20,Data_Template!$A$6:$BA$16,COLUMNS($A:R)+6,0)=0,"",VLOOKUP($A20,Data_Template!$A$6:$BA$16,COLUMNS($A:R)+6,0))</f>
        <v/>
      </c>
      <c r="Y20" s="42" t="str">
        <f>IF(VLOOKUP($A20,Data_Template!$A$6:$BA$16,COLUMNS($A:S)+6,0)=0,"",VLOOKUP($A20,Data_Template!$A$6:$BA$16,COLUMNS($A:S)+6,0))</f>
        <v/>
      </c>
      <c r="Z20" s="42" t="str">
        <f>IF(VLOOKUP($A20,Data_Template!$A$6:$BA$16,COLUMNS($A:T)+6,0)=0,"",VLOOKUP($A20,Data_Template!$A$6:$BA$16,COLUMNS($A:T)+6,0))</f>
        <v/>
      </c>
      <c r="AA20" s="42" t="str">
        <f>IF(VLOOKUP($A20,Data_Template!$A$6:$BA$16,COLUMNS($A:U)+6,0)=0,"",VLOOKUP($A20,Data_Template!$A$6:$BA$16,COLUMNS($A:U)+6,0))</f>
        <v/>
      </c>
      <c r="AB20" s="42" t="str">
        <f>IF(VLOOKUP($A20,Data_Template!$A$6:$BA$16,COLUMNS($A:V)+6,0)=0,"",VLOOKUP($A20,Data_Template!$A$6:$BA$16,COLUMNS($A:V)+6,0))</f>
        <v/>
      </c>
      <c r="AC20" s="42" t="str">
        <f>IF(VLOOKUP($A20,Data_Template!$A$6:$BA$16,COLUMNS($A:W)+6,0)=0,"",VLOOKUP($A20,Data_Template!$A$6:$BA$16,COLUMNS($A:W)+6,0))</f>
        <v/>
      </c>
      <c r="AD20" s="42" t="str">
        <f>IF(VLOOKUP($A20,Data_Template!$A$6:$BA$16,COLUMNS($A:X)+6,0)=0,"",VLOOKUP($A20,Data_Template!$A$6:$BA$16,COLUMNS($A:X)+6,0))</f>
        <v/>
      </c>
      <c r="AE20" s="42" t="str">
        <f>IF(VLOOKUP($A20,Data_Template!$A$6:$BA$16,COLUMNS($A:Y)+6,0)=0,"",VLOOKUP($A20,Data_Template!$A$6:$BA$16,COLUMNS($A:Y)+6,0))</f>
        <v/>
      </c>
      <c r="AF20" s="42" t="str">
        <f>IF(VLOOKUP($A20,Data_Template!$A$6:$BA$16,COLUMNS($A:Z)+6,0)=0,"",VLOOKUP($A20,Data_Template!$A$6:$BA$16,COLUMNS($A:Z)+6,0))</f>
        <v/>
      </c>
      <c r="AG20" s="42" t="str">
        <f>IF(VLOOKUP($A20,Data_Template!$A$6:$BA$16,COLUMNS($A:AA)+6,0)=0,"",VLOOKUP($A20,Data_Template!$A$6:$BA$16,COLUMNS($A:AA)+6,0))</f>
        <v/>
      </c>
      <c r="AH20" s="42" t="str">
        <f>IF(VLOOKUP($A20,Data_Template!$A$6:$BA$16,COLUMNS($A:AB)+6,0)=0,"",VLOOKUP($A20,Data_Template!$A$6:$BA$16,COLUMNS($A:AB)+6,0))</f>
        <v/>
      </c>
      <c r="AI20" s="42" t="str">
        <f>IF(VLOOKUP($A20,Data_Template!$A$6:$BA$16,COLUMNS($A:AC)+6,0)=0,"",VLOOKUP($A20,Data_Template!$A$6:$BA$16,COLUMNS($A:AC)+6,0))</f>
        <v/>
      </c>
      <c r="AJ20" s="42" t="str">
        <f>IF(VLOOKUP($A20,Data_Template!$A$6:$BA$16,COLUMNS($A:AD)+6,0)=0,"",VLOOKUP($A20,Data_Template!$A$6:$BA$16,COLUMNS($A:AD)+6,0))</f>
        <v/>
      </c>
      <c r="AK20" s="42" t="str">
        <f>IF(VLOOKUP($A20,Data_Template!$A$6:$BA$16,COLUMNS($A:AE)+6,0)=0,"",VLOOKUP($A20,Data_Template!$A$6:$BA$16,COLUMNS($A:AE)+6,0))</f>
        <v/>
      </c>
      <c r="AL20" s="42" t="str">
        <f>IF(VLOOKUP($A20,Data_Template!$A$6:$BA$16,COLUMNS($A:AF)+6,0)=0,"",VLOOKUP($A20,Data_Template!$A$6:$BA$16,COLUMNS($A:AF)+6,0))</f>
        <v/>
      </c>
      <c r="AM20" s="42" t="str">
        <f>IF(VLOOKUP($A20,Data_Template!$A$6:$BA$16,COLUMNS($A:AG)+6,0)=0,"",VLOOKUP($A20,Data_Template!$A$6:$BA$16,COLUMNS($A:AG)+6,0))</f>
        <v/>
      </c>
      <c r="AN20" s="42" t="str">
        <f>IF(VLOOKUP($A20,Data_Template!$A$6:$BA$16,COLUMNS($A:AH)+6,0)=0,"",VLOOKUP($A20,Data_Template!$A$6:$BA$16,COLUMNS($A:AH)+6,0))</f>
        <v/>
      </c>
      <c r="AO20" s="42" t="str">
        <f>IF(VLOOKUP($A20,Data_Template!$A$6:$BA$16,COLUMNS($A:AI)+6,0)=0,"",VLOOKUP($A20,Data_Template!$A$6:$BA$16,COLUMNS($A:AI)+6,0))</f>
        <v/>
      </c>
      <c r="AP20" s="42" t="str">
        <f>IF(VLOOKUP($A20,Data_Template!$A$6:$BA$16,COLUMNS($A:AJ)+6,0)=0,"",VLOOKUP($A20,Data_Template!$A$6:$BA$16,COLUMNS($A:AJ)+6,0))</f>
        <v/>
      </c>
      <c r="AQ20" s="42" t="str">
        <f>IF(VLOOKUP($A20,Data_Template!$A$6:$BA$16,COLUMNS($A:AK)+6,0)=0,"",VLOOKUP($A20,Data_Template!$A$6:$BA$16,COLUMNS($A:AK)+6,0))</f>
        <v/>
      </c>
      <c r="AR20" s="42" t="str">
        <f>IF(VLOOKUP($A20,Data_Template!$A$6:$BA$16,COLUMNS($A:AL)+6,0)=0,"",VLOOKUP($A20,Data_Template!$A$6:$BA$16,COLUMNS($A:AL)+6,0))</f>
        <v/>
      </c>
      <c r="AS20" s="42" t="str">
        <f>IF(VLOOKUP($A20,Data_Template!$A$6:$BA$16,COLUMNS($A:AM)+6,0)=0,"",VLOOKUP($A20,Data_Template!$A$6:$BA$16,COLUMNS($A:AM)+6,0))</f>
        <v/>
      </c>
      <c r="AT20" s="42" t="str">
        <f>IF(VLOOKUP($A20,Data_Template!$A$6:$BA$16,COLUMNS($A:AN)+6,0)=0,"",VLOOKUP($A20,Data_Template!$A$6:$BA$16,COLUMNS($A:AN)+6,0))</f>
        <v/>
      </c>
      <c r="AU20" s="42" t="str">
        <f>IF(VLOOKUP($A20,Data_Template!$A$6:$BA$16,COLUMNS($A:AO)+6,0)=0,"",VLOOKUP($A20,Data_Template!$A$6:$BA$16,COLUMNS($A:AO)+6,0))</f>
        <v/>
      </c>
      <c r="AV20" s="42" t="str">
        <f>IF(VLOOKUP($A20,Data_Template!$A$6:$BA$16,COLUMNS($A:AP)+6,0)=0,"",VLOOKUP($A20,Data_Template!$A$6:$BA$16,COLUMNS($A:AP)+6,0))</f>
        <v/>
      </c>
      <c r="AW20" s="42" t="str">
        <f>IF(VLOOKUP($A20,Data_Template!$A$6:$BA$16,COLUMNS($A:AQ)+6,0)=0,"",VLOOKUP($A20,Data_Template!$A$6:$BA$16,COLUMNS($A:AQ)+6,0))</f>
        <v/>
      </c>
      <c r="AX20" s="42" t="str">
        <f>IF(VLOOKUP($A20,Data_Template!$A$6:$BA$16,COLUMNS($A:AR)+6,0)=0,"",VLOOKUP($A20,Data_Template!$A$6:$BA$16,COLUMNS($A:AR)+6,0))</f>
        <v/>
      </c>
      <c r="AY20" s="42" t="str">
        <f>IF(VLOOKUP($A20,Data_Template!$A$6:$BA$16,COLUMNS($A:AS)+6,0)=0,"",VLOOKUP($A20,Data_Template!$A$6:$BA$16,COLUMNS($A:AS)+6,0))</f>
        <v/>
      </c>
      <c r="AZ20" s="42" t="str">
        <f>IF(VLOOKUP($A20,Data_Template!$A$6:$BA$16,COLUMNS($A:AT)+6,0)=0,"",VLOOKUP($A20,Data_Template!$A$6:$BA$16,COLUMNS($A:AT)+6,0))</f>
        <v/>
      </c>
      <c r="BA20" s="42" t="str">
        <f>IF(VLOOKUP($A20,Data_Template!$A$6:$BA$16,COLUMNS($A:AU)+6,0)=0,"",VLOOKUP($A20,Data_Template!$A$6:$BA$16,COLUMNS($A:AU)+6,0))</f>
        <v/>
      </c>
      <c r="BB20" s="50"/>
      <c r="BC20" s="42"/>
      <c r="BD20" s="42"/>
      <c r="BE20" s="42"/>
      <c r="BF20" s="42"/>
      <c r="BG20" s="42"/>
      <c r="BH20" s="42"/>
      <c r="BI20" s="42"/>
      <c r="BJ20" s="42"/>
      <c r="BL20" s="42"/>
      <c r="BM20" s="42"/>
      <c r="BN20" s="42"/>
      <c r="BO20" s="42"/>
      <c r="BP20" s="42"/>
      <c r="BQ20" s="42"/>
      <c r="BR20" s="42"/>
      <c r="BS20" s="42"/>
      <c r="BT20" s="42"/>
      <c r="BU20" s="42"/>
      <c r="BV20" s="42"/>
      <c r="BW20" s="42"/>
      <c r="BX20" s="42"/>
    </row>
    <row r="22" spans="1:76" s="67" customFormat="1" ht="6" customHeight="1" x14ac:dyDescent="0.25">
      <c r="A22" s="268"/>
      <c r="B22" s="269"/>
      <c r="C22" s="251"/>
      <c r="D22" s="252"/>
      <c r="E22" s="253"/>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1"/>
      <c r="BC22" s="254"/>
      <c r="BD22" s="251"/>
      <c r="BE22" s="251"/>
      <c r="BF22" s="251"/>
      <c r="BG22" s="251"/>
      <c r="BH22" s="251"/>
      <c r="BI22" s="251"/>
      <c r="BJ22" s="251"/>
      <c r="BK22" s="251"/>
      <c r="BL22" s="254"/>
      <c r="BM22" s="251"/>
      <c r="BN22" s="251"/>
      <c r="BO22" s="251"/>
      <c r="BP22" s="251"/>
      <c r="BQ22" s="251"/>
      <c r="BR22" s="251"/>
      <c r="BS22" s="251"/>
      <c r="BT22" s="251"/>
      <c r="BU22" s="251"/>
      <c r="BV22" s="251"/>
      <c r="BW22" s="251"/>
      <c r="BX22" s="255"/>
    </row>
    <row r="23" spans="1:76" s="67" customFormat="1" ht="18" customHeight="1" x14ac:dyDescent="0.25">
      <c r="A23" s="272" t="s">
        <v>976</v>
      </c>
      <c r="B23" s="288" t="s">
        <v>975</v>
      </c>
      <c r="C23" s="288"/>
      <c r="D23" s="288"/>
      <c r="E23" s="249"/>
      <c r="F23" s="248"/>
      <c r="G23" s="256"/>
      <c r="H23" s="256"/>
      <c r="I23" s="257" t="s">
        <v>971</v>
      </c>
      <c r="J23" s="257"/>
      <c r="K23" s="257"/>
      <c r="L23" s="257"/>
      <c r="M23" s="248"/>
      <c r="N23" s="248"/>
      <c r="O23" s="273"/>
      <c r="P23" s="273"/>
      <c r="Q23" s="257" t="s">
        <v>996</v>
      </c>
      <c r="R23" s="257"/>
      <c r="S23" s="257"/>
      <c r="T23" s="257"/>
      <c r="U23" s="257"/>
      <c r="V23" s="257"/>
      <c r="W23" s="257"/>
      <c r="X23" s="257"/>
      <c r="Y23" s="257"/>
      <c r="Z23" s="257"/>
      <c r="AA23" s="257"/>
      <c r="AB23" s="257"/>
      <c r="AC23" s="257"/>
      <c r="AD23" s="257"/>
      <c r="AE23" s="257"/>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7"/>
      <c r="BC23" s="250"/>
      <c r="BD23" s="247"/>
      <c r="BE23" s="247"/>
      <c r="BF23" s="247"/>
      <c r="BG23" s="247"/>
      <c r="BH23" s="247"/>
      <c r="BI23" s="247"/>
      <c r="BJ23" s="247"/>
      <c r="BK23" s="247"/>
      <c r="BL23" s="250"/>
      <c r="BM23" s="247"/>
      <c r="BN23" s="247"/>
      <c r="BO23" s="247"/>
      <c r="BP23" s="247"/>
      <c r="BQ23" s="247"/>
      <c r="BR23" s="247"/>
      <c r="BS23" s="247"/>
      <c r="BT23" s="247"/>
      <c r="BU23" s="247"/>
      <c r="BV23" s="247"/>
      <c r="BW23" s="247"/>
      <c r="BX23" s="258"/>
    </row>
    <row r="24" spans="1:76" s="67" customFormat="1" ht="6" customHeight="1" x14ac:dyDescent="0.25">
      <c r="A24" s="270"/>
      <c r="B24" s="271"/>
      <c r="C24" s="259"/>
      <c r="D24" s="260"/>
      <c r="E24" s="261"/>
      <c r="F24" s="260"/>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0"/>
      <c r="AS24" s="260"/>
      <c r="AT24" s="260"/>
      <c r="AU24" s="260"/>
      <c r="AV24" s="260"/>
      <c r="AW24" s="260"/>
      <c r="AX24" s="260"/>
      <c r="AY24" s="260"/>
      <c r="AZ24" s="260"/>
      <c r="BA24" s="260"/>
      <c r="BB24" s="259"/>
      <c r="BC24" s="262"/>
      <c r="BD24" s="259"/>
      <c r="BE24" s="259"/>
      <c r="BF24" s="259"/>
      <c r="BG24" s="259"/>
      <c r="BH24" s="259"/>
      <c r="BI24" s="259"/>
      <c r="BJ24" s="259"/>
      <c r="BK24" s="259"/>
      <c r="BL24" s="262"/>
      <c r="BM24" s="259"/>
      <c r="BN24" s="259"/>
      <c r="BO24" s="259"/>
      <c r="BP24" s="259"/>
      <c r="BQ24" s="259"/>
      <c r="BR24" s="259"/>
      <c r="BS24" s="259"/>
      <c r="BT24" s="259"/>
      <c r="BU24" s="259"/>
      <c r="BV24" s="259"/>
      <c r="BW24" s="259"/>
      <c r="BX24" s="263"/>
    </row>
    <row r="25" spans="1:76" s="52" customFormat="1" ht="18" x14ac:dyDescent="0.2">
      <c r="A25" s="246" t="str">
        <f>Classes!J7</f>
        <v>IFMA_C_31010000</v>
      </c>
      <c r="B25" s="246" t="str">
        <f>Classes!P7</f>
        <v>Geschoss</v>
      </c>
      <c r="C25" s="37"/>
      <c r="D25" s="246" t="s">
        <v>884</v>
      </c>
      <c r="E25" s="41"/>
      <c r="F25" s="51"/>
      <c r="G25" s="42"/>
      <c r="H25" s="246" t="str">
        <f>IF(VLOOKUP($A25,Data_Template!$A$6:$BA$16,COLUMNS($A:B)+6,0)=0,"",VLOOKUP($A25,Data_Template!$A$6:$BA$16,COLUMNS($A:B)+6,0))</f>
        <v>x</v>
      </c>
      <c r="I25" s="246" t="str">
        <f>IF(VLOOKUP($A25,Data_Template!$A$6:$BA$16,COLUMNS($A:C)+6,0)=0,"",VLOOKUP($A25,Data_Template!$A$6:$BA$16,COLUMNS($A:C)+6,0))</f>
        <v/>
      </c>
      <c r="J25" s="246" t="str">
        <f>IF(VLOOKUP($A25,Data_Template!$A$6:$BA$16,COLUMNS($A:D)+6,0)=0,"",VLOOKUP($A25,Data_Template!$A$6:$BA$16,COLUMNS($A:D)+6,0))</f>
        <v/>
      </c>
      <c r="K25" s="246" t="str">
        <f>IF(VLOOKUP($A25,Data_Template!$A$6:$BA$16,COLUMNS($A:E)+6,0)=0,"",VLOOKUP($A25,Data_Template!$A$6:$BA$16,COLUMNS($A:E)+6,0))</f>
        <v/>
      </c>
      <c r="L25" s="246" t="str">
        <f>IF(VLOOKUP($A25,Data_Template!$A$6:$BA$16,COLUMNS($A:F)+6,0)=0,"",VLOOKUP($A25,Data_Template!$A$6:$BA$16,COLUMNS($A:F)+6,0))</f>
        <v/>
      </c>
      <c r="M25" s="246" t="str">
        <f>IF(VLOOKUP($A25,Data_Template!$A$6:$BA$16,COLUMNS($A:G)+6,0)=0,"",VLOOKUP($A25,Data_Template!$A$6:$BA$16,COLUMNS($A:G)+6,0))</f>
        <v/>
      </c>
      <c r="N25" s="246" t="str">
        <f>IF(VLOOKUP($A25,Data_Template!$A$6:$BA$16,COLUMNS($A:H)+6,0)=0,"",VLOOKUP($A25,Data_Template!$A$6:$BA$16,COLUMNS($A:H)+6,0))</f>
        <v/>
      </c>
      <c r="O25" s="246" t="str">
        <f>IF(VLOOKUP($A25,Data_Template!$A$6:$BA$16,COLUMNS($A:I)+6,0)=0,"",VLOOKUP($A25,Data_Template!$A$6:$BA$16,COLUMNS($A:I)+6,0))</f>
        <v/>
      </c>
      <c r="P25" s="246" t="str">
        <f>IF(VLOOKUP($A25,Data_Template!$A$6:$BA$16,COLUMNS($A:J)+6,0)=0,"",VLOOKUP($A25,Data_Template!$A$6:$BA$16,COLUMNS($A:J)+6,0))</f>
        <v/>
      </c>
      <c r="Q25" s="246"/>
      <c r="R25" s="246" t="str">
        <f>IF(VLOOKUP($A25,Data_Template!$A$6:$BA$16,COLUMNS($A:L)+6,0)=0,"",VLOOKUP($A25,Data_Template!$A$6:$BA$16,COLUMNS($A:L)+6,0))</f>
        <v/>
      </c>
      <c r="S25" s="246" t="str">
        <f>IF(VLOOKUP($A25,Data_Template!$A$6:$BA$16,COLUMNS($A:M)+6,0)=0,"",VLOOKUP($A25,Data_Template!$A$6:$BA$16,COLUMNS($A:M)+6,0))</f>
        <v/>
      </c>
      <c r="T25" s="246" t="str">
        <f>IF(VLOOKUP($A25,Data_Template!$A$6:$BA$16,COLUMNS($A:N)+6,0)=0,"",VLOOKUP($A25,Data_Template!$A$6:$BA$16,COLUMNS($A:N)+6,0))</f>
        <v/>
      </c>
      <c r="U25" s="246" t="str">
        <f>IF(VLOOKUP($A25,Data_Template!$A$6:$BA$16,COLUMNS($A:O)+6,0)=0,"",VLOOKUP($A25,Data_Template!$A$6:$BA$16,COLUMNS($A:O)+6,0))</f>
        <v/>
      </c>
      <c r="V25" s="246" t="str">
        <f>IF(VLOOKUP($A25,Data_Template!$A$6:$BA$16,COLUMNS($A:P)+6,0)=0,"",VLOOKUP($A25,Data_Template!$A$6:$BA$16,COLUMNS($A:P)+6,0))</f>
        <v/>
      </c>
      <c r="W25" s="246" t="str">
        <f>IF(VLOOKUP($A25,Data_Template!$A$6:$BA$16,COLUMNS($A:Q)+6,0)=0,"",VLOOKUP($A25,Data_Template!$A$6:$BA$16,COLUMNS($A:Q)+6,0))</f>
        <v/>
      </c>
      <c r="X25" s="246" t="str">
        <f>IF(VLOOKUP($A25,Data_Template!$A$6:$BA$16,COLUMNS($A:R)+6,0)=0,"",VLOOKUP($A25,Data_Template!$A$6:$BA$16,COLUMNS($A:R)+6,0))</f>
        <v/>
      </c>
      <c r="Y25" s="246" t="str">
        <f>IF(VLOOKUP($A25,Data_Template!$A$6:$BA$16,COLUMNS($A:S)+6,0)=0,"",VLOOKUP($A25,Data_Template!$A$6:$BA$16,COLUMNS($A:S)+6,0))</f>
        <v/>
      </c>
      <c r="Z25" s="246" t="str">
        <f>IF(VLOOKUP($A25,Data_Template!$A$6:$BA$16,COLUMNS($A:T)+6,0)=0,"",VLOOKUP($A25,Data_Template!$A$6:$BA$16,COLUMNS($A:T)+6,0))</f>
        <v/>
      </c>
      <c r="AA25" s="246" t="str">
        <f>IF(VLOOKUP($A25,Data_Template!$A$6:$BA$16,COLUMNS($A:U)+6,0)=0,"",VLOOKUP($A25,Data_Template!$A$6:$BA$16,COLUMNS($A:U)+6,0))</f>
        <v/>
      </c>
      <c r="AB25" s="246" t="str">
        <f>IF(VLOOKUP($A25,Data_Template!$A$6:$BA$16,COLUMNS($A:V)+6,0)=0,"",VLOOKUP($A25,Data_Template!$A$6:$BA$16,COLUMNS($A:V)+6,0))</f>
        <v/>
      </c>
      <c r="AC25" s="246" t="str">
        <f>IF(VLOOKUP($A25,Data_Template!$A$6:$BA$16,COLUMNS($A:W)+6,0)=0,"",VLOOKUP($A25,Data_Template!$A$6:$BA$16,COLUMNS($A:W)+6,0))</f>
        <v/>
      </c>
      <c r="AD25" s="246" t="str">
        <f>IF(VLOOKUP($A25,Data_Template!$A$6:$BA$16,COLUMNS($A:X)+6,0)=0,"",VLOOKUP($A25,Data_Template!$A$6:$BA$16,COLUMNS($A:X)+6,0))</f>
        <v/>
      </c>
      <c r="AE25" s="246" t="str">
        <f>IF(VLOOKUP($A25,Data_Template!$A$6:$BA$16,COLUMNS($A:Y)+6,0)=0,"",VLOOKUP($A25,Data_Template!$A$6:$BA$16,COLUMNS($A:Y)+6,0))</f>
        <v/>
      </c>
      <c r="AF25" s="246" t="str">
        <f>IF(VLOOKUP($A25,Data_Template!$A$6:$BA$16,COLUMNS($A:Z)+6,0)=0,"",VLOOKUP($A25,Data_Template!$A$6:$BA$16,COLUMNS($A:Z)+6,0))</f>
        <v/>
      </c>
      <c r="AG25" s="246" t="str">
        <f>IF(VLOOKUP($A25,Data_Template!$A$6:$BA$16,COLUMNS($A:AA)+6,0)=0,"",VLOOKUP($A25,Data_Template!$A$6:$BA$16,COLUMNS($A:AA)+6,0))</f>
        <v/>
      </c>
      <c r="AH25" s="246" t="str">
        <f>IF(VLOOKUP($A25,Data_Template!$A$6:$BA$16,COLUMNS($A:AB)+6,0)=0,"",VLOOKUP($A25,Data_Template!$A$6:$BA$16,COLUMNS($A:AB)+6,0))</f>
        <v/>
      </c>
      <c r="AI25" s="246" t="str">
        <f>IF(VLOOKUP($A25,Data_Template!$A$6:$BA$16,COLUMNS($A:AC)+6,0)=0,"",VLOOKUP($A25,Data_Template!$A$6:$BA$16,COLUMNS($A:AC)+6,0))</f>
        <v/>
      </c>
      <c r="AJ25" s="246" t="str">
        <f>IF(VLOOKUP($A25,Data_Template!$A$6:$BA$16,COLUMNS($A:AD)+6,0)=0,"",VLOOKUP($A25,Data_Template!$A$6:$BA$16,COLUMNS($A:AD)+6,0))</f>
        <v/>
      </c>
      <c r="AK25" s="246" t="str">
        <f>IF(VLOOKUP($A25,Data_Template!$A$6:$BA$16,COLUMNS($A:AE)+6,0)=0,"",VLOOKUP($A25,Data_Template!$A$6:$BA$16,COLUMNS($A:AE)+6,0))</f>
        <v/>
      </c>
      <c r="AL25" s="246" t="str">
        <f>IF(VLOOKUP($A25,Data_Template!$A$6:$BA$16,COLUMNS($A:AF)+6,0)=0,"",VLOOKUP($A25,Data_Template!$A$6:$BA$16,COLUMNS($A:AF)+6,0))</f>
        <v/>
      </c>
      <c r="AM25" s="246" t="str">
        <f>IF(VLOOKUP($A25,Data_Template!$A$6:$BA$16,COLUMNS($A:AG)+6,0)=0,"",VLOOKUP($A25,Data_Template!$A$6:$BA$16,COLUMNS($A:AG)+6,0))</f>
        <v/>
      </c>
      <c r="AN25" s="246" t="str">
        <f>IF(VLOOKUP($A25,Data_Template!$A$6:$BA$16,COLUMNS($A:AH)+6,0)=0,"",VLOOKUP($A25,Data_Template!$A$6:$BA$16,COLUMNS($A:AH)+6,0))</f>
        <v/>
      </c>
      <c r="AO25" s="246" t="str">
        <f>IF(VLOOKUP($A25,Data_Template!$A$6:$BA$16,COLUMNS($A:AI)+6,0)=0,"",VLOOKUP($A25,Data_Template!$A$6:$BA$16,COLUMNS($A:AI)+6,0))</f>
        <v/>
      </c>
      <c r="AP25" s="246" t="str">
        <f>IF(VLOOKUP($A25,Data_Template!$A$6:$BA$16,COLUMNS($A:AJ)+6,0)=0,"",VLOOKUP($A25,Data_Template!$A$6:$BA$16,COLUMNS($A:AJ)+6,0))</f>
        <v/>
      </c>
      <c r="AQ25" s="246" t="str">
        <f>IF(VLOOKUP($A25,Data_Template!$A$6:$BA$16,COLUMNS($A:AK)+6,0)=0,"",VLOOKUP($A25,Data_Template!$A$6:$BA$16,COLUMNS($A:AK)+6,0))</f>
        <v/>
      </c>
      <c r="AR25" s="246" t="str">
        <f>IF(VLOOKUP($A25,Data_Template!$A$6:$BA$16,COLUMNS($A:AL)+6,0)=0,"",VLOOKUP($A25,Data_Template!$A$6:$BA$16,COLUMNS($A:AL)+6,0))</f>
        <v/>
      </c>
      <c r="AS25" s="246" t="str">
        <f>IF(VLOOKUP($A25,Data_Template!$A$6:$BA$16,COLUMNS($A:AM)+6,0)=0,"",VLOOKUP($A25,Data_Template!$A$6:$BA$16,COLUMNS($A:AM)+6,0))</f>
        <v/>
      </c>
      <c r="AT25" s="246" t="str">
        <f>IF(VLOOKUP($A25,Data_Template!$A$6:$BA$16,COLUMNS($A:AN)+6,0)=0,"",VLOOKUP($A25,Data_Template!$A$6:$BA$16,COLUMNS($A:AN)+6,0))</f>
        <v/>
      </c>
      <c r="AU25" s="246" t="str">
        <f>IF(VLOOKUP($A25,Data_Template!$A$6:$BA$16,COLUMNS($A:AO)+6,0)=0,"",VLOOKUP($A25,Data_Template!$A$6:$BA$16,COLUMNS($A:AO)+6,0))</f>
        <v/>
      </c>
      <c r="AV25" s="246" t="str">
        <f>IF(VLOOKUP($A25,Data_Template!$A$6:$BA$16,COLUMNS($A:AP)+6,0)=0,"",VLOOKUP($A25,Data_Template!$A$6:$BA$16,COLUMNS($A:AP)+6,0))</f>
        <v/>
      </c>
      <c r="AW25" s="246" t="str">
        <f>IF(VLOOKUP($A25,Data_Template!$A$6:$BA$16,COLUMNS($A:AQ)+6,0)=0,"",VLOOKUP($A25,Data_Template!$A$6:$BA$16,COLUMNS($A:AQ)+6,0))</f>
        <v/>
      </c>
      <c r="AX25" s="246" t="str">
        <f>IF(VLOOKUP($A25,Data_Template!$A$6:$BA$16,COLUMNS($A:AR)+6,0)=0,"",VLOOKUP($A25,Data_Template!$A$6:$BA$16,COLUMNS($A:AR)+6,0))</f>
        <v/>
      </c>
      <c r="AY25" s="246" t="str">
        <f>IF(VLOOKUP($A25,Data_Template!$A$6:$BA$16,COLUMNS($A:AS)+6,0)=0,"",VLOOKUP($A25,Data_Template!$A$6:$BA$16,COLUMNS($A:AS)+6,0))</f>
        <v/>
      </c>
      <c r="AZ25" s="246" t="str">
        <f>IF(VLOOKUP($A25,Data_Template!$A$6:$BA$16,COLUMNS($A:AT)+6,0)=0,"",VLOOKUP($A25,Data_Template!$A$6:$BA$16,COLUMNS($A:AT)+6,0))</f>
        <v/>
      </c>
      <c r="BA25" s="246" t="str">
        <f>IF(VLOOKUP($A25,Data_Template!$A$6:$BA$16,COLUMNS($A:AU)+6,0)=0,"",VLOOKUP($A25,Data_Template!$A$6:$BA$16,COLUMNS($A:AU)+6,0))</f>
        <v/>
      </c>
      <c r="BB25" s="50"/>
      <c r="BC25" s="246"/>
      <c r="BD25" s="246"/>
      <c r="BE25" s="246"/>
      <c r="BF25" s="246"/>
      <c r="BG25" s="246"/>
      <c r="BH25" s="246"/>
      <c r="BI25" s="246"/>
      <c r="BJ25" s="246"/>
      <c r="BL25" s="246"/>
      <c r="BM25" s="246"/>
      <c r="BN25" s="246"/>
      <c r="BO25" s="246"/>
      <c r="BP25" s="246"/>
      <c r="BQ25" s="246"/>
      <c r="BR25" s="246"/>
      <c r="BS25" s="246"/>
      <c r="BT25" s="246"/>
      <c r="BU25" s="246"/>
      <c r="BV25" s="246"/>
      <c r="BW25" s="246"/>
      <c r="BX25" s="246"/>
    </row>
    <row r="26" spans="1:76" s="51" customFormat="1" ht="14.25" x14ac:dyDescent="0.2">
      <c r="A26" s="246" t="str">
        <f>Classes!J8</f>
        <v>IFMA_C_31010001</v>
      </c>
      <c r="B26" s="246" t="str">
        <f>Classes!P8</f>
        <v>Grundstückfläche</v>
      </c>
      <c r="C26" s="37"/>
      <c r="D26" s="42" t="s">
        <v>884</v>
      </c>
      <c r="E26" s="41"/>
      <c r="G26" s="42" t="str">
        <f>IF(VLOOKUP($A26,Data_Template!$A$6:$BA$16,COLUMNS($A:A)+6,0)=0,"",VLOOKUP($A26,Data_Template!$A$6:$BA$16,COLUMNS($A:A)+6,0))</f>
        <v/>
      </c>
      <c r="H26" s="42" t="str">
        <f>IF(VLOOKUP($A26,Data_Template!$A$6:$BA$16,COLUMNS($A:B)+6,0)=0,"",VLOOKUP($A26,Data_Template!$A$6:$BA$16,COLUMNS($A:B)+6,0))</f>
        <v/>
      </c>
      <c r="I26" s="42" t="str">
        <f>IF(VLOOKUP($A26,Data_Template!$A$6:$BA$16,COLUMNS($A:C)+6,0)=0,"",VLOOKUP($A26,Data_Template!$A$6:$BA$16,COLUMNS($A:C)+6,0))</f>
        <v>["1_GSF", "1_ST", "1_SF"]</v>
      </c>
      <c r="J26" s="42" t="str">
        <f>IF(VLOOKUP($A26,Data_Template!$A$6:$BA$16,COLUMNS($A:D)+6,0)=0,"",VLOOKUP($A26,Data_Template!$A$6:$BA$16,COLUMNS($A:D)+6,0))</f>
        <v/>
      </c>
      <c r="K26" s="42" t="str">
        <f>IF(VLOOKUP($A26,Data_Template!$A$6:$BA$16,COLUMNS($A:E)+6,0)=0,"",VLOOKUP($A26,Data_Template!$A$6:$BA$16,COLUMNS($A:E)+6,0))</f>
        <v/>
      </c>
      <c r="L26" s="42" t="str">
        <f>IF(VLOOKUP($A26,Data_Template!$A$6:$BA$16,COLUMNS($A:F)+6,0)=0,"",VLOOKUP($A26,Data_Template!$A$6:$BA$16,COLUMNS($A:F)+6,0))</f>
        <v/>
      </c>
      <c r="M26" s="42" t="str">
        <f>IF(VLOOKUP($A26,Data_Template!$A$6:$BA$16,COLUMNS($A:G)+6,0)=0,"",VLOOKUP($A26,Data_Template!$A$6:$BA$16,COLUMNS($A:G)+6,0))</f>
        <v/>
      </c>
      <c r="N26" s="42" t="str">
        <f>IF(VLOOKUP($A26,Data_Template!$A$6:$BA$16,COLUMNS($A:H)+6,0)=0,"",VLOOKUP($A26,Data_Template!$A$6:$BA$16,COLUMNS($A:H)+6,0))</f>
        <v/>
      </c>
      <c r="O26" s="42" t="str">
        <f>IF(VLOOKUP($A26,Data_Template!$A$6:$BA$16,COLUMNS($A:I)+6,0)=0,"",VLOOKUP($A26,Data_Template!$A$6:$BA$16,COLUMNS($A:I)+6,0))</f>
        <v/>
      </c>
      <c r="P26" s="42" t="str">
        <f>IF(VLOOKUP($A26,Data_Template!$A$6:$BA$16,COLUMNS($A:J)+6,0)=0,"",VLOOKUP($A26,Data_Template!$A$6:$BA$16,COLUMNS($A:J)+6,0))</f>
        <v/>
      </c>
      <c r="Q26" s="42" t="str">
        <f>IF(VLOOKUP($A26,Data_Template!$A$6:$BA$16,COLUMNS($A:K)+6,0)=0,"",VLOOKUP($A26,Data_Template!$A$6:$BA$16,COLUMNS($A:K)+6,0))</f>
        <v/>
      </c>
      <c r="R26" s="42" t="str">
        <f>IF(VLOOKUP($A26,Data_Template!$A$6:$BA$16,COLUMNS($A:L)+6,0)=0,"",VLOOKUP($A26,Data_Template!$A$6:$BA$16,COLUMNS($A:L)+6,0))</f>
        <v/>
      </c>
      <c r="S26" s="42" t="str">
        <f>IF(VLOOKUP($A26,Data_Template!$A$6:$BA$16,COLUMNS($A:M)+6,0)=0,"",VLOOKUP($A26,Data_Template!$A$6:$BA$16,COLUMNS($A:M)+6,0))</f>
        <v/>
      </c>
      <c r="T26" s="42" t="str">
        <f>IF(VLOOKUP($A26,Data_Template!$A$6:$BA$16,COLUMNS($A:N)+6,0)=0,"",VLOOKUP($A26,Data_Template!$A$6:$BA$16,COLUMNS($A:N)+6,0))</f>
        <v/>
      </c>
      <c r="U26" s="42" t="str">
        <f>IF(VLOOKUP($A26,Data_Template!$A$6:$BA$16,COLUMNS($A:O)+6,0)=0,"",VLOOKUP($A26,Data_Template!$A$6:$BA$16,COLUMNS($A:O)+6,0))</f>
        <v/>
      </c>
      <c r="V26" s="42" t="str">
        <f>IF(VLOOKUP($A26,Data_Template!$A$6:$BA$16,COLUMNS($A:P)+6,0)=0,"",VLOOKUP($A26,Data_Template!$A$6:$BA$16,COLUMNS($A:P)+6,0))</f>
        <v/>
      </c>
      <c r="W26" s="42" t="str">
        <f>IF(VLOOKUP($A26,Data_Template!$A$6:$BA$16,COLUMNS($A:Q)+6,0)=0,"",VLOOKUP($A26,Data_Template!$A$6:$BA$16,COLUMNS($A:Q)+6,0))</f>
        <v/>
      </c>
      <c r="X26" s="42" t="str">
        <f>IF(VLOOKUP($A26,Data_Template!$A$6:$BA$16,COLUMNS($A:R)+6,0)=0,"",VLOOKUP($A26,Data_Template!$A$6:$BA$16,COLUMNS($A:R)+6,0))</f>
        <v/>
      </c>
      <c r="Y26" s="42" t="str">
        <f>IF(VLOOKUP($A26,Data_Template!$A$6:$BA$16,COLUMNS($A:S)+6,0)=0,"",VLOOKUP($A26,Data_Template!$A$6:$BA$16,COLUMNS($A:S)+6,0))</f>
        <v/>
      </c>
      <c r="Z26" s="42" t="str">
        <f>IF(VLOOKUP($A26,Data_Template!$A$6:$BA$16,COLUMNS($A:T)+6,0)=0,"",VLOOKUP($A26,Data_Template!$A$6:$BA$16,COLUMNS($A:T)+6,0))</f>
        <v/>
      </c>
      <c r="AA26" s="42" t="str">
        <f>IF(VLOOKUP($A26,Data_Template!$A$6:$BA$16,COLUMNS($A:U)+6,0)=0,"",VLOOKUP($A26,Data_Template!$A$6:$BA$16,COLUMNS($A:U)+6,0))</f>
        <v/>
      </c>
      <c r="AB26" s="42" t="str">
        <f>IF(VLOOKUP($A26,Data_Template!$A$6:$BA$16,COLUMNS($A:V)+6,0)=0,"",VLOOKUP($A26,Data_Template!$A$6:$BA$16,COLUMNS($A:V)+6,0))</f>
        <v/>
      </c>
      <c r="AC26" s="42" t="str">
        <f>IF(VLOOKUP($A26,Data_Template!$A$6:$BA$16,COLUMNS($A:W)+6,0)=0,"",VLOOKUP($A26,Data_Template!$A$6:$BA$16,COLUMNS($A:W)+6,0))</f>
        <v/>
      </c>
      <c r="AD26" s="42" t="str">
        <f>IF(VLOOKUP($A26,Data_Template!$A$6:$BA$16,COLUMNS($A:X)+6,0)=0,"",VLOOKUP($A26,Data_Template!$A$6:$BA$16,COLUMNS($A:X)+6,0))</f>
        <v/>
      </c>
      <c r="AE26" s="42" t="str">
        <f>IF(VLOOKUP($A26,Data_Template!$A$6:$BA$16,COLUMNS($A:Y)+6,0)=0,"",VLOOKUP($A26,Data_Template!$A$6:$BA$16,COLUMNS($A:Y)+6,0))</f>
        <v/>
      </c>
      <c r="AF26" s="42" t="str">
        <f>IF(VLOOKUP($A26,Data_Template!$A$6:$BA$16,COLUMNS($A:Z)+6,0)=0,"",VLOOKUP($A26,Data_Template!$A$6:$BA$16,COLUMNS($A:Z)+6,0))</f>
        <v/>
      </c>
      <c r="AG26" s="42" t="str">
        <f>IF(VLOOKUP($A26,Data_Template!$A$6:$BA$16,COLUMNS($A:AA)+6,0)=0,"",VLOOKUP($A26,Data_Template!$A$6:$BA$16,COLUMNS($A:AA)+6,0))</f>
        <v/>
      </c>
      <c r="AH26" s="42" t="str">
        <f>IF(VLOOKUP($A26,Data_Template!$A$6:$BA$16,COLUMNS($A:AB)+6,0)=0,"",VLOOKUP($A26,Data_Template!$A$6:$BA$16,COLUMNS($A:AB)+6,0))</f>
        <v/>
      </c>
      <c r="AI26" s="42" t="str">
        <f>IF(VLOOKUP($A26,Data_Template!$A$6:$BA$16,COLUMNS($A:AC)+6,0)=0,"",VLOOKUP($A26,Data_Template!$A$6:$BA$16,COLUMNS($A:AC)+6,0))</f>
        <v/>
      </c>
      <c r="AJ26" s="42" t="str">
        <f>IF(VLOOKUP($A26,Data_Template!$A$6:$BA$16,COLUMNS($A:AD)+6,0)=0,"",VLOOKUP($A26,Data_Template!$A$6:$BA$16,COLUMNS($A:AD)+6,0))</f>
        <v/>
      </c>
      <c r="AK26" s="42" t="str">
        <f>IF(VLOOKUP($A26,Data_Template!$A$6:$BA$16,COLUMNS($A:AE)+6,0)=0,"",VLOOKUP($A26,Data_Template!$A$6:$BA$16,COLUMNS($A:AE)+6,0))</f>
        <v/>
      </c>
      <c r="AL26" s="42" t="str">
        <f>IF(VLOOKUP($A26,Data_Template!$A$6:$BA$16,COLUMNS($A:AF)+6,0)=0,"",VLOOKUP($A26,Data_Template!$A$6:$BA$16,COLUMNS($A:AF)+6,0))</f>
        <v/>
      </c>
      <c r="AM26" s="42" t="str">
        <f>IF(VLOOKUP($A26,Data_Template!$A$6:$BA$16,COLUMNS($A:AG)+6,0)=0,"",VLOOKUP($A26,Data_Template!$A$6:$BA$16,COLUMNS($A:AG)+6,0))</f>
        <v/>
      </c>
      <c r="AN26" s="42" t="str">
        <f>IF(VLOOKUP($A26,Data_Template!$A$6:$BA$16,COLUMNS($A:AH)+6,0)=0,"",VLOOKUP($A26,Data_Template!$A$6:$BA$16,COLUMNS($A:AH)+6,0))</f>
        <v/>
      </c>
      <c r="AO26" s="42" t="str">
        <f>IF(VLOOKUP($A26,Data_Template!$A$6:$BA$16,COLUMNS($A:AI)+6,0)=0,"",VLOOKUP($A26,Data_Template!$A$6:$BA$16,COLUMNS($A:AI)+6,0))</f>
        <v/>
      </c>
      <c r="AP26" s="42" t="str">
        <f>IF(VLOOKUP($A26,Data_Template!$A$6:$BA$16,COLUMNS($A:AJ)+6,0)=0,"",VLOOKUP($A26,Data_Template!$A$6:$BA$16,COLUMNS($A:AJ)+6,0))</f>
        <v/>
      </c>
      <c r="AQ26" s="42" t="str">
        <f>IF(VLOOKUP($A26,Data_Template!$A$6:$BA$16,COLUMNS($A:AK)+6,0)=0,"",VLOOKUP($A26,Data_Template!$A$6:$BA$16,COLUMNS($A:AK)+6,0))</f>
        <v/>
      </c>
      <c r="AR26" s="42" t="str">
        <f>IF(VLOOKUP($A26,Data_Template!$A$6:$BA$16,COLUMNS($A:AL)+6,0)=0,"",VLOOKUP($A26,Data_Template!$A$6:$BA$16,COLUMNS($A:AL)+6,0))</f>
        <v/>
      </c>
      <c r="AS26" s="42" t="str">
        <f>IF(VLOOKUP($A26,Data_Template!$A$6:$BA$16,COLUMNS($A:AM)+6,0)=0,"",VLOOKUP($A26,Data_Template!$A$6:$BA$16,COLUMNS($A:AM)+6,0))</f>
        <v/>
      </c>
      <c r="AT26" s="42" t="str">
        <f>IF(VLOOKUP($A26,Data_Template!$A$6:$BA$16,COLUMNS($A:AN)+6,0)=0,"",VLOOKUP($A26,Data_Template!$A$6:$BA$16,COLUMNS($A:AN)+6,0))</f>
        <v>x</v>
      </c>
      <c r="AU26" s="42" t="str">
        <f>IF(VLOOKUP($A26,Data_Template!$A$6:$BA$16,COLUMNS($A:AO)+6,0)=0,"",VLOOKUP($A26,Data_Template!$A$6:$BA$16,COLUMNS($A:AO)+6,0))</f>
        <v/>
      </c>
      <c r="AV26" s="42" t="str">
        <f>IF(VLOOKUP($A26,Data_Template!$A$6:$BA$16,COLUMNS($A:AP)+6,0)=0,"",VLOOKUP($A26,Data_Template!$A$6:$BA$16,COLUMNS($A:AP)+6,0))</f>
        <v/>
      </c>
      <c r="AW26" s="42" t="str">
        <f>IF(VLOOKUP($A26,Data_Template!$A$6:$BA$16,COLUMNS($A:AQ)+6,0)=0,"",VLOOKUP($A26,Data_Template!$A$6:$BA$16,COLUMNS($A:AQ)+6,0))</f>
        <v/>
      </c>
      <c r="AX26" s="42" t="str">
        <f>IF(VLOOKUP($A26,Data_Template!$A$6:$BA$16,COLUMNS($A:AR)+6,0)=0,"",VLOOKUP($A26,Data_Template!$A$6:$BA$16,COLUMNS($A:AR)+6,0))</f>
        <v/>
      </c>
      <c r="AY26" s="42" t="str">
        <f>IF(VLOOKUP($A26,Data_Template!$A$6:$BA$16,COLUMNS($A:AS)+6,0)=0,"",VLOOKUP($A26,Data_Template!$A$6:$BA$16,COLUMNS($A:AS)+6,0))</f>
        <v/>
      </c>
      <c r="AZ26" s="42" t="str">
        <f>IF(VLOOKUP($A26,Data_Template!$A$6:$BA$16,COLUMNS($A:AT)+6,0)=0,"",VLOOKUP($A26,Data_Template!$A$6:$BA$16,COLUMNS($A:AT)+6,0))</f>
        <v/>
      </c>
      <c r="BA26" s="42" t="str">
        <f>IF(VLOOKUP($A26,Data_Template!$A$6:$BA$16,COLUMNS($A:AU)+6,0)=0,"",VLOOKUP($A26,Data_Template!$A$6:$BA$16,COLUMNS($A:AU)+6,0))</f>
        <v/>
      </c>
      <c r="BB26" s="50"/>
      <c r="BC26" s="42"/>
      <c r="BD26" s="42"/>
      <c r="BE26" s="42"/>
      <c r="BF26" s="42"/>
      <c r="BG26" s="42"/>
      <c r="BH26" s="42"/>
      <c r="BI26" s="42"/>
      <c r="BJ26" s="42"/>
      <c r="BL26" s="42"/>
      <c r="BM26" s="42"/>
      <c r="BN26" s="42"/>
      <c r="BO26" s="42"/>
      <c r="BP26" s="42"/>
      <c r="BQ26" s="42"/>
      <c r="BR26" s="42"/>
      <c r="BS26" s="42"/>
      <c r="BT26" s="42"/>
      <c r="BU26" s="42"/>
      <c r="BV26" s="42"/>
      <c r="BW26" s="42"/>
      <c r="BX26" s="42"/>
    </row>
    <row r="27" spans="1:76" s="51" customFormat="1" ht="51" x14ac:dyDescent="0.2">
      <c r="A27" s="246" t="str">
        <f>Classes!J9</f>
        <v>IFMA_C_31010002</v>
      </c>
      <c r="B27" s="246" t="str">
        <f>Classes!P9</f>
        <v>Umgebungsfläche</v>
      </c>
      <c r="C27" s="37"/>
      <c r="D27" s="42" t="s">
        <v>884</v>
      </c>
      <c r="E27" s="41"/>
      <c r="G27" s="42"/>
      <c r="H27" s="42"/>
      <c r="I27" s="42" t="str">
        <f>IF(VLOOKUP($A27,Data_Template!$A$6:$BA$16,COLUMNS($A:C)+6,0)=0,"",VLOOKUP($A27,Data_Template!$A$6:$BA$16,COLUMNS($A:C)+6,0))</f>
        <v>["1.2_UF", "1.2.1_BUF", "1.2.2_UUF", "1.2_SA", "1.2.1_SAA", "1.2.2_SAN",  "1.2_SLE", "1.2.1_SLES", "1.2.2_SLEN"]</v>
      </c>
      <c r="J27" s="42"/>
      <c r="K27" s="42" t="str">
        <f>IF(VLOOKUP($A27,Data_Template!$A$6:$BA$16,COLUMNS($A:E)+6,0)=0,"",VLOOKUP($A27,Data_Template!$A$6:$BA$16,COLUMNS($A:E)+6,0))</f>
        <v/>
      </c>
      <c r="L27" s="42" t="str">
        <f>IF(VLOOKUP($A27,Data_Template!$A$6:$BA$16,COLUMNS($A:F)+6,0)=0,"",VLOOKUP($A27,Data_Template!$A$6:$BA$16,COLUMNS($A:F)+6,0))</f>
        <v>["NONE", "10.1_aussenliegende Fahrzeugabstellflächen"]</v>
      </c>
      <c r="M27" s="42"/>
      <c r="N27" s="42"/>
      <c r="O27" s="42" t="str">
        <f>IF(VLOOKUP($A27,Data_Template!$A$6:$BA$16,COLUMNS($A:I)+6,0)=0,"",VLOOKUP($A27,Data_Template!$A$6:$BA$16,COLUMNS($A:I)+6,0))</f>
        <v/>
      </c>
      <c r="P27" s="42"/>
      <c r="Q27" s="42" t="str">
        <f>IF(VLOOKUP($A27,Data_Template!$A$6:$BA$16,COLUMNS($A:K)+6,0)=0,"",VLOOKUP($A27,Data_Template!$A$6:$BA$16,COLUMNS($A:K)+6,0))</f>
        <v/>
      </c>
      <c r="R27" s="42" t="str">
        <f>IF(VLOOKUP($A27,Data_Template!$A$6:$BA$16,COLUMNS($A:L)+6,0)=0,"",VLOOKUP($A27,Data_Template!$A$6:$BA$16,COLUMNS($A:L)+6,0))</f>
        <v/>
      </c>
      <c r="S27" s="42" t="str">
        <f>IF(VLOOKUP($A27,Data_Template!$A$6:$BA$16,COLUMNS($A:M)+6,0)=0,"",VLOOKUP($A27,Data_Template!$A$6:$BA$16,COLUMNS($A:M)+6,0))</f>
        <v/>
      </c>
      <c r="T27" s="42" t="str">
        <f>IF(VLOOKUP($A27,Data_Template!$A$6:$BA$16,COLUMNS($A:N)+6,0)=0,"",VLOOKUP($A27,Data_Template!$A$6:$BA$16,COLUMNS($A:N)+6,0))</f>
        <v/>
      </c>
      <c r="U27" s="42" t="str">
        <f>IF(VLOOKUP($A27,Data_Template!$A$6:$BA$16,COLUMNS($A:O)+6,0)=0,"",VLOOKUP($A27,Data_Template!$A$6:$BA$16,COLUMNS($A:O)+6,0))</f>
        <v/>
      </c>
      <c r="V27" s="42" t="str">
        <f>IF(VLOOKUP($A27,Data_Template!$A$6:$BA$16,COLUMNS($A:P)+6,0)=0,"",VLOOKUP($A27,Data_Template!$A$6:$BA$16,COLUMNS($A:P)+6,0))</f>
        <v/>
      </c>
      <c r="W27" s="42" t="str">
        <f>IF(VLOOKUP($A27,Data_Template!$A$6:$BA$16,COLUMNS($A:Q)+6,0)=0,"",VLOOKUP($A27,Data_Template!$A$6:$BA$16,COLUMNS($A:Q)+6,0))</f>
        <v/>
      </c>
      <c r="X27" s="42" t="str">
        <f>IF(VLOOKUP($A27,Data_Template!$A$6:$BA$16,COLUMNS($A:R)+6,0)=0,"",VLOOKUP($A27,Data_Template!$A$6:$BA$16,COLUMNS($A:R)+6,0))</f>
        <v/>
      </c>
      <c r="Y27" s="42"/>
      <c r="Z27" s="42" t="str">
        <f>IF(VLOOKUP($A27,Data_Template!$A$6:$BA$16,COLUMNS($A:T)+6,0)=0,"",VLOOKUP($A27,Data_Template!$A$6:$BA$16,COLUMNS($A:T)+6,0))</f>
        <v/>
      </c>
      <c r="AA27" s="42" t="str">
        <f>IF(VLOOKUP($A27,Data_Template!$A$6:$BA$16,COLUMNS($A:U)+6,0)=0,"",VLOOKUP($A27,Data_Template!$A$6:$BA$16,COLUMNS($A:U)+6,0))</f>
        <v/>
      </c>
      <c r="AB27" s="42" t="str">
        <f>IF(VLOOKUP($A27,Data_Template!$A$6:$BA$16,COLUMNS($A:V)+6,0)=0,"",VLOOKUP($A27,Data_Template!$A$6:$BA$16,COLUMNS($A:V)+6,0))</f>
        <v/>
      </c>
      <c r="AC27" s="42" t="str">
        <f>IF(VLOOKUP($A27,Data_Template!$A$6:$BA$16,COLUMNS($A:W)+6,0)=0,"",VLOOKUP($A27,Data_Template!$A$6:$BA$16,COLUMNS($A:W)+6,0))</f>
        <v/>
      </c>
      <c r="AD27" s="42" t="str">
        <f>IF(VLOOKUP($A27,Data_Template!$A$6:$BA$16,COLUMNS($A:X)+6,0)=0,"",VLOOKUP($A27,Data_Template!$A$6:$BA$16,COLUMNS($A:X)+6,0))</f>
        <v>["true"]</v>
      </c>
      <c r="AE27" s="42"/>
      <c r="AF27" s="42" t="str">
        <f>IF(VLOOKUP($A27,Data_Template!$A$6:$BA$16,COLUMNS($A:Z)+6,0)=0,"",VLOOKUP($A27,Data_Template!$A$6:$BA$16,COLUMNS($A:Z)+6,0))</f>
        <v/>
      </c>
      <c r="AG27" s="42" t="str">
        <f>IF(VLOOKUP($A27,Data_Template!$A$6:$BA$16,COLUMNS($A:AA)+6,0)=0,"",VLOOKUP($A27,Data_Template!$A$6:$BA$16,COLUMNS($A:AA)+6,0))</f>
        <v/>
      </c>
      <c r="AH27" s="42" t="str">
        <f>IF(VLOOKUP($A27,Data_Template!$A$6:$BA$16,COLUMNS($A:AB)+6,0)=0,"",VLOOKUP($A27,Data_Template!$A$6:$BA$16,COLUMNS($A:AB)+6,0))</f>
        <v/>
      </c>
      <c r="AI27" s="42"/>
      <c r="AJ27" s="42" t="str">
        <f>IF(VLOOKUP($A27,Data_Template!$A$6:$BA$16,COLUMNS($A:AD)+6,0)=0,"",VLOOKUP($A27,Data_Template!$A$6:$BA$16,COLUMNS($A:AD)+6,0))</f>
        <v/>
      </c>
      <c r="AK27" s="42" t="str">
        <f>IF(VLOOKUP($A27,Data_Template!$A$6:$BA$16,COLUMNS($A:AE)+6,0)=0,"",VLOOKUP($A27,Data_Template!$A$6:$BA$16,COLUMNS($A:AE)+6,0))</f>
        <v/>
      </c>
      <c r="AL27" s="42" t="str">
        <f>IF(VLOOKUP($A27,Data_Template!$A$6:$BA$16,COLUMNS($A:AF)+6,0)=0,"",VLOOKUP($A27,Data_Template!$A$6:$BA$16,COLUMNS($A:AF)+6,0))</f>
        <v/>
      </c>
      <c r="AM27" s="42" t="str">
        <f>IF(VLOOKUP($A27,Data_Template!$A$6:$BA$16,COLUMNS($A:AG)+6,0)=0,"",VLOOKUP($A27,Data_Template!$A$6:$BA$16,COLUMNS($A:AG)+6,0))</f>
        <v/>
      </c>
      <c r="AN27" s="42" t="str">
        <f>IF(VLOOKUP($A27,Data_Template!$A$6:$BA$16,COLUMNS($A:AH)+6,0)=0,"",VLOOKUP($A27,Data_Template!$A$6:$BA$16,COLUMNS($A:AH)+6,0))</f>
        <v/>
      </c>
      <c r="AO27" s="42" t="str">
        <f>IF(VLOOKUP($A27,Data_Template!$A$6:$BA$16,COLUMNS($A:AI)+6,0)=0,"",VLOOKUP($A27,Data_Template!$A$6:$BA$16,COLUMNS($A:AI)+6,0))</f>
        <v/>
      </c>
      <c r="AP27" s="42" t="str">
        <f>IF(VLOOKUP($A27,Data_Template!$A$6:$BA$16,COLUMNS($A:AJ)+6,0)=0,"",VLOOKUP($A27,Data_Template!$A$6:$BA$16,COLUMNS($A:AJ)+6,0))</f>
        <v/>
      </c>
      <c r="AQ27" s="42" t="str">
        <f>IF(VLOOKUP($A27,Data_Template!$A$6:$BA$16,COLUMNS($A:AK)+6,0)=0,"",VLOOKUP($A27,Data_Template!$A$6:$BA$16,COLUMNS($A:AK)+6,0))</f>
        <v/>
      </c>
      <c r="AR27" s="42" t="str">
        <f>IF(VLOOKUP($A27,Data_Template!$A$6:$BA$16,COLUMNS($A:AL)+6,0)=0,"",VLOOKUP($A27,Data_Template!$A$6:$BA$16,COLUMNS($A:AL)+6,0))</f>
        <v/>
      </c>
      <c r="AS27" s="42" t="str">
        <f>IF(VLOOKUP($A27,Data_Template!$A$6:$BA$16,COLUMNS($A:AM)+6,0)=0,"",VLOOKUP($A27,Data_Template!$A$6:$BA$16,COLUMNS($A:AM)+6,0))</f>
        <v/>
      </c>
      <c r="AT27" s="42" t="str">
        <f>IF(VLOOKUP($A27,Data_Template!$A$6:$BA$16,COLUMNS($A:AN)+6,0)=0,"",VLOOKUP($A27,Data_Template!$A$6:$BA$16,COLUMNS($A:AN)+6,0))</f>
        <v>x</v>
      </c>
      <c r="AU27" s="42" t="str">
        <f>IF(VLOOKUP($A27,Data_Template!$A$6:$BA$16,COLUMNS($A:AO)+6,0)=0,"",VLOOKUP($A27,Data_Template!$A$6:$BA$16,COLUMNS($A:AO)+6,0))</f>
        <v/>
      </c>
      <c r="AV27" s="42" t="str">
        <f>IF(VLOOKUP($A27,Data_Template!$A$6:$BA$16,COLUMNS($A:AP)+6,0)=0,"",VLOOKUP($A27,Data_Template!$A$6:$BA$16,COLUMNS($A:AP)+6,0))</f>
        <v/>
      </c>
      <c r="AW27" s="42" t="str">
        <f>IF(VLOOKUP($A27,Data_Template!$A$6:$BA$16,COLUMNS($A:AQ)+6,0)=0,"",VLOOKUP($A27,Data_Template!$A$6:$BA$16,COLUMNS($A:AQ)+6,0))</f>
        <v/>
      </c>
      <c r="AX27" s="42" t="str">
        <f>IF(VLOOKUP($A27,Data_Template!$A$6:$BA$16,COLUMNS($A:AR)+6,0)=0,"",VLOOKUP($A27,Data_Template!$A$6:$BA$16,COLUMNS($A:AR)+6,0))</f>
        <v/>
      </c>
      <c r="AY27" s="42" t="str">
        <f>IF(VLOOKUP($A27,Data_Template!$A$6:$BA$16,COLUMNS($A:AS)+6,0)=0,"",VLOOKUP($A27,Data_Template!$A$6:$BA$16,COLUMNS($A:AS)+6,0))</f>
        <v/>
      </c>
      <c r="AZ27" s="42" t="str">
        <f>IF(VLOOKUP($A27,Data_Template!$A$6:$BA$16,COLUMNS($A:AT)+6,0)=0,"",VLOOKUP($A27,Data_Template!$A$6:$BA$16,COLUMNS($A:AT)+6,0))</f>
        <v/>
      </c>
      <c r="BA27" s="42"/>
      <c r="BB27" s="50"/>
      <c r="BC27" s="42"/>
      <c r="BD27" s="42"/>
      <c r="BE27" s="42"/>
      <c r="BF27" s="42"/>
      <c r="BG27" s="42"/>
      <c r="BH27" s="42"/>
      <c r="BI27" s="42"/>
      <c r="BJ27" s="42"/>
      <c r="BL27" s="42"/>
      <c r="BM27" s="42"/>
      <c r="BN27" s="42"/>
      <c r="BO27" s="42"/>
      <c r="BP27" s="42"/>
      <c r="BQ27" s="42"/>
      <c r="BR27" s="42"/>
      <c r="BS27" s="42"/>
      <c r="BT27" s="42"/>
      <c r="BU27" s="42"/>
      <c r="BV27" s="42"/>
      <c r="BW27" s="42"/>
      <c r="BX27" s="42"/>
    </row>
    <row r="28" spans="1:76" s="51" customFormat="1" ht="51" x14ac:dyDescent="0.2">
      <c r="A28" s="246" t="str">
        <f>Classes!J10</f>
        <v>IFMA_C_31010003</v>
      </c>
      <c r="B28" s="246" t="str">
        <f>Classes!P10</f>
        <v>Geschossvolumen</v>
      </c>
      <c r="C28" s="37"/>
      <c r="D28" s="42" t="s">
        <v>884</v>
      </c>
      <c r="E28" s="41"/>
      <c r="G28" s="42" t="str">
        <f>IF(VLOOKUP($A28,Data_Template!$A$6:$BA$16,COLUMNS($A:A)+6,0)=0,"",VLOOKUP($A28,Data_Template!$A$6:$BA$16,COLUMNS($A:A)+6,0))</f>
        <v/>
      </c>
      <c r="H28" s="42" t="str">
        <f>IF(VLOOKUP($A28,Data_Template!$A$6:$BA$16,COLUMNS($A:B)+6,0)=0,"",VLOOKUP($A28,Data_Template!$A$6:$BA$16,COLUMNS($A:B)+6,0))</f>
        <v/>
      </c>
      <c r="I28" s="42" t="str">
        <f>IF(VLOOKUP($A28,Data_Template!$A$6:$BA$16,COLUMNS($A:C)+6,0)=0,"",VLOOKUP($A28,Data_Template!$A$6:$BA$16,COLUMNS($A:C)+6,0))</f>
        <v>["2_GF", "3_AGF", "5_GV", "ROOF_DACH", "2_SP", "3_SEP", "5_VB", "ROOF_TOIT", "2_SP", "3_SPE", "5_VE", "ROOF_TETTO"]</v>
      </c>
      <c r="J28" s="42" t="str">
        <f>IF(VLOOKUP($A28,Data_Template!$A$6:$BA$16,COLUMNS($A:D)+6,0)=0,"",VLOOKUP($A28,Data_Template!$A$6:$BA$16,COLUMNS($A:D)+6,0))</f>
        <v/>
      </c>
      <c r="K28" s="42" t="str">
        <f>IF(VLOOKUP($A28,Data_Template!$A$6:$BA$16,COLUMNS($A:E)+6,0)=0,"",VLOOKUP($A28,Data_Template!$A$6:$BA$16,COLUMNS($A:E)+6,0))</f>
        <v/>
      </c>
      <c r="L28" s="42" t="str">
        <f>IF(VLOOKUP($A28,Data_Template!$A$6:$BA$16,COLUMNS($A:F)+6,0)=0,"",VLOOKUP($A28,Data_Template!$A$6:$BA$16,COLUMNS($A:F)+6,0))</f>
        <v/>
      </c>
      <c r="M28" s="42"/>
      <c r="N28" s="42" t="str">
        <f>IF(VLOOKUP($A28,Data_Template!$A$6:$BA$16,COLUMNS($A:H)+6,0)=0,"",VLOOKUP($A28,Data_Template!$A$6:$BA$16,COLUMNS($A:H)+6,0))</f>
        <v/>
      </c>
      <c r="O28" s="42" t="str">
        <f>IF(VLOOKUP($A28,Data_Template!$A$6:$BA$16,COLUMNS($A:I)+6,0)=0,"",VLOOKUP($A28,Data_Template!$A$6:$BA$16,COLUMNS($A:I)+6,0))</f>
        <v/>
      </c>
      <c r="P28" s="42" t="str">
        <f>IF(VLOOKUP($A28,Data_Template!$A$6:$BA$16,COLUMNS($A:J)+6,0)=0,"",VLOOKUP($A28,Data_Template!$A$6:$BA$16,COLUMNS($A:J)+6,0))</f>
        <v/>
      </c>
      <c r="Q28" s="42" t="str">
        <f>IF(VLOOKUP($A28,Data_Template!$A$6:$BA$16,COLUMNS($A:K)+6,0)=0,"",VLOOKUP($A28,Data_Template!$A$6:$BA$16,COLUMNS($A:K)+6,0))</f>
        <v/>
      </c>
      <c r="R28" s="42" t="str">
        <f>IF(VLOOKUP($A28,Data_Template!$A$6:$BA$16,COLUMNS($A:L)+6,0)=0,"",VLOOKUP($A28,Data_Template!$A$6:$BA$16,COLUMNS($A:L)+6,0))</f>
        <v/>
      </c>
      <c r="S28" s="42" t="str">
        <f>IF(VLOOKUP($A28,Data_Template!$A$6:$BA$16,COLUMNS($A:M)+6,0)=0,"",VLOOKUP($A28,Data_Template!$A$6:$BA$16,COLUMNS($A:M)+6,0))</f>
        <v/>
      </c>
      <c r="T28" s="42" t="str">
        <f>IF(VLOOKUP($A28,Data_Template!$A$6:$BA$16,COLUMNS($A:N)+6,0)=0,"",VLOOKUP($A28,Data_Template!$A$6:$BA$16,COLUMNS($A:N)+6,0))</f>
        <v/>
      </c>
      <c r="U28" s="42" t="str">
        <f>IF(VLOOKUP($A28,Data_Template!$A$6:$BA$16,COLUMNS($A:O)+6,0)=0,"",VLOOKUP($A28,Data_Template!$A$6:$BA$16,COLUMNS($A:O)+6,0))</f>
        <v/>
      </c>
      <c r="V28" s="42" t="str">
        <f>IF(VLOOKUP($A28,Data_Template!$A$6:$BA$16,COLUMNS($A:P)+6,0)=0,"",VLOOKUP($A28,Data_Template!$A$6:$BA$16,COLUMNS($A:P)+6,0))</f>
        <v/>
      </c>
      <c r="W28" s="42" t="str">
        <f>IF(VLOOKUP($A28,Data_Template!$A$6:$BA$16,COLUMNS($A:Q)+6,0)=0,"",VLOOKUP($A28,Data_Template!$A$6:$BA$16,COLUMNS($A:Q)+6,0))</f>
        <v/>
      </c>
      <c r="X28" s="42" t="str">
        <f>IF(VLOOKUP($A28,Data_Template!$A$6:$BA$16,COLUMNS($A:R)+6,0)=0,"",VLOOKUP($A28,Data_Template!$A$6:$BA$16,COLUMNS($A:R)+6,0))</f>
        <v/>
      </c>
      <c r="Y28" s="42"/>
      <c r="Z28" s="42" t="str">
        <f>IF(VLOOKUP($A28,Data_Template!$A$6:$BA$16,COLUMNS($A:T)+6,0)=0,"",VLOOKUP($A28,Data_Template!$A$6:$BA$16,COLUMNS($A:T)+6,0))</f>
        <v/>
      </c>
      <c r="AA28" s="42" t="str">
        <f>IF(VLOOKUP($A28,Data_Template!$A$6:$BA$16,COLUMNS($A:U)+6,0)=0,"",VLOOKUP($A28,Data_Template!$A$6:$BA$16,COLUMNS($A:U)+6,0))</f>
        <v/>
      </c>
      <c r="AB28" s="42" t="str">
        <f>IF(VLOOKUP($A28,Data_Template!$A$6:$BA$16,COLUMNS($A:V)+6,0)=0,"",VLOOKUP($A28,Data_Template!$A$6:$BA$16,COLUMNS($A:V)+6,0))</f>
        <v/>
      </c>
      <c r="AC28" s="42" t="str">
        <f>IF(VLOOKUP($A28,Data_Template!$A$6:$BA$16,COLUMNS($A:W)+6,0)=0,"",VLOOKUP($A28,Data_Template!$A$6:$BA$16,COLUMNS($A:W)+6,0))</f>
        <v/>
      </c>
      <c r="AD28" s="42" t="str">
        <f>IF(VLOOKUP($A28,Data_Template!$A$6:$BA$16,COLUMNS($A:X)+6,0)=0,"",VLOOKUP($A28,Data_Template!$A$6:$BA$16,COLUMNS($A:X)+6,0))</f>
        <v>x</v>
      </c>
      <c r="AE28" s="42" t="str">
        <f>IF(VLOOKUP($A28,Data_Template!$A$6:$BA$16,COLUMNS($A:Y)+6,0)=0,"",VLOOKUP($A28,Data_Template!$A$6:$BA$16,COLUMNS($A:Y)+6,0))</f>
        <v/>
      </c>
      <c r="AF28" s="42" t="str">
        <f>IF(VLOOKUP($A28,Data_Template!$A$6:$BA$16,COLUMNS($A:Z)+6,0)=0,"",VLOOKUP($A28,Data_Template!$A$6:$BA$16,COLUMNS($A:Z)+6,0))</f>
        <v/>
      </c>
      <c r="AG28" s="42" t="str">
        <f>IF(VLOOKUP($A28,Data_Template!$A$6:$BA$16,COLUMNS($A:AA)+6,0)=0,"",VLOOKUP($A28,Data_Template!$A$6:$BA$16,COLUMNS($A:AA)+6,0))</f>
        <v/>
      </c>
      <c r="AH28" s="42" t="str">
        <f>IF(VLOOKUP($A28,Data_Template!$A$6:$BA$16,COLUMNS($A:AB)+6,0)=0,"",VLOOKUP($A28,Data_Template!$A$6:$BA$16,COLUMNS($A:AB)+6,0))</f>
        <v/>
      </c>
      <c r="AI28" s="42" t="str">
        <f>IF(VLOOKUP($A28,Data_Template!$A$6:$BA$16,COLUMNS($A:AC)+6,0)=0,"",VLOOKUP($A28,Data_Template!$A$6:$BA$16,COLUMNS($A:AC)+6,0))</f>
        <v/>
      </c>
      <c r="AJ28" s="42" t="str">
        <f>IF(VLOOKUP($A28,Data_Template!$A$6:$BA$16,COLUMNS($A:AD)+6,0)=0,"",VLOOKUP($A28,Data_Template!$A$6:$BA$16,COLUMNS($A:AD)+6,0))</f>
        <v/>
      </c>
      <c r="AK28" s="42" t="str">
        <f>IF(VLOOKUP($A28,Data_Template!$A$6:$BA$16,COLUMNS($A:AE)+6,0)=0,"",VLOOKUP($A28,Data_Template!$A$6:$BA$16,COLUMNS($A:AE)+6,0))</f>
        <v/>
      </c>
      <c r="AL28" s="42" t="str">
        <f>IF(VLOOKUP($A28,Data_Template!$A$6:$BA$16,COLUMNS($A:AF)+6,0)=0,"",VLOOKUP($A28,Data_Template!$A$6:$BA$16,COLUMNS($A:AF)+6,0))</f>
        <v/>
      </c>
      <c r="AM28" s="42" t="str">
        <f>IF(VLOOKUP($A28,Data_Template!$A$6:$BA$16,COLUMNS($A:AG)+6,0)=0,"",VLOOKUP($A28,Data_Template!$A$6:$BA$16,COLUMNS($A:AG)+6,0))</f>
        <v/>
      </c>
      <c r="AN28" s="42" t="str">
        <f>IF(VLOOKUP($A28,Data_Template!$A$6:$BA$16,COLUMNS($A:AH)+6,0)=0,"",VLOOKUP($A28,Data_Template!$A$6:$BA$16,COLUMNS($A:AH)+6,0))</f>
        <v/>
      </c>
      <c r="AO28" s="42" t="str">
        <f>IF(VLOOKUP($A28,Data_Template!$A$6:$BA$16,COLUMNS($A:AI)+6,0)=0,"",VLOOKUP($A28,Data_Template!$A$6:$BA$16,COLUMNS($A:AI)+6,0))</f>
        <v/>
      </c>
      <c r="AP28" s="42" t="str">
        <f>IF(VLOOKUP($A28,Data_Template!$A$6:$BA$16,COLUMNS($A:AJ)+6,0)=0,"",VLOOKUP($A28,Data_Template!$A$6:$BA$16,COLUMNS($A:AJ)+6,0))</f>
        <v/>
      </c>
      <c r="AQ28" s="42" t="str">
        <f>IF(VLOOKUP($A28,Data_Template!$A$6:$BA$16,COLUMNS($A:AK)+6,0)=0,"",VLOOKUP($A28,Data_Template!$A$6:$BA$16,COLUMNS($A:AK)+6,0))</f>
        <v/>
      </c>
      <c r="AR28" s="42" t="str">
        <f>IF(VLOOKUP($A28,Data_Template!$A$6:$BA$16,COLUMNS($A:AL)+6,0)=0,"",VLOOKUP($A28,Data_Template!$A$6:$BA$16,COLUMNS($A:AL)+6,0))</f>
        <v/>
      </c>
      <c r="AS28" s="42" t="str">
        <f>IF(VLOOKUP($A28,Data_Template!$A$6:$BA$16,COLUMNS($A:AM)+6,0)=0,"",VLOOKUP($A28,Data_Template!$A$6:$BA$16,COLUMNS($A:AM)+6,0))</f>
        <v/>
      </c>
      <c r="AT28" s="42" t="str">
        <f>IF(VLOOKUP($A28,Data_Template!$A$6:$BA$16,COLUMNS($A:AN)+6,0)=0,"",VLOOKUP($A28,Data_Template!$A$6:$BA$16,COLUMNS($A:AN)+6,0))</f>
        <v>x</v>
      </c>
      <c r="AU28" s="42" t="str">
        <f>IF(VLOOKUP($A28,Data_Template!$A$6:$BA$16,COLUMNS($A:AO)+6,0)=0,"",VLOOKUP($A28,Data_Template!$A$6:$BA$16,COLUMNS($A:AO)+6,0))</f>
        <v>x</v>
      </c>
      <c r="AV28" s="42" t="str">
        <f>IF(VLOOKUP($A28,Data_Template!$A$6:$BA$16,COLUMNS($A:AP)+6,0)=0,"",VLOOKUP($A28,Data_Template!$A$6:$BA$16,COLUMNS($A:AP)+6,0))</f>
        <v/>
      </c>
      <c r="AW28" s="42" t="str">
        <f>IF(VLOOKUP($A28,Data_Template!$A$6:$BA$16,COLUMNS($A:AQ)+6,0)=0,"",VLOOKUP($A28,Data_Template!$A$6:$BA$16,COLUMNS($A:AQ)+6,0))</f>
        <v/>
      </c>
      <c r="AX28" s="42" t="str">
        <f>IF(VLOOKUP($A28,Data_Template!$A$6:$BA$16,COLUMNS($A:AR)+6,0)=0,"",VLOOKUP($A28,Data_Template!$A$6:$BA$16,COLUMNS($A:AR)+6,0))</f>
        <v/>
      </c>
      <c r="AY28" s="42" t="str">
        <f>IF(VLOOKUP($A28,Data_Template!$A$6:$BA$16,COLUMNS($A:AS)+6,0)=0,"",VLOOKUP($A28,Data_Template!$A$6:$BA$16,COLUMNS($A:AS)+6,0))</f>
        <v>x</v>
      </c>
      <c r="AZ28" s="42" t="str">
        <f>IF(VLOOKUP($A28,Data_Template!$A$6:$BA$16,COLUMNS($A:AT)+6,0)=0,"",VLOOKUP($A28,Data_Template!$A$6:$BA$16,COLUMNS($A:AT)+6,0))</f>
        <v>x</v>
      </c>
      <c r="BA28" s="42" t="str">
        <f>IF(VLOOKUP($A28,Data_Template!$A$6:$BA$16,COLUMNS($A:AU)+6,0)=0,"",VLOOKUP($A28,Data_Template!$A$6:$BA$16,COLUMNS($A:AU)+6,0))</f>
        <v>x</v>
      </c>
      <c r="BB28" s="50"/>
      <c r="BC28" s="42"/>
      <c r="BD28" s="42"/>
      <c r="BE28" s="42"/>
      <c r="BF28" s="42"/>
      <c r="BG28" s="42"/>
      <c r="BH28" s="42"/>
      <c r="BI28" s="42"/>
      <c r="BJ28" s="42"/>
      <c r="BL28" s="42"/>
      <c r="BM28" s="42"/>
      <c r="BN28" s="42"/>
      <c r="BO28" s="42"/>
      <c r="BP28" s="42"/>
      <c r="BQ28" s="42"/>
      <c r="BR28" s="42"/>
      <c r="BS28" s="42"/>
      <c r="BT28" s="42"/>
      <c r="BU28" s="42"/>
      <c r="BV28" s="42"/>
      <c r="BW28" s="42"/>
      <c r="BX28" s="42"/>
    </row>
    <row r="29" spans="1:76" s="51" customFormat="1" ht="76.5" x14ac:dyDescent="0.2">
      <c r="A29" s="246" t="str">
        <f>Classes!J11</f>
        <v>IFMA_C_31010004</v>
      </c>
      <c r="B29" s="246" t="str">
        <f>Classes!P11</f>
        <v>Innenraum</v>
      </c>
      <c r="C29" s="37"/>
      <c r="D29" s="42" t="s">
        <v>884</v>
      </c>
      <c r="E29" s="41"/>
      <c r="G29" s="42"/>
      <c r="H29" s="42" t="str">
        <f>IF(VLOOKUP($A29,Data_Template!$A$6:$BA$16,COLUMNS($A:B)+6,0)=0,"",VLOOKUP($A29,Data_Template!$A$6:$BA$16,COLUMNS($A:B)+6,0))</f>
        <v>x</v>
      </c>
      <c r="I29" s="42" t="str">
        <f>IF(VLOOKUP($A29,Data_Template!$A$6:$BA$16,COLUMNS($A:C)+6,0)=0,"",VLOOKUP($A29,Data_Template!$A$6:$BA$16,COLUMNS($A:C)+6,0))</f>
        <v>["2.1.1_NF", "2.1.1.1_HNF", "2.1.1.2_NNF", "2.1.2_VF", "2.1.3_FF", "2.1.1_SU", "2.1.1.1_SUP", "2.1.1.2_SUS", "2.1.2_SD", "2.1.3_SI", "2.1.1_SU", "2.1.1.1_SUP", "2.1.1.2_SUS", "2.1.2_SCIR", "2.1.3_SI"]</v>
      </c>
      <c r="J29" s="42"/>
      <c r="K29" s="42"/>
      <c r="L29" s="42" t="str">
        <f>IF(VLOOKUP($A29,Data_Template!$A$6:$BA$16,COLUMNS($A:F)+6,0)=0,"",VLOOKUP($A29,Data_Template!$A$6:$BA$16,COLUMNS($A:F)+6,0))</f>
        <v>x</v>
      </c>
      <c r="M29" s="42"/>
      <c r="N29" s="42" t="str">
        <f>IF(VLOOKUP($A29,Data_Template!$A$6:$BA$16,COLUMNS($A:H)+6,0)=0,"",VLOOKUP($A29,Data_Template!$A$6:$BA$16,COLUMNS($A:H)+6,0))</f>
        <v>x</v>
      </c>
      <c r="O29" s="42" t="str">
        <f>IF(VLOOKUP($A29,Data_Template!$A$6:$BA$16,COLUMNS($A:I)+6,0)=0,"",VLOOKUP($A29,Data_Template!$A$6:$BA$16,COLUMNS($A:I)+6,0))</f>
        <v/>
      </c>
      <c r="P29" s="42"/>
      <c r="Q29" s="42"/>
      <c r="R29" s="42"/>
      <c r="S29" s="42"/>
      <c r="T29" s="42"/>
      <c r="U29" s="42"/>
      <c r="V29" s="42"/>
      <c r="W29" s="42"/>
      <c r="X29" s="42"/>
      <c r="Y29" s="42"/>
      <c r="Z29" s="42"/>
      <c r="AA29" s="42"/>
      <c r="AB29" s="42"/>
      <c r="AC29" s="42"/>
      <c r="AD29" s="42" t="str">
        <f>IF(VLOOKUP($A29,Data_Template!$A$6:$BA$16,COLUMNS($A:X)+6,0)=0,"",VLOOKUP($A29,Data_Template!$A$6:$BA$16,COLUMNS($A:X)+6,0))</f>
        <v>["false"]</v>
      </c>
      <c r="AE29" s="42"/>
      <c r="AF29" s="42"/>
      <c r="AG29" s="42"/>
      <c r="AH29" s="42"/>
      <c r="AI29" s="42"/>
      <c r="AJ29" s="42"/>
      <c r="AK29" s="42"/>
      <c r="AL29" s="42"/>
      <c r="AM29" s="42"/>
      <c r="AN29" s="42"/>
      <c r="AO29" s="42"/>
      <c r="AP29" s="42"/>
      <c r="AQ29" s="42"/>
      <c r="AR29" s="42"/>
      <c r="AS29" s="42"/>
      <c r="AT29" s="42" t="str">
        <f>IF(VLOOKUP($A29,Data_Template!$A$6:$BA$16,COLUMNS($A:AN)+6,0)=0,"",VLOOKUP($A29,Data_Template!$A$6:$BA$16,COLUMNS($A:AN)+6,0))</f>
        <v/>
      </c>
      <c r="AU29" s="42" t="str">
        <f>IF(VLOOKUP($A29,Data_Template!$A$6:$BA$16,COLUMNS($A:AO)+6,0)=0,"",VLOOKUP($A29,Data_Template!$A$6:$BA$16,COLUMNS($A:AO)+6,0))</f>
        <v/>
      </c>
      <c r="AV29" s="42" t="str">
        <f>IF(VLOOKUP($A29,Data_Template!$A$6:$BA$16,COLUMNS($A:AP)+6,0)=0,"",VLOOKUP($A29,Data_Template!$A$6:$BA$16,COLUMNS($A:AP)+6,0))</f>
        <v>x</v>
      </c>
      <c r="AW29" s="42" t="str">
        <f>IF(VLOOKUP($A29,Data_Template!$A$6:$BA$16,COLUMNS($A:AQ)+6,0)=0,"",VLOOKUP($A29,Data_Template!$A$6:$BA$16,COLUMNS($A:AQ)+6,0))</f>
        <v>x</v>
      </c>
      <c r="AX29" s="42"/>
      <c r="AY29" s="42" t="str">
        <f>IF(VLOOKUP($A29,Data_Template!$A$6:$BA$16,COLUMNS($A:AS)+6,0)=0,"",VLOOKUP($A29,Data_Template!$A$6:$BA$16,COLUMNS($A:AS)+6,0))</f>
        <v>x</v>
      </c>
      <c r="AZ29" s="42" t="str">
        <f>IF(VLOOKUP($A29,Data_Template!$A$6:$BA$16,COLUMNS($A:AT)+6,0)=0,"",VLOOKUP($A29,Data_Template!$A$6:$BA$16,COLUMNS($A:AT)+6,0))</f>
        <v>x</v>
      </c>
      <c r="BA29" s="42" t="str">
        <f>IF(VLOOKUP($A29,Data_Template!$A$6:$BA$16,COLUMNS($A:AU)+6,0)=0,"",VLOOKUP($A29,Data_Template!$A$6:$BA$16,COLUMNS($A:AU)+6,0))</f>
        <v>x</v>
      </c>
      <c r="BB29" s="50"/>
      <c r="BC29" s="42"/>
      <c r="BD29" s="42"/>
      <c r="BE29" s="42"/>
      <c r="BF29" s="42"/>
      <c r="BG29" s="42"/>
      <c r="BH29" s="42"/>
      <c r="BI29" s="42"/>
      <c r="BJ29" s="42"/>
      <c r="BL29" s="42"/>
      <c r="BM29" s="42"/>
      <c r="BN29" s="42"/>
      <c r="BO29" s="42"/>
      <c r="BP29" s="42"/>
      <c r="BQ29" s="42"/>
      <c r="BR29" s="42"/>
      <c r="BS29" s="42"/>
      <c r="BT29" s="42"/>
      <c r="BU29" s="42"/>
      <c r="BV29" s="42"/>
      <c r="BW29" s="42"/>
      <c r="BX29" s="42"/>
    </row>
    <row r="30" spans="1:76" s="51" customFormat="1" ht="63.75" x14ac:dyDescent="0.2">
      <c r="A30" s="246" t="str">
        <f>Classes!J12</f>
        <v>IFMA_C_31010005</v>
      </c>
      <c r="B30" s="246" t="str">
        <f>Classes!P12</f>
        <v>Aussenraum</v>
      </c>
      <c r="C30" s="37"/>
      <c r="D30" s="42" t="s">
        <v>884</v>
      </c>
      <c r="E30" s="41"/>
      <c r="G30" s="42"/>
      <c r="H30" s="42" t="str">
        <f>IF(VLOOKUP($A30,Data_Template!$A$6:$BA$16,COLUMNS($A:B)+6,0)=0,"",VLOOKUP($A30,Data_Template!$A$6:$BA$16,COLUMNS($A:B)+6,0))</f>
        <v>x</v>
      </c>
      <c r="I30" s="42" t="str">
        <f>IF(VLOOKUP($A30,Data_Template!$A$6:$BA$16,COLUMNS($A:C)+6,0)=0,"",VLOOKUP($A30,Data_Template!$A$6:$BA$16,COLUMNS($A:C)+6,0))</f>
        <v>["3.1_ANGF", "3.1.1_ANF", "3.1.2_AVF", "3.1.3_AFF", "3.1_SEN", "3.1.1_SEU", "3.1.2_SED", "3.1.3_SEI", "3.1_SNE", "3.1.1_SUE", "3.1.2_SCIRE", "3.1.3_SIE"]</v>
      </c>
      <c r="J30" s="42" t="str">
        <f>IF(VLOOKUP($A30,Data_Template!$A$6:$BA$16,COLUMNS($A:D)+6,0)=0,"",VLOOKUP($A30,Data_Template!$A$6:$BA$16,COLUMNS($A:D)+6,0))</f>
        <v/>
      </c>
      <c r="K30" s="42" t="str">
        <f>IF(VLOOKUP($A30,Data_Template!$A$6:$BA$16,COLUMNS($A:E)+6,0)=0,"",VLOOKUP($A30,Data_Template!$A$6:$BA$16,COLUMNS($A:E)+6,0))</f>
        <v/>
      </c>
      <c r="L30" s="42" t="str">
        <f>IF(VLOOKUP($A30,Data_Template!$A$6:$BA$16,COLUMNS($A:F)+6,0)=0,"",VLOOKUP($A30,Data_Template!$A$6:$BA$16,COLUMNS($A:F)+6,0))</f>
        <v/>
      </c>
      <c r="M30" s="42"/>
      <c r="N30" s="42" t="str">
        <f>IF(VLOOKUP($A30,Data_Template!$A$6:$BA$16,COLUMNS($A:H)+6,0)=0,"",VLOOKUP($A30,Data_Template!$A$6:$BA$16,COLUMNS($A:H)+6,0))</f>
        <v>x</v>
      </c>
      <c r="O30" s="42" t="str">
        <f>IF(VLOOKUP($A30,Data_Template!$A$6:$BA$16,COLUMNS($A:I)+6,0)=0,"",VLOOKUP($A30,Data_Template!$A$6:$BA$16,COLUMNS($A:I)+6,0))</f>
        <v/>
      </c>
      <c r="P30" s="42"/>
      <c r="Q30" s="42"/>
      <c r="R30" s="42" t="str">
        <f>IF(VLOOKUP($A30,Data_Template!$A$6:$BA$16,COLUMNS($A:L)+6,0)=0,"",VLOOKUP($A30,Data_Template!$A$6:$BA$16,COLUMNS($A:L)+6,0))</f>
        <v/>
      </c>
      <c r="S30" s="42" t="str">
        <f>IF(VLOOKUP($A30,Data_Template!$A$6:$BA$16,COLUMNS($A:M)+6,0)=0,"",VLOOKUP($A30,Data_Template!$A$6:$BA$16,COLUMNS($A:M)+6,0))</f>
        <v/>
      </c>
      <c r="T30" s="42" t="str">
        <f>IF(VLOOKUP($A30,Data_Template!$A$6:$BA$16,COLUMNS($A:N)+6,0)=0,"",VLOOKUP($A30,Data_Template!$A$6:$BA$16,COLUMNS($A:N)+6,0))</f>
        <v/>
      </c>
      <c r="U30" s="42" t="str">
        <f>IF(VLOOKUP($A30,Data_Template!$A$6:$BA$16,COLUMNS($A:O)+6,0)=0,"",VLOOKUP($A30,Data_Template!$A$6:$BA$16,COLUMNS($A:O)+6,0))</f>
        <v/>
      </c>
      <c r="V30" s="42" t="str">
        <f>IF(VLOOKUP($A30,Data_Template!$A$6:$BA$16,COLUMNS($A:P)+6,0)=0,"",VLOOKUP($A30,Data_Template!$A$6:$BA$16,COLUMNS($A:P)+6,0))</f>
        <v/>
      </c>
      <c r="W30" s="42" t="str">
        <f>IF(VLOOKUP($A30,Data_Template!$A$6:$BA$16,COLUMNS($A:Q)+6,0)=0,"",VLOOKUP($A30,Data_Template!$A$6:$BA$16,COLUMNS($A:Q)+6,0))</f>
        <v/>
      </c>
      <c r="X30" s="42" t="str">
        <f>IF(VLOOKUP($A30,Data_Template!$A$6:$BA$16,COLUMNS($A:R)+6,0)=0,"",VLOOKUP($A30,Data_Template!$A$6:$BA$16,COLUMNS($A:R)+6,0))</f>
        <v/>
      </c>
      <c r="Y30" s="42"/>
      <c r="Z30" s="42" t="str">
        <f>IF(VLOOKUP($A30,Data_Template!$A$6:$BA$16,COLUMNS($A:T)+6,0)=0,"",VLOOKUP($A30,Data_Template!$A$6:$BA$16,COLUMNS($A:T)+6,0))</f>
        <v/>
      </c>
      <c r="AA30" s="42" t="str">
        <f>IF(VLOOKUP($A30,Data_Template!$A$6:$BA$16,COLUMNS($A:U)+6,0)=0,"",VLOOKUP($A30,Data_Template!$A$6:$BA$16,COLUMNS($A:U)+6,0))</f>
        <v/>
      </c>
      <c r="AB30" s="42" t="str">
        <f>IF(VLOOKUP($A30,Data_Template!$A$6:$BA$16,COLUMNS($A:V)+6,0)=0,"",VLOOKUP($A30,Data_Template!$A$6:$BA$16,COLUMNS($A:V)+6,0))</f>
        <v/>
      </c>
      <c r="AC30" s="42"/>
      <c r="AD30" s="42" t="str">
        <f>IF(VLOOKUP($A30,Data_Template!$A$6:$BA$16,COLUMNS($A:X)+6,0)=0,"",VLOOKUP($A30,Data_Template!$A$6:$BA$16,COLUMNS($A:X)+6,0))</f>
        <v>["true"]</v>
      </c>
      <c r="AE30" s="42"/>
      <c r="AF30" s="42" t="str">
        <f>IF(VLOOKUP($A30,Data_Template!$A$6:$BA$16,COLUMNS($A:Z)+6,0)=0,"",VLOOKUP($A30,Data_Template!$A$6:$BA$16,COLUMNS($A:Z)+6,0))</f>
        <v/>
      </c>
      <c r="AG30" s="42"/>
      <c r="AH30" s="42"/>
      <c r="AI30" s="42"/>
      <c r="AJ30" s="42" t="str">
        <f>IF(VLOOKUP($A30,Data_Template!$A$6:$BA$16,COLUMNS($A:AD)+6,0)=0,"",VLOOKUP($A30,Data_Template!$A$6:$BA$16,COLUMNS($A:AD)+6,0))</f>
        <v/>
      </c>
      <c r="AK30" s="42" t="str">
        <f>IF(VLOOKUP($A30,Data_Template!$A$6:$BA$16,COLUMNS($A:AE)+6,0)=0,"",VLOOKUP($A30,Data_Template!$A$6:$BA$16,COLUMNS($A:AE)+6,0))</f>
        <v/>
      </c>
      <c r="AL30" s="42" t="str">
        <f>IF(VLOOKUP($A30,Data_Template!$A$6:$BA$16,COLUMNS($A:AF)+6,0)=0,"",VLOOKUP($A30,Data_Template!$A$6:$BA$16,COLUMNS($A:AF)+6,0))</f>
        <v/>
      </c>
      <c r="AM30" s="42" t="str">
        <f>IF(VLOOKUP($A30,Data_Template!$A$6:$BA$16,COLUMNS($A:AG)+6,0)=0,"",VLOOKUP($A30,Data_Template!$A$6:$BA$16,COLUMNS($A:AG)+6,0))</f>
        <v/>
      </c>
      <c r="AN30" s="42" t="str">
        <f>IF(VLOOKUP($A30,Data_Template!$A$6:$BA$16,COLUMNS($A:AH)+6,0)=0,"",VLOOKUP($A30,Data_Template!$A$6:$BA$16,COLUMNS($A:AH)+6,0))</f>
        <v/>
      </c>
      <c r="AO30" s="42" t="str">
        <f>IF(VLOOKUP($A30,Data_Template!$A$6:$BA$16,COLUMNS($A:AI)+6,0)=0,"",VLOOKUP($A30,Data_Template!$A$6:$BA$16,COLUMNS($A:AI)+6,0))</f>
        <v/>
      </c>
      <c r="AP30" s="42" t="str">
        <f>IF(VLOOKUP($A30,Data_Template!$A$6:$BA$16,COLUMNS($A:AJ)+6,0)=0,"",VLOOKUP($A30,Data_Template!$A$6:$BA$16,COLUMNS($A:AJ)+6,0))</f>
        <v/>
      </c>
      <c r="AQ30" s="42" t="str">
        <f>IF(VLOOKUP($A30,Data_Template!$A$6:$BA$16,COLUMNS($A:AK)+6,0)=0,"",VLOOKUP($A30,Data_Template!$A$6:$BA$16,COLUMNS($A:AK)+6,0))</f>
        <v/>
      </c>
      <c r="AR30" s="42" t="str">
        <f>IF(VLOOKUP($A30,Data_Template!$A$6:$BA$16,COLUMNS($A:AL)+6,0)=0,"",VLOOKUP($A30,Data_Template!$A$6:$BA$16,COLUMNS($A:AL)+6,0))</f>
        <v/>
      </c>
      <c r="AS30" s="42" t="str">
        <f>IF(VLOOKUP($A30,Data_Template!$A$6:$BA$16,COLUMNS($A:AM)+6,0)=0,"",VLOOKUP($A30,Data_Template!$A$6:$BA$16,COLUMNS($A:AM)+6,0))</f>
        <v/>
      </c>
      <c r="AT30" s="42" t="str">
        <f>IF(VLOOKUP($A30,Data_Template!$A$6:$BA$16,COLUMNS($A:AN)+6,0)=0,"",VLOOKUP($A30,Data_Template!$A$6:$BA$16,COLUMNS($A:AN)+6,0))</f>
        <v/>
      </c>
      <c r="AU30" s="42" t="str">
        <f>IF(VLOOKUP($A30,Data_Template!$A$6:$BA$16,COLUMNS($A:AO)+6,0)=0,"",VLOOKUP($A30,Data_Template!$A$6:$BA$16,COLUMNS($A:AO)+6,0))</f>
        <v/>
      </c>
      <c r="AV30" s="42" t="str">
        <f>IF(VLOOKUP($A30,Data_Template!$A$6:$BA$16,COLUMNS($A:AP)+6,0)=0,"",VLOOKUP($A30,Data_Template!$A$6:$BA$16,COLUMNS($A:AP)+6,0))</f>
        <v>x</v>
      </c>
      <c r="AW30" s="42" t="str">
        <f>IF(VLOOKUP($A30,Data_Template!$A$6:$BA$16,COLUMNS($A:AQ)+6,0)=0,"",VLOOKUP($A30,Data_Template!$A$6:$BA$16,COLUMNS($A:AQ)+6,0))</f>
        <v/>
      </c>
      <c r="AX30" s="42" t="str">
        <f>IF(VLOOKUP($A30,Data_Template!$A$6:$BA$16,COLUMNS($A:AR)+6,0)=0,"",VLOOKUP($A30,Data_Template!$A$6:$BA$16,COLUMNS($A:AR)+6,0))</f>
        <v/>
      </c>
      <c r="AY30" s="42" t="str">
        <f>IF(VLOOKUP($A30,Data_Template!$A$6:$BA$16,COLUMNS($A:AS)+6,0)=0,"",VLOOKUP($A30,Data_Template!$A$6:$BA$16,COLUMNS($A:AS)+6,0))</f>
        <v/>
      </c>
      <c r="AZ30" s="42" t="str">
        <f>IF(VLOOKUP($A30,Data_Template!$A$6:$BA$16,COLUMNS($A:AT)+6,0)=0,"",VLOOKUP($A30,Data_Template!$A$6:$BA$16,COLUMNS($A:AT)+6,0))</f>
        <v/>
      </c>
      <c r="BA30" s="42" t="str">
        <f>IF(VLOOKUP($A30,Data_Template!$A$6:$BA$16,COLUMNS($A:AU)+6,0)=0,"",VLOOKUP($A30,Data_Template!$A$6:$BA$16,COLUMNS($A:AU)+6,0))</f>
        <v>x</v>
      </c>
      <c r="BB30" s="50"/>
      <c r="BC30" s="42"/>
      <c r="BD30" s="42"/>
      <c r="BE30" s="42"/>
      <c r="BF30" s="42"/>
      <c r="BG30" s="42"/>
      <c r="BH30" s="42"/>
      <c r="BI30" s="42"/>
      <c r="BJ30" s="42"/>
      <c r="BL30" s="42"/>
      <c r="BM30" s="42"/>
      <c r="BN30" s="42"/>
      <c r="BO30" s="42"/>
      <c r="BP30" s="42"/>
      <c r="BQ30" s="42"/>
      <c r="BR30" s="42"/>
      <c r="BS30" s="42"/>
      <c r="BT30" s="42"/>
      <c r="BU30" s="42"/>
      <c r="BV30" s="42"/>
      <c r="BW30" s="42"/>
      <c r="BX30" s="42"/>
    </row>
    <row r="31" spans="1:76" s="51" customFormat="1" ht="14.25" x14ac:dyDescent="0.2">
      <c r="A31" s="246" t="str">
        <f>Classes!J13</f>
        <v>IFMA_C_31010006</v>
      </c>
      <c r="B31" s="246" t="str">
        <f>Classes!P13</f>
        <v>Einzelparkplatz</v>
      </c>
      <c r="C31" s="37"/>
      <c r="D31" s="42" t="s">
        <v>884</v>
      </c>
      <c r="E31" s="41"/>
      <c r="G31" s="42"/>
      <c r="H31" s="42"/>
      <c r="I31" s="42" t="str">
        <f>IF(VLOOKUP($A31,Data_Template!$A$6:$BA$16,COLUMNS($A:C)+6,0)=0,"",VLOOKUP($A31,Data_Template!$A$6:$BA$16,COLUMNS($A:C)+6,0))</f>
        <v/>
      </c>
      <c r="J31" s="42" t="str">
        <f>IF(VLOOKUP($A31,Data_Template!$A$6:$BA$16,COLUMNS($A:D)+6,0)=0,"",VLOOKUP($A31,Data_Template!$A$6:$BA$16,COLUMNS($A:D)+6,0))</f>
        <v/>
      </c>
      <c r="K31" s="42" t="str">
        <f>IF(VLOOKUP($A31,Data_Template!$A$6:$BA$16,COLUMNS($A:E)+6,0)=0,"",VLOOKUP($A31,Data_Template!$A$6:$BA$16,COLUMNS($A:E)+6,0))</f>
        <v/>
      </c>
      <c r="L31" s="42" t="str">
        <f>IF(VLOOKUP($A31,Data_Template!$A$6:$BA$16,COLUMNS($A:F)+6,0)=0,"",VLOOKUP($A31,Data_Template!$A$6:$BA$16,COLUMNS($A:F)+6,0))</f>
        <v/>
      </c>
      <c r="M31" s="42"/>
      <c r="N31" s="42"/>
      <c r="O31" s="42" t="str">
        <f>IF(VLOOKUP($A31,Data_Template!$A$6:$BA$16,COLUMNS($A:I)+6,0)=0,"",VLOOKUP($A31,Data_Template!$A$6:$BA$16,COLUMNS($A:I)+6,0))</f>
        <v/>
      </c>
      <c r="P31" s="42"/>
      <c r="Q31" s="42"/>
      <c r="R31" s="42" t="str">
        <f>IF(VLOOKUP($A31,Data_Template!$A$6:$BA$16,COLUMNS($A:L)+6,0)=0,"",VLOOKUP($A31,Data_Template!$A$6:$BA$16,COLUMNS($A:L)+6,0))</f>
        <v/>
      </c>
      <c r="S31" s="42" t="str">
        <f>IF(VLOOKUP($A31,Data_Template!$A$6:$BA$16,COLUMNS($A:M)+6,0)=0,"",VLOOKUP($A31,Data_Template!$A$6:$BA$16,COLUMNS($A:M)+6,0))</f>
        <v/>
      </c>
      <c r="T31" s="42" t="str">
        <f>IF(VLOOKUP($A31,Data_Template!$A$6:$BA$16,COLUMNS($A:N)+6,0)=0,"",VLOOKUP($A31,Data_Template!$A$6:$BA$16,COLUMNS($A:N)+6,0))</f>
        <v/>
      </c>
      <c r="U31" s="42" t="str">
        <f>IF(VLOOKUP($A31,Data_Template!$A$6:$BA$16,COLUMNS($A:O)+6,0)=0,"",VLOOKUP($A31,Data_Template!$A$6:$BA$16,COLUMNS($A:O)+6,0))</f>
        <v/>
      </c>
      <c r="V31" s="42" t="str">
        <f>IF(VLOOKUP($A31,Data_Template!$A$6:$BA$16,COLUMNS($A:P)+6,0)=0,"",VLOOKUP($A31,Data_Template!$A$6:$BA$16,COLUMNS($A:P)+6,0))</f>
        <v/>
      </c>
      <c r="W31" s="42" t="str">
        <f>IF(VLOOKUP($A31,Data_Template!$A$6:$BA$16,COLUMNS($A:Q)+6,0)=0,"",VLOOKUP($A31,Data_Template!$A$6:$BA$16,COLUMNS($A:Q)+6,0))</f>
        <v/>
      </c>
      <c r="X31" s="42" t="str">
        <f>IF(VLOOKUP($A31,Data_Template!$A$6:$BA$16,COLUMNS($A:R)+6,0)=0,"",VLOOKUP($A31,Data_Template!$A$6:$BA$16,COLUMNS($A:R)+6,0))</f>
        <v/>
      </c>
      <c r="Y31" s="42"/>
      <c r="Z31" s="42" t="str">
        <f>IF(VLOOKUP($A31,Data_Template!$A$6:$BA$16,COLUMNS($A:T)+6,0)=0,"",VLOOKUP($A31,Data_Template!$A$6:$BA$16,COLUMNS($A:T)+6,0))</f>
        <v/>
      </c>
      <c r="AA31" s="42" t="str">
        <f>IF(VLOOKUP($A31,Data_Template!$A$6:$BA$16,COLUMNS($A:U)+6,0)=0,"",VLOOKUP($A31,Data_Template!$A$6:$BA$16,COLUMNS($A:U)+6,0))</f>
        <v/>
      </c>
      <c r="AB31" s="42" t="str">
        <f>IF(VLOOKUP($A31,Data_Template!$A$6:$BA$16,COLUMNS($A:V)+6,0)=0,"",VLOOKUP($A31,Data_Template!$A$6:$BA$16,COLUMNS($A:V)+6,0))</f>
        <v/>
      </c>
      <c r="AC31" s="42"/>
      <c r="AD31" s="42"/>
      <c r="AE31" s="42"/>
      <c r="AF31" s="42" t="str">
        <f>IF(VLOOKUP($A31,Data_Template!$A$6:$BA$16,COLUMNS($A:Z)+6,0)=0,"",VLOOKUP($A31,Data_Template!$A$6:$BA$16,COLUMNS($A:Z)+6,0))</f>
        <v/>
      </c>
      <c r="AG31" s="42" t="str">
        <f>IF(VLOOKUP($A31,Data_Template!$A$6:$BA$16,COLUMNS($A:AA)+6,0)=0,"",VLOOKUP($A31,Data_Template!$A$6:$BA$16,COLUMNS($A:AA)+6,0))</f>
        <v/>
      </c>
      <c r="AH31" s="42" t="str">
        <f>IF(VLOOKUP($A31,Data_Template!$A$6:$BA$16,COLUMNS($A:AB)+6,0)=0,"",VLOOKUP($A31,Data_Template!$A$6:$BA$16,COLUMNS($A:AB)+6,0))</f>
        <v/>
      </c>
      <c r="AI31" s="42" t="str">
        <f>IF(VLOOKUP($A31,Data_Template!$A$6:$BA$16,COLUMNS($A:AC)+6,0)=0,"",VLOOKUP($A31,Data_Template!$A$6:$BA$16,COLUMNS($A:AC)+6,0))</f>
        <v/>
      </c>
      <c r="AJ31" s="42" t="str">
        <f>IF(VLOOKUP($A31,Data_Template!$A$6:$BA$16,COLUMNS($A:AD)+6,0)=0,"",VLOOKUP($A31,Data_Template!$A$6:$BA$16,COLUMNS($A:AD)+6,0))</f>
        <v/>
      </c>
      <c r="AK31" s="42" t="str">
        <f>IF(VLOOKUP($A31,Data_Template!$A$6:$BA$16,COLUMNS($A:AE)+6,0)=0,"",VLOOKUP($A31,Data_Template!$A$6:$BA$16,COLUMNS($A:AE)+6,0))</f>
        <v/>
      </c>
      <c r="AL31" s="42" t="str">
        <f>IF(VLOOKUP($A31,Data_Template!$A$6:$BA$16,COLUMNS($A:AF)+6,0)=0,"",VLOOKUP($A31,Data_Template!$A$6:$BA$16,COLUMNS($A:AF)+6,0))</f>
        <v/>
      </c>
      <c r="AM31" s="42" t="str">
        <f>IF(VLOOKUP($A31,Data_Template!$A$6:$BA$16,COLUMNS($A:AG)+6,0)=0,"",VLOOKUP($A31,Data_Template!$A$6:$BA$16,COLUMNS($A:AG)+6,0))</f>
        <v/>
      </c>
      <c r="AN31" s="42" t="str">
        <f>IF(VLOOKUP($A31,Data_Template!$A$6:$BA$16,COLUMNS($A:AH)+6,0)=0,"",VLOOKUP($A31,Data_Template!$A$6:$BA$16,COLUMNS($A:AH)+6,0))</f>
        <v/>
      </c>
      <c r="AO31" s="42" t="str">
        <f>IF(VLOOKUP($A31,Data_Template!$A$6:$BA$16,COLUMNS($A:AI)+6,0)=0,"",VLOOKUP($A31,Data_Template!$A$6:$BA$16,COLUMNS($A:AI)+6,0))</f>
        <v/>
      </c>
      <c r="AP31" s="42" t="str">
        <f>IF(VLOOKUP($A31,Data_Template!$A$6:$BA$16,COLUMNS($A:AJ)+6,0)=0,"",VLOOKUP($A31,Data_Template!$A$6:$BA$16,COLUMNS($A:AJ)+6,0))</f>
        <v/>
      </c>
      <c r="AQ31" s="42" t="str">
        <f>IF(VLOOKUP($A31,Data_Template!$A$6:$BA$16,COLUMNS($A:AK)+6,0)=0,"",VLOOKUP($A31,Data_Template!$A$6:$BA$16,COLUMNS($A:AK)+6,0))</f>
        <v/>
      </c>
      <c r="AR31" s="42" t="str">
        <f>IF(VLOOKUP($A31,Data_Template!$A$6:$BA$16,COLUMNS($A:AL)+6,0)=0,"",VLOOKUP($A31,Data_Template!$A$6:$BA$16,COLUMNS($A:AL)+6,0))</f>
        <v/>
      </c>
      <c r="AS31" s="42" t="str">
        <f>IF(VLOOKUP($A31,Data_Template!$A$6:$BA$16,COLUMNS($A:AM)+6,0)=0,"",VLOOKUP($A31,Data_Template!$A$6:$BA$16,COLUMNS($A:AM)+6,0))</f>
        <v/>
      </c>
      <c r="AT31" s="42"/>
      <c r="AU31" s="42" t="str">
        <f>IF(VLOOKUP($A31,Data_Template!$A$6:$BA$16,COLUMNS($A:AO)+6,0)=0,"",VLOOKUP($A31,Data_Template!$A$6:$BA$16,COLUMNS($A:AO)+6,0))</f>
        <v/>
      </c>
      <c r="AV31" s="42" t="str">
        <f>IF(VLOOKUP($A31,Data_Template!$A$6:$BA$16,COLUMNS($A:AP)+6,0)=0,"",VLOOKUP($A31,Data_Template!$A$6:$BA$16,COLUMNS($A:AP)+6,0))</f>
        <v/>
      </c>
      <c r="AW31" s="42" t="str">
        <f>IF(VLOOKUP($A31,Data_Template!$A$6:$BA$16,COLUMNS($A:AQ)+6,0)=0,"",VLOOKUP($A31,Data_Template!$A$6:$BA$16,COLUMNS($A:AQ)+6,0))</f>
        <v/>
      </c>
      <c r="AX31" s="42" t="str">
        <f>IF(VLOOKUP($A31,Data_Template!$A$6:$BA$16,COLUMNS($A:AR)+6,0)=0,"",VLOOKUP($A31,Data_Template!$A$6:$BA$16,COLUMNS($A:AR)+6,0))</f>
        <v/>
      </c>
      <c r="AY31" s="42"/>
      <c r="AZ31" s="42" t="str">
        <f>IF(VLOOKUP($A31,Data_Template!$A$6:$BA$16,COLUMNS($A:AT)+6,0)=0,"",VLOOKUP($A31,Data_Template!$A$6:$BA$16,COLUMNS($A:AT)+6,0))</f>
        <v/>
      </c>
      <c r="BA31" s="42"/>
      <c r="BB31" s="50"/>
      <c r="BC31" s="42"/>
      <c r="BD31" s="42"/>
      <c r="BE31" s="42"/>
      <c r="BF31" s="42"/>
      <c r="BG31" s="42"/>
      <c r="BH31" s="42"/>
      <c r="BI31" s="42"/>
      <c r="BJ31" s="42"/>
      <c r="BL31" s="42"/>
      <c r="BM31" s="42"/>
      <c r="BN31" s="42"/>
      <c r="BO31" s="42"/>
      <c r="BP31" s="42"/>
      <c r="BQ31" s="42"/>
      <c r="BR31" s="42"/>
      <c r="BS31" s="42"/>
      <c r="BT31" s="42"/>
      <c r="BU31" s="42"/>
      <c r="BV31" s="42"/>
      <c r="BW31" s="42"/>
      <c r="BX31" s="42"/>
    </row>
    <row r="32" spans="1:76" s="51" customFormat="1" ht="14.25" x14ac:dyDescent="0.2">
      <c r="A32" s="246" t="str">
        <f>Classes!J14</f>
        <v>IFMA_C_31010007</v>
      </c>
      <c r="B32" s="246" t="str">
        <f>Classes!P14</f>
        <v>Vermietbare Fläche</v>
      </c>
      <c r="C32" s="37"/>
      <c r="D32" s="42" t="s">
        <v>884</v>
      </c>
      <c r="E32" s="41"/>
      <c r="G32" s="42"/>
      <c r="H32" s="42"/>
      <c r="I32" s="42" t="str">
        <f>IF(VLOOKUP($A32,Data_Template!$A$6:$BA$16,COLUMNS($A:C)+6,0)=0,"",VLOOKUP($A32,Data_Template!$A$6:$BA$16,COLUMNS($A:C)+6,0))</f>
        <v/>
      </c>
      <c r="J32" s="42" t="str">
        <f>IF(VLOOKUP($A32,Data_Template!$A$6:$BA$16,COLUMNS($A:D)+6,0)=0,"",VLOOKUP($A32,Data_Template!$A$6:$BA$16,COLUMNS($A:D)+6,0))</f>
        <v/>
      </c>
      <c r="K32" s="42" t="str">
        <f>IF(VLOOKUP($A32,Data_Template!$A$6:$BA$16,COLUMNS($A:E)+6,0)=0,"",VLOOKUP($A32,Data_Template!$A$6:$BA$16,COLUMNS($A:E)+6,0))</f>
        <v/>
      </c>
      <c r="L32" s="42" t="str">
        <f>IF(VLOOKUP($A32,Data_Template!$A$6:$BA$16,COLUMNS($A:F)+6,0)=0,"",VLOOKUP($A32,Data_Template!$A$6:$BA$16,COLUMNS($A:F)+6,0))</f>
        <v/>
      </c>
      <c r="M32" s="42"/>
      <c r="N32" s="42" t="str">
        <f>IF(VLOOKUP($A32,Data_Template!$A$6:$BA$16,COLUMNS($A:H)+6,0)=0,"",VLOOKUP($A32,Data_Template!$A$6:$BA$16,COLUMNS($A:H)+6,0))</f>
        <v/>
      </c>
      <c r="O32" s="42"/>
      <c r="P32" s="42"/>
      <c r="Q32" s="42" t="str">
        <f>IF(VLOOKUP($A32,Data_Template!$A$6:$BA$16,COLUMNS($A:K)+6,0)=0,"",VLOOKUP($A32,Data_Template!$A$6:$BA$16,COLUMNS($A:K)+6,0))</f>
        <v/>
      </c>
      <c r="R32" s="42" t="str">
        <f>IF(VLOOKUP($A32,Data_Template!$A$6:$BA$16,COLUMNS($A:L)+6,0)=0,"",VLOOKUP($A32,Data_Template!$A$6:$BA$16,COLUMNS($A:L)+6,0))</f>
        <v/>
      </c>
      <c r="S32" s="42" t="str">
        <f>IF(VLOOKUP($A32,Data_Template!$A$6:$BA$16,COLUMNS($A:M)+6,0)=0,"",VLOOKUP($A32,Data_Template!$A$6:$BA$16,COLUMNS($A:M)+6,0))</f>
        <v/>
      </c>
      <c r="T32" s="42" t="str">
        <f>IF(VLOOKUP($A32,Data_Template!$A$6:$BA$16,COLUMNS($A:N)+6,0)=0,"",VLOOKUP($A32,Data_Template!$A$6:$BA$16,COLUMNS($A:N)+6,0))</f>
        <v/>
      </c>
      <c r="U32" s="42" t="str">
        <f>IF(VLOOKUP($A32,Data_Template!$A$6:$BA$16,COLUMNS($A:O)+6,0)=0,"",VLOOKUP($A32,Data_Template!$A$6:$BA$16,COLUMNS($A:O)+6,0))</f>
        <v/>
      </c>
      <c r="V32" s="42" t="str">
        <f>IF(VLOOKUP($A32,Data_Template!$A$6:$BA$16,COLUMNS($A:P)+6,0)=0,"",VLOOKUP($A32,Data_Template!$A$6:$BA$16,COLUMNS($A:P)+6,0))</f>
        <v/>
      </c>
      <c r="W32" s="42" t="str">
        <f>IF(VLOOKUP($A32,Data_Template!$A$6:$BA$16,COLUMNS($A:Q)+6,0)=0,"",VLOOKUP($A32,Data_Template!$A$6:$BA$16,COLUMNS($A:Q)+6,0))</f>
        <v/>
      </c>
      <c r="X32" s="42" t="str">
        <f>IF(VLOOKUP($A32,Data_Template!$A$6:$BA$16,COLUMNS($A:R)+6,0)=0,"",VLOOKUP($A32,Data_Template!$A$6:$BA$16,COLUMNS($A:R)+6,0))</f>
        <v/>
      </c>
      <c r="Y32" s="42"/>
      <c r="Z32" s="42" t="str">
        <f>IF(VLOOKUP($A32,Data_Template!$A$6:$BA$16,COLUMNS($A:T)+6,0)=0,"",VLOOKUP($A32,Data_Template!$A$6:$BA$16,COLUMNS($A:T)+6,0))</f>
        <v/>
      </c>
      <c r="AA32" s="42" t="str">
        <f>IF(VLOOKUP($A32,Data_Template!$A$6:$BA$16,COLUMNS($A:U)+6,0)=0,"",VLOOKUP($A32,Data_Template!$A$6:$BA$16,COLUMNS($A:U)+6,0))</f>
        <v/>
      </c>
      <c r="AB32" s="42" t="str">
        <f>IF(VLOOKUP($A32,Data_Template!$A$6:$BA$16,COLUMNS($A:V)+6,0)=0,"",VLOOKUP($A32,Data_Template!$A$6:$BA$16,COLUMNS($A:V)+6,0))</f>
        <v/>
      </c>
      <c r="AC32" s="42"/>
      <c r="AD32" s="42" t="str">
        <f>IF(VLOOKUP($A32,Data_Template!$A$6:$BA$16,COLUMNS($A:X)+6,0)=0,"",VLOOKUP($A32,Data_Template!$A$6:$BA$16,COLUMNS($A:X)+6,0))</f>
        <v/>
      </c>
      <c r="AE32" s="42" t="str">
        <f>IF(VLOOKUP($A32,Data_Template!$A$6:$BA$16,COLUMNS($A:Y)+6,0)=0,"",VLOOKUP($A32,Data_Template!$A$6:$BA$16,COLUMNS($A:Y)+6,0))</f>
        <v/>
      </c>
      <c r="AF32" s="42" t="str">
        <f>IF(VLOOKUP($A32,Data_Template!$A$6:$BA$16,COLUMNS($A:Z)+6,0)=0,"",VLOOKUP($A32,Data_Template!$A$6:$BA$16,COLUMNS($A:Z)+6,0))</f>
        <v/>
      </c>
      <c r="AG32" s="42"/>
      <c r="AH32" s="42"/>
      <c r="AI32" s="42" t="str">
        <f>IF(VLOOKUP($A32,Data_Template!$A$6:$BA$16,COLUMNS($A:AC)+6,0)=0,"",VLOOKUP($A32,Data_Template!$A$6:$BA$16,COLUMNS($A:AC)+6,0))</f>
        <v/>
      </c>
      <c r="AJ32" s="42" t="str">
        <f>IF(VLOOKUP($A32,Data_Template!$A$6:$BA$16,COLUMNS($A:AD)+6,0)=0,"",VLOOKUP($A32,Data_Template!$A$6:$BA$16,COLUMNS($A:AD)+6,0))</f>
        <v/>
      </c>
      <c r="AK32" s="42" t="str">
        <f>IF(VLOOKUP($A32,Data_Template!$A$6:$BA$16,COLUMNS($A:AE)+6,0)=0,"",VLOOKUP($A32,Data_Template!$A$6:$BA$16,COLUMNS($A:AE)+6,0))</f>
        <v/>
      </c>
      <c r="AL32" s="42" t="str">
        <f>IF(VLOOKUP($A32,Data_Template!$A$6:$BA$16,COLUMNS($A:AF)+6,0)=0,"",VLOOKUP($A32,Data_Template!$A$6:$BA$16,COLUMNS($A:AF)+6,0))</f>
        <v/>
      </c>
      <c r="AM32" s="42" t="str">
        <f>IF(VLOOKUP($A32,Data_Template!$A$6:$BA$16,COLUMNS($A:AG)+6,0)=0,"",VLOOKUP($A32,Data_Template!$A$6:$BA$16,COLUMNS($A:AG)+6,0))</f>
        <v/>
      </c>
      <c r="AN32" s="42" t="str">
        <f>IF(VLOOKUP($A32,Data_Template!$A$6:$BA$16,COLUMNS($A:AH)+6,0)=0,"",VLOOKUP($A32,Data_Template!$A$6:$BA$16,COLUMNS($A:AH)+6,0))</f>
        <v/>
      </c>
      <c r="AO32" s="42" t="str">
        <f>IF(VLOOKUP($A32,Data_Template!$A$6:$BA$16,COLUMNS($A:AI)+6,0)=0,"",VLOOKUP($A32,Data_Template!$A$6:$BA$16,COLUMNS($A:AI)+6,0))</f>
        <v/>
      </c>
      <c r="AP32" s="42" t="str">
        <f>IF(VLOOKUP($A32,Data_Template!$A$6:$BA$16,COLUMNS($A:AJ)+6,0)=0,"",VLOOKUP($A32,Data_Template!$A$6:$BA$16,COLUMNS($A:AJ)+6,0))</f>
        <v/>
      </c>
      <c r="AQ32" s="42" t="str">
        <f>IF(VLOOKUP($A32,Data_Template!$A$6:$BA$16,COLUMNS($A:AK)+6,0)=0,"",VLOOKUP($A32,Data_Template!$A$6:$BA$16,COLUMNS($A:AK)+6,0))</f>
        <v/>
      </c>
      <c r="AR32" s="42" t="str">
        <f>IF(VLOOKUP($A32,Data_Template!$A$6:$BA$16,COLUMNS($A:AL)+6,0)=0,"",VLOOKUP($A32,Data_Template!$A$6:$BA$16,COLUMNS($A:AL)+6,0))</f>
        <v/>
      </c>
      <c r="AS32" s="42" t="str">
        <f>IF(VLOOKUP($A32,Data_Template!$A$6:$BA$16,COLUMNS($A:AM)+6,0)=0,"",VLOOKUP($A32,Data_Template!$A$6:$BA$16,COLUMNS($A:AM)+6,0))</f>
        <v/>
      </c>
      <c r="AT32" s="42"/>
      <c r="AU32" s="42" t="str">
        <f>IF(VLOOKUP($A32,Data_Template!$A$6:$BA$16,COLUMNS($A:AO)+6,0)=0,"",VLOOKUP($A32,Data_Template!$A$6:$BA$16,COLUMNS($A:AO)+6,0))</f>
        <v/>
      </c>
      <c r="AV32" s="42"/>
      <c r="AW32" s="42" t="str">
        <f>IF(VLOOKUP($A32,Data_Template!$A$6:$BA$16,COLUMNS($A:AQ)+6,0)=0,"",VLOOKUP($A32,Data_Template!$A$6:$BA$16,COLUMNS($A:AQ)+6,0))</f>
        <v/>
      </c>
      <c r="AX32" s="42" t="str">
        <f>IF(VLOOKUP($A32,Data_Template!$A$6:$BA$16,COLUMNS($A:AR)+6,0)=0,"",VLOOKUP($A32,Data_Template!$A$6:$BA$16,COLUMNS($A:AR)+6,0))</f>
        <v/>
      </c>
      <c r="AY32" s="42" t="str">
        <f>IF(VLOOKUP($A32,Data_Template!$A$6:$BA$16,COLUMNS($A:AS)+6,0)=0,"",VLOOKUP($A32,Data_Template!$A$6:$BA$16,COLUMNS($A:AS)+6,0))</f>
        <v/>
      </c>
      <c r="AZ32" s="42" t="str">
        <f>IF(VLOOKUP($A32,Data_Template!$A$6:$BA$16,COLUMNS($A:AT)+6,0)=0,"",VLOOKUP($A32,Data_Template!$A$6:$BA$16,COLUMNS($A:AT)+6,0))</f>
        <v/>
      </c>
      <c r="BA32" s="42"/>
      <c r="BB32" s="50"/>
      <c r="BC32" s="42"/>
      <c r="BD32" s="42"/>
      <c r="BE32" s="42"/>
      <c r="BF32" s="42"/>
      <c r="BG32" s="42"/>
      <c r="BH32" s="42"/>
      <c r="BI32" s="42"/>
      <c r="BJ32" s="42"/>
      <c r="BL32" s="42"/>
      <c r="BM32" s="42"/>
      <c r="BN32" s="42"/>
      <c r="BO32" s="42"/>
      <c r="BP32" s="42"/>
      <c r="BQ32" s="42"/>
      <c r="BR32" s="42"/>
      <c r="BS32" s="42"/>
      <c r="BT32" s="42"/>
      <c r="BU32" s="42"/>
      <c r="BV32" s="42"/>
      <c r="BW32" s="42"/>
      <c r="BX32" s="42"/>
    </row>
    <row r="33" spans="1:76" s="51" customFormat="1" ht="14.25" x14ac:dyDescent="0.2">
      <c r="A33" s="246" t="str">
        <f>Classes!J15</f>
        <v>IFMA_C_31010008</v>
      </c>
      <c r="B33" s="246" t="str">
        <f>Classes!P15</f>
        <v>Nutzungseinheit</v>
      </c>
      <c r="C33" s="37"/>
      <c r="D33" s="42" t="s">
        <v>884</v>
      </c>
      <c r="E33" s="41"/>
      <c r="G33" s="42"/>
      <c r="H33" s="42"/>
      <c r="I33" s="42" t="str">
        <f>IF(VLOOKUP($A33,Data_Template!$A$6:$BA$16,COLUMNS($A:C)+6,0)=0,"",VLOOKUP($A33,Data_Template!$A$6:$BA$16,COLUMNS($A:C)+6,0))</f>
        <v/>
      </c>
      <c r="J33" s="42" t="str">
        <f>IF(VLOOKUP($A33,Data_Template!$A$6:$BA$16,COLUMNS($A:D)+6,0)=0,"",VLOOKUP($A33,Data_Template!$A$6:$BA$16,COLUMNS($A:D)+6,0))</f>
        <v/>
      </c>
      <c r="K33" s="42" t="str">
        <f>IF(VLOOKUP($A33,Data_Template!$A$6:$BA$16,COLUMNS($A:E)+6,0)=0,"",VLOOKUP($A33,Data_Template!$A$6:$BA$16,COLUMNS($A:E)+6,0))</f>
        <v/>
      </c>
      <c r="L33" s="42" t="str">
        <f>IF(VLOOKUP($A33,Data_Template!$A$6:$BA$16,COLUMNS($A:F)+6,0)=0,"",VLOOKUP($A33,Data_Template!$A$6:$BA$16,COLUMNS($A:F)+6,0))</f>
        <v/>
      </c>
      <c r="M33" s="42"/>
      <c r="N33" s="42" t="str">
        <f>IF(VLOOKUP($A33,Data_Template!$A$6:$BA$16,COLUMNS($A:H)+6,0)=0,"",VLOOKUP($A33,Data_Template!$A$6:$BA$16,COLUMNS($A:H)+6,0))</f>
        <v/>
      </c>
      <c r="O33" s="42"/>
      <c r="P33" s="42"/>
      <c r="Q33" s="42"/>
      <c r="R33" s="42" t="str">
        <f>IF(VLOOKUP($A33,Data_Template!$A$6:$BA$16,COLUMNS($A:L)+6,0)=0,"",VLOOKUP($A33,Data_Template!$A$6:$BA$16,COLUMNS($A:L)+6,0))</f>
        <v/>
      </c>
      <c r="S33" s="42" t="str">
        <f>IF(VLOOKUP($A33,Data_Template!$A$6:$BA$16,COLUMNS($A:M)+6,0)=0,"",VLOOKUP($A33,Data_Template!$A$6:$BA$16,COLUMNS($A:M)+6,0))</f>
        <v/>
      </c>
      <c r="T33" s="42" t="str">
        <f>IF(VLOOKUP($A33,Data_Template!$A$6:$BA$16,COLUMNS($A:N)+6,0)=0,"",VLOOKUP($A33,Data_Template!$A$6:$BA$16,COLUMNS($A:N)+6,0))</f>
        <v/>
      </c>
      <c r="U33" s="42" t="str">
        <f>IF(VLOOKUP($A33,Data_Template!$A$6:$BA$16,COLUMNS($A:O)+6,0)=0,"",VLOOKUP($A33,Data_Template!$A$6:$BA$16,COLUMNS($A:O)+6,0))</f>
        <v/>
      </c>
      <c r="V33" s="42" t="str">
        <f>IF(VLOOKUP($A33,Data_Template!$A$6:$BA$16,COLUMNS($A:P)+6,0)=0,"",VLOOKUP($A33,Data_Template!$A$6:$BA$16,COLUMNS($A:P)+6,0))</f>
        <v/>
      </c>
      <c r="W33" s="42" t="str">
        <f>IF(VLOOKUP($A33,Data_Template!$A$6:$BA$16,COLUMNS($A:Q)+6,0)=0,"",VLOOKUP($A33,Data_Template!$A$6:$BA$16,COLUMNS($A:Q)+6,0))</f>
        <v/>
      </c>
      <c r="X33" s="42" t="str">
        <f>IF(VLOOKUP($A33,Data_Template!$A$6:$BA$16,COLUMNS($A:R)+6,0)=0,"",VLOOKUP($A33,Data_Template!$A$6:$BA$16,COLUMNS($A:R)+6,0))</f>
        <v/>
      </c>
      <c r="Y33" s="42"/>
      <c r="Z33" s="42" t="str">
        <f>IF(VLOOKUP($A33,Data_Template!$A$6:$BA$16,COLUMNS($A:T)+6,0)=0,"",VLOOKUP($A33,Data_Template!$A$6:$BA$16,COLUMNS($A:T)+6,0))</f>
        <v/>
      </c>
      <c r="AA33" s="42" t="str">
        <f>IF(VLOOKUP($A33,Data_Template!$A$6:$BA$16,COLUMNS($A:U)+6,0)=0,"",VLOOKUP($A33,Data_Template!$A$6:$BA$16,COLUMNS($A:U)+6,0))</f>
        <v/>
      </c>
      <c r="AB33" s="42" t="str">
        <f>IF(VLOOKUP($A33,Data_Template!$A$6:$BA$16,COLUMNS($A:V)+6,0)=0,"",VLOOKUP($A33,Data_Template!$A$6:$BA$16,COLUMNS($A:V)+6,0))</f>
        <v/>
      </c>
      <c r="AC33" s="42"/>
      <c r="AD33" s="42" t="str">
        <f>IF(VLOOKUP($A33,Data_Template!$A$6:$BA$16,COLUMNS($A:X)+6,0)=0,"",VLOOKUP($A33,Data_Template!$A$6:$BA$16,COLUMNS($A:X)+6,0))</f>
        <v/>
      </c>
      <c r="AE33" s="42" t="str">
        <f>IF(VLOOKUP($A33,Data_Template!$A$6:$BA$16,COLUMNS($A:Y)+6,0)=0,"",VLOOKUP($A33,Data_Template!$A$6:$BA$16,COLUMNS($A:Y)+6,0))</f>
        <v/>
      </c>
      <c r="AF33" s="42" t="str">
        <f>IF(VLOOKUP($A33,Data_Template!$A$6:$BA$16,COLUMNS($A:Z)+6,0)=0,"",VLOOKUP($A33,Data_Template!$A$6:$BA$16,COLUMNS($A:Z)+6,0))</f>
        <v/>
      </c>
      <c r="AG33" s="42"/>
      <c r="AH33" s="42"/>
      <c r="AI33" s="42" t="str">
        <f>IF(VLOOKUP($A33,Data_Template!$A$6:$BA$16,COLUMNS($A:AC)+6,0)=0,"",VLOOKUP($A33,Data_Template!$A$6:$BA$16,COLUMNS($A:AC)+6,0))</f>
        <v/>
      </c>
      <c r="AJ33" s="42" t="str">
        <f>IF(VLOOKUP($A33,Data_Template!$A$6:$BA$16,COLUMNS($A:AD)+6,0)=0,"",VLOOKUP($A33,Data_Template!$A$6:$BA$16,COLUMNS($A:AD)+6,0))</f>
        <v/>
      </c>
      <c r="AK33" s="42" t="str">
        <f>IF(VLOOKUP($A33,Data_Template!$A$6:$BA$16,COLUMNS($A:AE)+6,0)=0,"",VLOOKUP($A33,Data_Template!$A$6:$BA$16,COLUMNS($A:AE)+6,0))</f>
        <v/>
      </c>
      <c r="AL33" s="42" t="str">
        <f>IF(VLOOKUP($A33,Data_Template!$A$6:$BA$16,COLUMNS($A:AF)+6,0)=0,"",VLOOKUP($A33,Data_Template!$A$6:$BA$16,COLUMNS($A:AF)+6,0))</f>
        <v/>
      </c>
      <c r="AM33" s="42" t="str">
        <f>IF(VLOOKUP($A33,Data_Template!$A$6:$BA$16,COLUMNS($A:AG)+6,0)=0,"",VLOOKUP($A33,Data_Template!$A$6:$BA$16,COLUMNS($A:AG)+6,0))</f>
        <v/>
      </c>
      <c r="AN33" s="42" t="str">
        <f>IF(VLOOKUP($A33,Data_Template!$A$6:$BA$16,COLUMNS($A:AH)+6,0)=0,"",VLOOKUP($A33,Data_Template!$A$6:$BA$16,COLUMNS($A:AH)+6,0))</f>
        <v/>
      </c>
      <c r="AO33" s="42" t="str">
        <f>IF(VLOOKUP($A33,Data_Template!$A$6:$BA$16,COLUMNS($A:AI)+6,0)=0,"",VLOOKUP($A33,Data_Template!$A$6:$BA$16,COLUMNS($A:AI)+6,0))</f>
        <v/>
      </c>
      <c r="AP33" s="42" t="str">
        <f>IF(VLOOKUP($A33,Data_Template!$A$6:$BA$16,COLUMNS($A:AJ)+6,0)=0,"",VLOOKUP($A33,Data_Template!$A$6:$BA$16,COLUMNS($A:AJ)+6,0))</f>
        <v/>
      </c>
      <c r="AQ33" s="42" t="str">
        <f>IF(VLOOKUP($A33,Data_Template!$A$6:$BA$16,COLUMNS($A:AK)+6,0)=0,"",VLOOKUP($A33,Data_Template!$A$6:$BA$16,COLUMNS($A:AK)+6,0))</f>
        <v/>
      </c>
      <c r="AR33" s="42" t="str">
        <f>IF(VLOOKUP($A33,Data_Template!$A$6:$BA$16,COLUMNS($A:AL)+6,0)=0,"",VLOOKUP($A33,Data_Template!$A$6:$BA$16,COLUMNS($A:AL)+6,0))</f>
        <v/>
      </c>
      <c r="AS33" s="42" t="str">
        <f>IF(VLOOKUP($A33,Data_Template!$A$6:$BA$16,COLUMNS($A:AM)+6,0)=0,"",VLOOKUP($A33,Data_Template!$A$6:$BA$16,COLUMNS($A:AM)+6,0))</f>
        <v/>
      </c>
      <c r="AT33" s="42" t="str">
        <f>IF(VLOOKUP($A33,Data_Template!$A$6:$BA$16,COLUMNS($A:AN)+6,0)=0,"",VLOOKUP($A33,Data_Template!$A$6:$BA$16,COLUMNS($A:AN)+6,0))</f>
        <v/>
      </c>
      <c r="AU33" s="42" t="str">
        <f>IF(VLOOKUP($A33,Data_Template!$A$6:$BA$16,COLUMNS($A:AO)+6,0)=0,"",VLOOKUP($A33,Data_Template!$A$6:$BA$16,COLUMNS($A:AO)+6,0))</f>
        <v/>
      </c>
      <c r="AV33" s="42" t="str">
        <f>IF(VLOOKUP($A33,Data_Template!$A$6:$BA$16,COLUMNS($A:AP)+6,0)=0,"",VLOOKUP($A33,Data_Template!$A$6:$BA$16,COLUMNS($A:AP)+6,0))</f>
        <v/>
      </c>
      <c r="AW33" s="42" t="str">
        <f>IF(VLOOKUP($A33,Data_Template!$A$6:$BA$16,COLUMNS($A:AQ)+6,0)=0,"",VLOOKUP($A33,Data_Template!$A$6:$BA$16,COLUMNS($A:AQ)+6,0))</f>
        <v/>
      </c>
      <c r="AX33" s="42" t="str">
        <f>IF(VLOOKUP($A33,Data_Template!$A$6:$BA$16,COLUMNS($A:AR)+6,0)=0,"",VLOOKUP($A33,Data_Template!$A$6:$BA$16,COLUMNS($A:AR)+6,0))</f>
        <v/>
      </c>
      <c r="AY33" s="42" t="str">
        <f>IF(VLOOKUP($A33,Data_Template!$A$6:$BA$16,COLUMNS($A:AS)+6,0)=0,"",VLOOKUP($A33,Data_Template!$A$6:$BA$16,COLUMNS($A:AS)+6,0))</f>
        <v/>
      </c>
      <c r="AZ33" s="42" t="str">
        <f>IF(VLOOKUP($A33,Data_Template!$A$6:$BA$16,COLUMNS($A:AT)+6,0)=0,"",VLOOKUP($A33,Data_Template!$A$6:$BA$16,COLUMNS($A:AT)+6,0))</f>
        <v/>
      </c>
      <c r="BA33" s="42"/>
      <c r="BB33" s="50"/>
      <c r="BC33" s="42"/>
      <c r="BD33" s="42"/>
      <c r="BE33" s="42"/>
      <c r="BF33" s="42"/>
      <c r="BG33" s="42"/>
      <c r="BH33" s="42"/>
      <c r="BI33" s="42"/>
      <c r="BJ33" s="42"/>
      <c r="BL33" s="42"/>
      <c r="BM33" s="42"/>
      <c r="BN33" s="42"/>
      <c r="BO33" s="42"/>
      <c r="BP33" s="42"/>
      <c r="BQ33" s="42"/>
      <c r="BR33" s="42"/>
      <c r="BS33" s="42"/>
      <c r="BT33" s="42"/>
      <c r="BU33" s="42"/>
      <c r="BV33" s="42"/>
      <c r="BW33" s="42"/>
      <c r="BX33" s="42"/>
    </row>
    <row r="34" spans="1:76" s="51" customFormat="1" ht="14.25" x14ac:dyDescent="0.2">
      <c r="A34" s="246" t="str">
        <f>Classes!J16</f>
        <v>IFMA_C_31010009</v>
      </c>
      <c r="B34" s="246" t="str">
        <f>Classes!P16</f>
        <v>Grundstück</v>
      </c>
      <c r="C34" s="37"/>
      <c r="D34" s="42" t="s">
        <v>884</v>
      </c>
      <c r="E34" s="41"/>
      <c r="G34" s="42"/>
      <c r="H34" s="42" t="str">
        <f>IF(VLOOKUP($A34,Data_Template!$A$6:$BA$16,COLUMNS($A:B)+6,0)=0,"",VLOOKUP($A34,Data_Template!$A$6:$BA$16,COLUMNS($A:B)+6,0))</f>
        <v>x</v>
      </c>
      <c r="I34" s="42" t="str">
        <f>IF(VLOOKUP($A34,Data_Template!$A$6:$BA$16,COLUMNS($A:C)+6,0)=0,"",VLOOKUP($A34,Data_Template!$A$6:$BA$16,COLUMNS($A:C)+6,0))</f>
        <v/>
      </c>
      <c r="J34" s="42" t="str">
        <f>IF(VLOOKUP($A34,Data_Template!$A$6:$BA$16,COLUMNS($A:D)+6,0)=0,"",VLOOKUP($A34,Data_Template!$A$6:$BA$16,COLUMNS($A:D)+6,0))</f>
        <v/>
      </c>
      <c r="K34" s="42" t="str">
        <f>IF(VLOOKUP($A34,Data_Template!$A$6:$BA$16,COLUMNS($A:E)+6,0)=0,"",VLOOKUP($A34,Data_Template!$A$6:$BA$16,COLUMNS($A:E)+6,0))</f>
        <v/>
      </c>
      <c r="L34" s="42" t="str">
        <f>IF(VLOOKUP($A34,Data_Template!$A$6:$BA$16,COLUMNS($A:F)+6,0)=0,"",VLOOKUP($A34,Data_Template!$A$6:$BA$16,COLUMNS($A:F)+6,0))</f>
        <v/>
      </c>
      <c r="M34" s="42" t="str">
        <f>IF(VLOOKUP($A34,Data_Template!$A$6:$BA$16,COLUMNS($A:G)+6,0)=0,"",VLOOKUP($A34,Data_Template!$A$6:$BA$16,COLUMNS($A:G)+6,0))</f>
        <v/>
      </c>
      <c r="N34" s="42" t="str">
        <f>IF(VLOOKUP($A34,Data_Template!$A$6:$BA$16,COLUMNS($A:H)+6,0)=0,"",VLOOKUP($A34,Data_Template!$A$6:$BA$16,COLUMNS($A:H)+6,0))</f>
        <v/>
      </c>
      <c r="O34" s="42" t="str">
        <f>IF(VLOOKUP($A34,Data_Template!$A$6:$BA$16,COLUMNS($A:I)+6,0)=0,"",VLOOKUP($A34,Data_Template!$A$6:$BA$16,COLUMNS($A:I)+6,0))</f>
        <v/>
      </c>
      <c r="P34" s="42" t="str">
        <f>IF(VLOOKUP($A34,Data_Template!$A$6:$BA$16,COLUMNS($A:J)+6,0)=0,"",VLOOKUP($A34,Data_Template!$A$6:$BA$16,COLUMNS($A:J)+6,0))</f>
        <v/>
      </c>
      <c r="Q34" s="42"/>
      <c r="R34" s="42" t="str">
        <f>IF(VLOOKUP($A34,Data_Template!$A$6:$BA$16,COLUMNS($A:L)+6,0)=0,"",VLOOKUP($A34,Data_Template!$A$6:$BA$16,COLUMNS($A:L)+6,0))</f>
        <v/>
      </c>
      <c r="S34" s="42" t="str">
        <f>IF(VLOOKUP($A34,Data_Template!$A$6:$BA$16,COLUMNS($A:M)+6,0)=0,"",VLOOKUP($A34,Data_Template!$A$6:$BA$16,COLUMNS($A:M)+6,0))</f>
        <v/>
      </c>
      <c r="T34" s="42" t="str">
        <f>IF(VLOOKUP($A34,Data_Template!$A$6:$BA$16,COLUMNS($A:N)+6,0)=0,"",VLOOKUP($A34,Data_Template!$A$6:$BA$16,COLUMNS($A:N)+6,0))</f>
        <v/>
      </c>
      <c r="U34" s="42" t="str">
        <f>IF(VLOOKUP($A34,Data_Template!$A$6:$BA$16,COLUMNS($A:O)+6,0)=0,"",VLOOKUP($A34,Data_Template!$A$6:$BA$16,COLUMNS($A:O)+6,0))</f>
        <v/>
      </c>
      <c r="V34" s="42" t="str">
        <f>IF(VLOOKUP($A34,Data_Template!$A$6:$BA$16,COLUMNS($A:P)+6,0)=0,"",VLOOKUP($A34,Data_Template!$A$6:$BA$16,COLUMNS($A:P)+6,0))</f>
        <v/>
      </c>
      <c r="W34" s="42" t="str">
        <f>IF(VLOOKUP($A34,Data_Template!$A$6:$BA$16,COLUMNS($A:Q)+6,0)=0,"",VLOOKUP($A34,Data_Template!$A$6:$BA$16,COLUMNS($A:Q)+6,0))</f>
        <v/>
      </c>
      <c r="X34" s="42" t="str">
        <f>IF(VLOOKUP($A34,Data_Template!$A$6:$BA$16,COLUMNS($A:R)+6,0)=0,"",VLOOKUP($A34,Data_Template!$A$6:$BA$16,COLUMNS($A:R)+6,0))</f>
        <v/>
      </c>
      <c r="Y34" s="42" t="str">
        <f>IF(VLOOKUP($A34,Data_Template!$A$6:$BA$16,COLUMNS($A:S)+6,0)=0,"",VLOOKUP($A34,Data_Template!$A$6:$BA$16,COLUMNS($A:S)+6,0))</f>
        <v/>
      </c>
      <c r="Z34" s="42" t="str">
        <f>IF(VLOOKUP($A34,Data_Template!$A$6:$BA$16,COLUMNS($A:T)+6,0)=0,"",VLOOKUP($A34,Data_Template!$A$6:$BA$16,COLUMNS($A:T)+6,0))</f>
        <v/>
      </c>
      <c r="AA34" s="42" t="str">
        <f>IF(VLOOKUP($A34,Data_Template!$A$6:$BA$16,COLUMNS($A:U)+6,0)=0,"",VLOOKUP($A34,Data_Template!$A$6:$BA$16,COLUMNS($A:U)+6,0))</f>
        <v/>
      </c>
      <c r="AB34" s="42" t="str">
        <f>IF(VLOOKUP($A34,Data_Template!$A$6:$BA$16,COLUMNS($A:V)+6,0)=0,"",VLOOKUP($A34,Data_Template!$A$6:$BA$16,COLUMNS($A:V)+6,0))</f>
        <v/>
      </c>
      <c r="AC34" s="42" t="str">
        <f>IF(VLOOKUP($A34,Data_Template!$A$6:$BA$16,COLUMNS($A:W)+6,0)=0,"",VLOOKUP($A34,Data_Template!$A$6:$BA$16,COLUMNS($A:W)+6,0))</f>
        <v/>
      </c>
      <c r="AD34" s="42" t="str">
        <f>IF(VLOOKUP($A34,Data_Template!$A$6:$BA$16,COLUMNS($A:X)+6,0)=0,"",VLOOKUP($A34,Data_Template!$A$6:$BA$16,COLUMNS($A:X)+6,0))</f>
        <v/>
      </c>
      <c r="AE34" s="42" t="str">
        <f>IF(VLOOKUP($A34,Data_Template!$A$6:$BA$16,COLUMNS($A:Y)+6,0)=0,"",VLOOKUP($A34,Data_Template!$A$6:$BA$16,COLUMNS($A:Y)+6,0))</f>
        <v/>
      </c>
      <c r="AF34" s="42" t="str">
        <f>IF(VLOOKUP($A34,Data_Template!$A$6:$BA$16,COLUMNS($A:Z)+6,0)=0,"",VLOOKUP($A34,Data_Template!$A$6:$BA$16,COLUMNS($A:Z)+6,0))</f>
        <v/>
      </c>
      <c r="AG34" s="42" t="str">
        <f>IF(VLOOKUP($A34,Data_Template!$A$6:$BA$16,COLUMNS($A:AA)+6,0)=0,"",VLOOKUP($A34,Data_Template!$A$6:$BA$16,COLUMNS($A:AA)+6,0))</f>
        <v/>
      </c>
      <c r="AH34" s="42" t="str">
        <f>IF(VLOOKUP($A34,Data_Template!$A$6:$BA$16,COLUMNS($A:AB)+6,0)=0,"",VLOOKUP($A34,Data_Template!$A$6:$BA$16,COLUMNS($A:AB)+6,0))</f>
        <v/>
      </c>
      <c r="AI34" s="42" t="str">
        <f>IF(VLOOKUP($A34,Data_Template!$A$6:$BA$16,COLUMNS($A:AC)+6,0)=0,"",VLOOKUP($A34,Data_Template!$A$6:$BA$16,COLUMNS($A:AC)+6,0))</f>
        <v/>
      </c>
      <c r="AJ34" s="42" t="str">
        <f>IF(VLOOKUP($A34,Data_Template!$A$6:$BA$16,COLUMNS($A:AD)+6,0)=0,"",VLOOKUP($A34,Data_Template!$A$6:$BA$16,COLUMNS($A:AD)+6,0))</f>
        <v/>
      </c>
      <c r="AK34" s="42" t="str">
        <f>IF(VLOOKUP($A34,Data_Template!$A$6:$BA$16,COLUMNS($A:AE)+6,0)=0,"",VLOOKUP($A34,Data_Template!$A$6:$BA$16,COLUMNS($A:AE)+6,0))</f>
        <v/>
      </c>
      <c r="AL34" s="42" t="str">
        <f>IF(VLOOKUP($A34,Data_Template!$A$6:$BA$16,COLUMNS($A:AF)+6,0)=0,"",VLOOKUP($A34,Data_Template!$A$6:$BA$16,COLUMNS($A:AF)+6,0))</f>
        <v/>
      </c>
      <c r="AM34" s="42" t="str">
        <f>IF(VLOOKUP($A34,Data_Template!$A$6:$BA$16,COLUMNS($A:AG)+6,0)=0,"",VLOOKUP($A34,Data_Template!$A$6:$BA$16,COLUMNS($A:AG)+6,0))</f>
        <v/>
      </c>
      <c r="AN34" s="42" t="str">
        <f>IF(VLOOKUP($A34,Data_Template!$A$6:$BA$16,COLUMNS($A:AH)+6,0)=0,"",VLOOKUP($A34,Data_Template!$A$6:$BA$16,COLUMNS($A:AH)+6,0))</f>
        <v/>
      </c>
      <c r="AO34" s="42" t="str">
        <f>IF(VLOOKUP($A34,Data_Template!$A$6:$BA$16,COLUMNS($A:AI)+6,0)=0,"",VLOOKUP($A34,Data_Template!$A$6:$BA$16,COLUMNS($A:AI)+6,0))</f>
        <v/>
      </c>
      <c r="AP34" s="42" t="str">
        <f>IF(VLOOKUP($A34,Data_Template!$A$6:$BA$16,COLUMNS($A:AJ)+6,0)=0,"",VLOOKUP($A34,Data_Template!$A$6:$BA$16,COLUMNS($A:AJ)+6,0))</f>
        <v/>
      </c>
      <c r="AQ34" s="42" t="str">
        <f>IF(VLOOKUP($A34,Data_Template!$A$6:$BA$16,COLUMNS($A:AK)+6,0)=0,"",VLOOKUP($A34,Data_Template!$A$6:$BA$16,COLUMNS($A:AK)+6,0))</f>
        <v/>
      </c>
      <c r="AR34" s="42" t="str">
        <f>IF(VLOOKUP($A34,Data_Template!$A$6:$BA$16,COLUMNS($A:AL)+6,0)=0,"",VLOOKUP($A34,Data_Template!$A$6:$BA$16,COLUMNS($A:AL)+6,0))</f>
        <v/>
      </c>
      <c r="AS34" s="42" t="str">
        <f>IF(VLOOKUP($A34,Data_Template!$A$6:$BA$16,COLUMNS($A:AM)+6,0)=0,"",VLOOKUP($A34,Data_Template!$A$6:$BA$16,COLUMNS($A:AM)+6,0))</f>
        <v/>
      </c>
      <c r="AT34" s="42" t="str">
        <f>IF(VLOOKUP($A34,Data_Template!$A$6:$BA$16,COLUMNS($A:AN)+6,0)=0,"",VLOOKUP($A34,Data_Template!$A$6:$BA$16,COLUMNS($A:AN)+6,0))</f>
        <v/>
      </c>
      <c r="AU34" s="42" t="str">
        <f>IF(VLOOKUP($A34,Data_Template!$A$6:$BA$16,COLUMNS($A:AO)+6,0)=0,"",VLOOKUP($A34,Data_Template!$A$6:$BA$16,COLUMNS($A:AO)+6,0))</f>
        <v/>
      </c>
      <c r="AV34" s="42" t="str">
        <f>IF(VLOOKUP($A34,Data_Template!$A$6:$BA$16,COLUMNS($A:AP)+6,0)=0,"",VLOOKUP($A34,Data_Template!$A$6:$BA$16,COLUMNS($A:AP)+6,0))</f>
        <v/>
      </c>
      <c r="AW34" s="42" t="str">
        <f>IF(VLOOKUP($A34,Data_Template!$A$6:$BA$16,COLUMNS($A:AQ)+6,0)=0,"",VLOOKUP($A34,Data_Template!$A$6:$BA$16,COLUMNS($A:AQ)+6,0))</f>
        <v/>
      </c>
      <c r="AX34" s="42" t="str">
        <f>IF(VLOOKUP($A34,Data_Template!$A$6:$BA$16,COLUMNS($A:AR)+6,0)=0,"",VLOOKUP($A34,Data_Template!$A$6:$BA$16,COLUMNS($A:AR)+6,0))</f>
        <v/>
      </c>
      <c r="AY34" s="42" t="str">
        <f>IF(VLOOKUP($A34,Data_Template!$A$6:$BA$16,COLUMNS($A:AS)+6,0)=0,"",VLOOKUP($A34,Data_Template!$A$6:$BA$16,COLUMNS($A:AS)+6,0))</f>
        <v/>
      </c>
      <c r="AZ34" s="42" t="str">
        <f>IF(VLOOKUP($A34,Data_Template!$A$6:$BA$16,COLUMNS($A:AT)+6,0)=0,"",VLOOKUP($A34,Data_Template!$A$6:$BA$16,COLUMNS($A:AT)+6,0))</f>
        <v/>
      </c>
      <c r="BA34" s="42" t="str">
        <f>IF(VLOOKUP($A34,Data_Template!$A$6:$BA$16,COLUMNS($A:AU)+6,0)=0,"",VLOOKUP($A34,Data_Template!$A$6:$BA$16,COLUMNS($A:AU)+6,0))</f>
        <v/>
      </c>
      <c r="BB34" s="50"/>
      <c r="BC34" s="42"/>
      <c r="BD34" s="42"/>
      <c r="BE34" s="42"/>
      <c r="BF34" s="42"/>
      <c r="BG34" s="42"/>
      <c r="BH34" s="42"/>
      <c r="BI34" s="42"/>
      <c r="BJ34" s="42"/>
      <c r="BL34" s="42"/>
      <c r="BM34" s="42"/>
      <c r="BN34" s="42"/>
      <c r="BO34" s="42"/>
      <c r="BP34" s="42"/>
      <c r="BQ34" s="42"/>
      <c r="BR34" s="42"/>
      <c r="BS34" s="42"/>
      <c r="BT34" s="42"/>
      <c r="BU34" s="42"/>
      <c r="BV34" s="42"/>
      <c r="BW34" s="42"/>
      <c r="BX34" s="42"/>
    </row>
    <row r="35" spans="1:76" s="51" customFormat="1" ht="14.25" x14ac:dyDescent="0.2">
      <c r="A35" s="246" t="str">
        <f>Classes!J17</f>
        <v>IFMA_C_31010010</v>
      </c>
      <c r="B35" s="246" t="str">
        <f>Classes!P17</f>
        <v>Gebäude</v>
      </c>
      <c r="C35" s="37"/>
      <c r="D35" s="42" t="s">
        <v>884</v>
      </c>
      <c r="E35" s="41"/>
      <c r="G35" s="42"/>
      <c r="H35" s="42" t="str">
        <f>IF(VLOOKUP($A35,Data_Template!$A$6:$BA$16,COLUMNS($A:B)+6,0)=0,"",VLOOKUP($A35,Data_Template!$A$6:$BA$16,COLUMNS($A:B)+6,0))</f>
        <v>x</v>
      </c>
      <c r="I35" s="42" t="str">
        <f>IF(VLOOKUP($A35,Data_Template!$A$6:$BA$16,COLUMNS($A:C)+6,0)=0,"",VLOOKUP($A35,Data_Template!$A$6:$BA$16,COLUMNS($A:C)+6,0))</f>
        <v/>
      </c>
      <c r="J35" s="42" t="str">
        <f>IF(VLOOKUP($A35,Data_Template!$A$6:$BA$16,COLUMNS($A:D)+6,0)=0,"",VLOOKUP($A35,Data_Template!$A$6:$BA$16,COLUMNS($A:D)+6,0))</f>
        <v/>
      </c>
      <c r="K35" s="42" t="str">
        <f>IF(VLOOKUP($A35,Data_Template!$A$6:$BA$16,COLUMNS($A:E)+6,0)=0,"",VLOOKUP($A35,Data_Template!$A$6:$BA$16,COLUMNS($A:E)+6,0))</f>
        <v/>
      </c>
      <c r="L35" s="42" t="str">
        <f>IF(VLOOKUP($A35,Data_Template!$A$6:$BA$16,COLUMNS($A:F)+6,0)=0,"",VLOOKUP($A35,Data_Template!$A$6:$BA$16,COLUMNS($A:F)+6,0))</f>
        <v/>
      </c>
      <c r="M35" s="42" t="str">
        <f>IF(VLOOKUP($A35,Data_Template!$A$6:$BA$16,COLUMNS($A:G)+6,0)=0,"",VLOOKUP($A35,Data_Template!$A$6:$BA$16,COLUMNS($A:G)+6,0))</f>
        <v/>
      </c>
      <c r="N35" s="42" t="str">
        <f>IF(VLOOKUP($A35,Data_Template!$A$6:$BA$16,COLUMNS($A:H)+6,0)=0,"",VLOOKUP($A35,Data_Template!$A$6:$BA$16,COLUMNS($A:H)+6,0))</f>
        <v/>
      </c>
      <c r="O35" s="42" t="str">
        <f>IF(VLOOKUP($A35,Data_Template!$A$6:$BA$16,COLUMNS($A:I)+6,0)=0,"",VLOOKUP($A35,Data_Template!$A$6:$BA$16,COLUMNS($A:I)+6,0))</f>
        <v/>
      </c>
      <c r="P35" s="42" t="str">
        <f>IF(VLOOKUP($A35,Data_Template!$A$6:$BA$16,COLUMNS($A:J)+6,0)=0,"",VLOOKUP($A35,Data_Template!$A$6:$BA$16,COLUMNS($A:J)+6,0))</f>
        <v/>
      </c>
      <c r="Q35" s="42"/>
      <c r="R35" s="42" t="str">
        <f>IF(VLOOKUP($A35,Data_Template!$A$6:$BA$16,COLUMNS($A:L)+6,0)=0,"",VLOOKUP($A35,Data_Template!$A$6:$BA$16,COLUMNS($A:L)+6,0))</f>
        <v/>
      </c>
      <c r="S35" s="42" t="str">
        <f>IF(VLOOKUP($A35,Data_Template!$A$6:$BA$16,COLUMNS($A:M)+6,0)=0,"",VLOOKUP($A35,Data_Template!$A$6:$BA$16,COLUMNS($A:M)+6,0))</f>
        <v/>
      </c>
      <c r="T35" s="42" t="str">
        <f>IF(VLOOKUP($A35,Data_Template!$A$6:$BA$16,COLUMNS($A:N)+6,0)=0,"",VLOOKUP($A35,Data_Template!$A$6:$BA$16,COLUMNS($A:N)+6,0))</f>
        <v/>
      </c>
      <c r="U35" s="42" t="str">
        <f>IF(VLOOKUP($A35,Data_Template!$A$6:$BA$16,COLUMNS($A:O)+6,0)=0,"",VLOOKUP($A35,Data_Template!$A$6:$BA$16,COLUMNS($A:O)+6,0))</f>
        <v/>
      </c>
      <c r="V35" s="42" t="str">
        <f>IF(VLOOKUP($A35,Data_Template!$A$6:$BA$16,COLUMNS($A:P)+6,0)=0,"",VLOOKUP($A35,Data_Template!$A$6:$BA$16,COLUMNS($A:P)+6,0))</f>
        <v/>
      </c>
      <c r="W35" s="42" t="str">
        <f>IF(VLOOKUP($A35,Data_Template!$A$6:$BA$16,COLUMNS($A:Q)+6,0)=0,"",VLOOKUP($A35,Data_Template!$A$6:$BA$16,COLUMNS($A:Q)+6,0))</f>
        <v/>
      </c>
      <c r="X35" s="42" t="str">
        <f>IF(VLOOKUP($A35,Data_Template!$A$6:$BA$16,COLUMNS($A:R)+6,0)=0,"",VLOOKUP($A35,Data_Template!$A$6:$BA$16,COLUMNS($A:R)+6,0))</f>
        <v/>
      </c>
      <c r="Y35" s="42" t="str">
        <f>IF(VLOOKUP($A35,Data_Template!$A$6:$BA$16,COLUMNS($A:S)+6,0)=0,"",VLOOKUP($A35,Data_Template!$A$6:$BA$16,COLUMNS($A:S)+6,0))</f>
        <v/>
      </c>
      <c r="Z35" s="42" t="str">
        <f>IF(VLOOKUP($A35,Data_Template!$A$6:$BA$16,COLUMNS($A:T)+6,0)=0,"",VLOOKUP($A35,Data_Template!$A$6:$BA$16,COLUMNS($A:T)+6,0))</f>
        <v/>
      </c>
      <c r="AA35" s="42" t="str">
        <f>IF(VLOOKUP($A35,Data_Template!$A$6:$BA$16,COLUMNS($A:U)+6,0)=0,"",VLOOKUP($A35,Data_Template!$A$6:$BA$16,COLUMNS($A:U)+6,0))</f>
        <v/>
      </c>
      <c r="AB35" s="42" t="str">
        <f>IF(VLOOKUP($A35,Data_Template!$A$6:$BA$16,COLUMNS($A:V)+6,0)=0,"",VLOOKUP($A35,Data_Template!$A$6:$BA$16,COLUMNS($A:V)+6,0))</f>
        <v/>
      </c>
      <c r="AC35" s="42" t="str">
        <f>IF(VLOOKUP($A35,Data_Template!$A$6:$BA$16,COLUMNS($A:W)+6,0)=0,"",VLOOKUP($A35,Data_Template!$A$6:$BA$16,COLUMNS($A:W)+6,0))</f>
        <v/>
      </c>
      <c r="AD35" s="42" t="str">
        <f>IF(VLOOKUP($A35,Data_Template!$A$6:$BA$16,COLUMNS($A:X)+6,0)=0,"",VLOOKUP($A35,Data_Template!$A$6:$BA$16,COLUMNS($A:X)+6,0))</f>
        <v/>
      </c>
      <c r="AE35" s="42" t="str">
        <f>IF(VLOOKUP($A35,Data_Template!$A$6:$BA$16,COLUMNS($A:Y)+6,0)=0,"",VLOOKUP($A35,Data_Template!$A$6:$BA$16,COLUMNS($A:Y)+6,0))</f>
        <v/>
      </c>
      <c r="AF35" s="42" t="str">
        <f>IF(VLOOKUP($A35,Data_Template!$A$6:$BA$16,COLUMNS($A:Z)+6,0)=0,"",VLOOKUP($A35,Data_Template!$A$6:$BA$16,COLUMNS($A:Z)+6,0))</f>
        <v/>
      </c>
      <c r="AG35" s="42" t="str">
        <f>IF(VLOOKUP($A35,Data_Template!$A$6:$BA$16,COLUMNS($A:AA)+6,0)=0,"",VLOOKUP($A35,Data_Template!$A$6:$BA$16,COLUMNS($A:AA)+6,0))</f>
        <v/>
      </c>
      <c r="AH35" s="42" t="str">
        <f>IF(VLOOKUP($A35,Data_Template!$A$6:$BA$16,COLUMNS($A:AB)+6,0)=0,"",VLOOKUP($A35,Data_Template!$A$6:$BA$16,COLUMNS($A:AB)+6,0))</f>
        <v/>
      </c>
      <c r="AI35" s="42" t="str">
        <f>IF(VLOOKUP($A35,Data_Template!$A$6:$BA$16,COLUMNS($A:AC)+6,0)=0,"",VLOOKUP($A35,Data_Template!$A$6:$BA$16,COLUMNS($A:AC)+6,0))</f>
        <v/>
      </c>
      <c r="AJ35" s="42" t="str">
        <f>IF(VLOOKUP($A35,Data_Template!$A$6:$BA$16,COLUMNS($A:AD)+6,0)=0,"",VLOOKUP($A35,Data_Template!$A$6:$BA$16,COLUMNS($A:AD)+6,0))</f>
        <v/>
      </c>
      <c r="AK35" s="42" t="str">
        <f>IF(VLOOKUP($A35,Data_Template!$A$6:$BA$16,COLUMNS($A:AE)+6,0)=0,"",VLOOKUP($A35,Data_Template!$A$6:$BA$16,COLUMNS($A:AE)+6,0))</f>
        <v/>
      </c>
      <c r="AL35" s="42" t="str">
        <f>IF(VLOOKUP($A35,Data_Template!$A$6:$BA$16,COLUMNS($A:AF)+6,0)=0,"",VLOOKUP($A35,Data_Template!$A$6:$BA$16,COLUMNS($A:AF)+6,0))</f>
        <v/>
      </c>
      <c r="AM35" s="42" t="str">
        <f>IF(VLOOKUP($A35,Data_Template!$A$6:$BA$16,COLUMNS($A:AG)+6,0)=0,"",VLOOKUP($A35,Data_Template!$A$6:$BA$16,COLUMNS($A:AG)+6,0))</f>
        <v/>
      </c>
      <c r="AN35" s="42" t="str">
        <f>IF(VLOOKUP($A35,Data_Template!$A$6:$BA$16,COLUMNS($A:AH)+6,0)=0,"",VLOOKUP($A35,Data_Template!$A$6:$BA$16,COLUMNS($A:AH)+6,0))</f>
        <v/>
      </c>
      <c r="AO35" s="42" t="str">
        <f>IF(VLOOKUP($A35,Data_Template!$A$6:$BA$16,COLUMNS($A:AI)+6,0)=0,"",VLOOKUP($A35,Data_Template!$A$6:$BA$16,COLUMNS($A:AI)+6,0))</f>
        <v/>
      </c>
      <c r="AP35" s="42" t="str">
        <f>IF(VLOOKUP($A35,Data_Template!$A$6:$BA$16,COLUMNS($A:AJ)+6,0)=0,"",VLOOKUP($A35,Data_Template!$A$6:$BA$16,COLUMNS($A:AJ)+6,0))</f>
        <v/>
      </c>
      <c r="AQ35" s="42" t="str">
        <f>IF(VLOOKUP($A35,Data_Template!$A$6:$BA$16,COLUMNS($A:AK)+6,0)=0,"",VLOOKUP($A35,Data_Template!$A$6:$BA$16,COLUMNS($A:AK)+6,0))</f>
        <v/>
      </c>
      <c r="AR35" s="42" t="str">
        <f>IF(VLOOKUP($A35,Data_Template!$A$6:$BA$16,COLUMNS($A:AL)+6,0)=0,"",VLOOKUP($A35,Data_Template!$A$6:$BA$16,COLUMNS($A:AL)+6,0))</f>
        <v/>
      </c>
      <c r="AS35" s="42" t="str">
        <f>IF(VLOOKUP($A35,Data_Template!$A$6:$BA$16,COLUMNS($A:AM)+6,0)=0,"",VLOOKUP($A35,Data_Template!$A$6:$BA$16,COLUMNS($A:AM)+6,0))</f>
        <v/>
      </c>
      <c r="AT35" s="42" t="str">
        <f>IF(VLOOKUP($A35,Data_Template!$A$6:$BA$16,COLUMNS($A:AN)+6,0)=0,"",VLOOKUP($A35,Data_Template!$A$6:$BA$16,COLUMNS($A:AN)+6,0))</f>
        <v/>
      </c>
      <c r="AU35" s="42" t="str">
        <f>IF(VLOOKUP($A35,Data_Template!$A$6:$BA$16,COLUMNS($A:AO)+6,0)=0,"",VLOOKUP($A35,Data_Template!$A$6:$BA$16,COLUMNS($A:AO)+6,0))</f>
        <v/>
      </c>
      <c r="AV35" s="42" t="str">
        <f>IF(VLOOKUP($A35,Data_Template!$A$6:$BA$16,COLUMNS($A:AP)+6,0)=0,"",VLOOKUP($A35,Data_Template!$A$6:$BA$16,COLUMNS($A:AP)+6,0))</f>
        <v/>
      </c>
      <c r="AW35" s="42" t="str">
        <f>IF(VLOOKUP($A35,Data_Template!$A$6:$BA$16,COLUMNS($A:AQ)+6,0)=0,"",VLOOKUP($A35,Data_Template!$A$6:$BA$16,COLUMNS($A:AQ)+6,0))</f>
        <v/>
      </c>
      <c r="AX35" s="42" t="str">
        <f>IF(VLOOKUP($A35,Data_Template!$A$6:$BA$16,COLUMNS($A:AR)+6,0)=0,"",VLOOKUP($A35,Data_Template!$A$6:$BA$16,COLUMNS($A:AR)+6,0))</f>
        <v/>
      </c>
      <c r="AY35" s="42" t="str">
        <f>IF(VLOOKUP($A35,Data_Template!$A$6:$BA$16,COLUMNS($A:AS)+6,0)=0,"",VLOOKUP($A35,Data_Template!$A$6:$BA$16,COLUMNS($A:AS)+6,0))</f>
        <v/>
      </c>
      <c r="AZ35" s="42" t="str">
        <f>IF(VLOOKUP($A35,Data_Template!$A$6:$BA$16,COLUMNS($A:AT)+6,0)=0,"",VLOOKUP($A35,Data_Template!$A$6:$BA$16,COLUMNS($A:AT)+6,0))</f>
        <v/>
      </c>
      <c r="BA35" s="42" t="str">
        <f>IF(VLOOKUP($A35,Data_Template!$A$6:$BA$16,COLUMNS($A:AU)+6,0)=0,"",VLOOKUP($A35,Data_Template!$A$6:$BA$16,COLUMNS($A:AU)+6,0))</f>
        <v/>
      </c>
      <c r="BB35" s="50"/>
      <c r="BC35" s="42"/>
      <c r="BD35" s="42"/>
      <c r="BE35" s="42"/>
      <c r="BF35" s="42"/>
      <c r="BG35" s="42"/>
      <c r="BH35" s="42"/>
      <c r="BI35" s="42"/>
      <c r="BJ35" s="42"/>
      <c r="BL35" s="42"/>
      <c r="BM35" s="42"/>
      <c r="BN35" s="42"/>
      <c r="BO35" s="42"/>
      <c r="BP35" s="42"/>
      <c r="BQ35" s="42"/>
      <c r="BR35" s="42"/>
      <c r="BS35" s="42"/>
      <c r="BT35" s="42"/>
      <c r="BU35" s="42"/>
      <c r="BV35" s="42"/>
      <c r="BW35" s="42"/>
      <c r="BX35" s="42"/>
    </row>
    <row r="37" spans="1:76" s="67" customFormat="1" ht="6" customHeight="1" x14ac:dyDescent="0.25">
      <c r="A37" s="268"/>
      <c r="B37" s="269"/>
      <c r="C37" s="251"/>
      <c r="D37" s="252"/>
      <c r="E37" s="253"/>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1"/>
      <c r="BC37" s="254"/>
      <c r="BD37" s="251"/>
      <c r="BE37" s="251"/>
      <c r="BF37" s="251"/>
      <c r="BG37" s="251"/>
      <c r="BH37" s="251"/>
      <c r="BI37" s="251"/>
      <c r="BJ37" s="251"/>
      <c r="BK37" s="251"/>
      <c r="BL37" s="254"/>
      <c r="BM37" s="251"/>
      <c r="BN37" s="251"/>
      <c r="BO37" s="251"/>
      <c r="BP37" s="251"/>
      <c r="BQ37" s="251"/>
      <c r="BR37" s="251"/>
      <c r="BS37" s="251"/>
      <c r="BT37" s="251"/>
      <c r="BU37" s="251"/>
      <c r="BV37" s="251"/>
      <c r="BW37" s="251"/>
      <c r="BX37" s="255"/>
    </row>
    <row r="38" spans="1:76" s="67" customFormat="1" ht="18" customHeight="1" x14ac:dyDescent="0.25">
      <c r="A38" s="272" t="s">
        <v>977</v>
      </c>
      <c r="B38" s="288" t="s">
        <v>978</v>
      </c>
      <c r="C38" s="288"/>
      <c r="D38" s="288"/>
      <c r="E38" s="249"/>
      <c r="F38" s="248"/>
      <c r="G38" s="256"/>
      <c r="H38" s="256"/>
      <c r="I38" s="257" t="s">
        <v>971</v>
      </c>
      <c r="J38" s="257"/>
      <c r="K38" s="257"/>
      <c r="L38" s="257"/>
      <c r="M38" s="248"/>
      <c r="N38" s="248"/>
      <c r="O38" s="273"/>
      <c r="P38" s="273"/>
      <c r="Q38" s="257" t="s">
        <v>996</v>
      </c>
      <c r="R38" s="257"/>
      <c r="S38" s="257"/>
      <c r="T38" s="257"/>
      <c r="U38" s="257"/>
      <c r="V38" s="257"/>
      <c r="W38" s="257"/>
      <c r="X38" s="257"/>
      <c r="Y38" s="257"/>
      <c r="Z38" s="257"/>
      <c r="AA38" s="257"/>
      <c r="AB38" s="257"/>
      <c r="AC38" s="257"/>
      <c r="AD38" s="257"/>
      <c r="AE38" s="257"/>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7"/>
      <c r="BC38" s="250"/>
      <c r="BD38" s="247"/>
      <c r="BE38" s="247"/>
      <c r="BF38" s="247"/>
      <c r="BG38" s="247"/>
      <c r="BH38" s="247"/>
      <c r="BI38" s="247"/>
      <c r="BJ38" s="247"/>
      <c r="BK38" s="247"/>
      <c r="BL38" s="250"/>
      <c r="BM38" s="247"/>
      <c r="BN38" s="247"/>
      <c r="BO38" s="247"/>
      <c r="BP38" s="247"/>
      <c r="BQ38" s="247"/>
      <c r="BR38" s="247"/>
      <c r="BS38" s="247"/>
      <c r="BT38" s="247"/>
      <c r="BU38" s="247"/>
      <c r="BV38" s="247"/>
      <c r="BW38" s="247"/>
      <c r="BX38" s="258"/>
    </row>
    <row r="39" spans="1:76" s="67" customFormat="1" ht="6" customHeight="1" x14ac:dyDescent="0.25">
      <c r="A39" s="270"/>
      <c r="B39" s="271"/>
      <c r="C39" s="259"/>
      <c r="D39" s="260"/>
      <c r="E39" s="261"/>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59"/>
      <c r="BC39" s="262"/>
      <c r="BD39" s="259"/>
      <c r="BE39" s="259"/>
      <c r="BF39" s="259"/>
      <c r="BG39" s="259"/>
      <c r="BH39" s="259"/>
      <c r="BI39" s="259"/>
      <c r="BJ39" s="259"/>
      <c r="BK39" s="259"/>
      <c r="BL39" s="262"/>
      <c r="BM39" s="259"/>
      <c r="BN39" s="259"/>
      <c r="BO39" s="259"/>
      <c r="BP39" s="259"/>
      <c r="BQ39" s="259"/>
      <c r="BR39" s="259"/>
      <c r="BS39" s="259"/>
      <c r="BT39" s="259"/>
      <c r="BU39" s="259"/>
      <c r="BV39" s="259"/>
      <c r="BW39" s="259"/>
      <c r="BX39" s="263"/>
    </row>
    <row r="40" spans="1:76" s="52" customFormat="1" ht="18" x14ac:dyDescent="0.2">
      <c r="A40" s="246" t="str">
        <f>Classes!J7</f>
        <v>IFMA_C_31010000</v>
      </c>
      <c r="B40" s="246" t="str">
        <f>Classes!P7</f>
        <v>Geschoss</v>
      </c>
      <c r="C40" s="37"/>
      <c r="D40" s="246" t="s">
        <v>884</v>
      </c>
      <c r="E40" s="41"/>
      <c r="F40" s="51"/>
      <c r="G40" s="246" t="str">
        <f>IF(VLOOKUP($A40,Data_Template!$A$6:$BA$16,COLUMNS($A:A)+6,0)=0,"",VLOOKUP($A40,Data_Template!$A$6:$BA$16,COLUMNS($A:A)+6,0))</f>
        <v>x</v>
      </c>
      <c r="H40" s="246" t="str">
        <f>IF(VLOOKUP($A40,Data_Template!$A$6:$BA$16,COLUMNS($A:B)+6,0)=0,"",VLOOKUP($A40,Data_Template!$A$6:$BA$16,COLUMNS($A:B)+6,0))</f>
        <v>x</v>
      </c>
      <c r="I40" s="246" t="str">
        <f>IF(VLOOKUP($A40,Data_Template!$A$6:$BA$16,COLUMNS($A:C)+6,0)=0,"",VLOOKUP($A40,Data_Template!$A$6:$BA$16,COLUMNS($A:C)+6,0))</f>
        <v/>
      </c>
      <c r="J40" s="246" t="str">
        <f>IF(VLOOKUP($A40,Data_Template!$A$6:$BA$16,COLUMNS($A:D)+6,0)=0,"",VLOOKUP($A40,Data_Template!$A$6:$BA$16,COLUMNS($A:D)+6,0))</f>
        <v/>
      </c>
      <c r="K40" s="246" t="str">
        <f>IF(VLOOKUP($A40,Data_Template!$A$6:$BA$16,COLUMNS($A:E)+6,0)=0,"",VLOOKUP($A40,Data_Template!$A$6:$BA$16,COLUMNS($A:E)+6,0))</f>
        <v/>
      </c>
      <c r="L40" s="246" t="str">
        <f>IF(VLOOKUP($A40,Data_Template!$A$6:$BA$16,COLUMNS($A:F)+6,0)=0,"",VLOOKUP($A40,Data_Template!$A$6:$BA$16,COLUMNS($A:F)+6,0))</f>
        <v/>
      </c>
      <c r="M40" s="246" t="str">
        <f>IF(VLOOKUP($A40,Data_Template!$A$6:$BA$16,COLUMNS($A:G)+6,0)=0,"",VLOOKUP($A40,Data_Template!$A$6:$BA$16,COLUMNS($A:G)+6,0))</f>
        <v/>
      </c>
      <c r="N40" s="246" t="str">
        <f>IF(VLOOKUP($A40,Data_Template!$A$6:$BA$16,COLUMNS($A:H)+6,0)=0,"",VLOOKUP($A40,Data_Template!$A$6:$BA$16,COLUMNS($A:H)+6,0))</f>
        <v/>
      </c>
      <c r="O40" s="246" t="str">
        <f>IF(VLOOKUP($A40,Data_Template!$A$6:$BA$16,COLUMNS($A:I)+6,0)=0,"",VLOOKUP($A40,Data_Template!$A$6:$BA$16,COLUMNS($A:I)+6,0))</f>
        <v/>
      </c>
      <c r="P40" s="246" t="str">
        <f>IF(VLOOKUP($A40,Data_Template!$A$6:$BA$16,COLUMNS($A:J)+6,0)=0,"",VLOOKUP($A40,Data_Template!$A$6:$BA$16,COLUMNS($A:J)+6,0))</f>
        <v/>
      </c>
      <c r="Q40" s="246"/>
      <c r="R40" s="246" t="str">
        <f>IF(VLOOKUP($A40,Data_Template!$A$6:$BA$16,COLUMNS($A:L)+6,0)=0,"",VLOOKUP($A40,Data_Template!$A$6:$BA$16,COLUMNS($A:L)+6,0))</f>
        <v/>
      </c>
      <c r="S40" s="246" t="str">
        <f>IF(VLOOKUP($A40,Data_Template!$A$6:$BA$16,COLUMNS($A:M)+6,0)=0,"",VLOOKUP($A40,Data_Template!$A$6:$BA$16,COLUMNS($A:M)+6,0))</f>
        <v/>
      </c>
      <c r="T40" s="246" t="str">
        <f>IF(VLOOKUP($A40,Data_Template!$A$6:$BA$16,COLUMNS($A:N)+6,0)=0,"",VLOOKUP($A40,Data_Template!$A$6:$BA$16,COLUMNS($A:N)+6,0))</f>
        <v/>
      </c>
      <c r="U40" s="246" t="str">
        <f>IF(VLOOKUP($A40,Data_Template!$A$6:$BA$16,COLUMNS($A:O)+6,0)=0,"",VLOOKUP($A40,Data_Template!$A$6:$BA$16,COLUMNS($A:O)+6,0))</f>
        <v/>
      </c>
      <c r="V40" s="246" t="str">
        <f>IF(VLOOKUP($A40,Data_Template!$A$6:$BA$16,COLUMNS($A:P)+6,0)=0,"",VLOOKUP($A40,Data_Template!$A$6:$BA$16,COLUMNS($A:P)+6,0))</f>
        <v/>
      </c>
      <c r="W40" s="246" t="str">
        <f>IF(VLOOKUP($A40,Data_Template!$A$6:$BA$16,COLUMNS($A:Q)+6,0)=0,"",VLOOKUP($A40,Data_Template!$A$6:$BA$16,COLUMNS($A:Q)+6,0))</f>
        <v/>
      </c>
      <c r="X40" s="246" t="str">
        <f>IF(VLOOKUP($A40,Data_Template!$A$6:$BA$16,COLUMNS($A:R)+6,0)=0,"",VLOOKUP($A40,Data_Template!$A$6:$BA$16,COLUMNS($A:R)+6,0))</f>
        <v/>
      </c>
      <c r="Y40" s="246" t="str">
        <f>IF(VLOOKUP($A40,Data_Template!$A$6:$BA$16,COLUMNS($A:S)+6,0)=0,"",VLOOKUP($A40,Data_Template!$A$6:$BA$16,COLUMNS($A:S)+6,0))</f>
        <v/>
      </c>
      <c r="Z40" s="246" t="str">
        <f>IF(VLOOKUP($A40,Data_Template!$A$6:$BA$16,COLUMNS($A:T)+6,0)=0,"",VLOOKUP($A40,Data_Template!$A$6:$BA$16,COLUMNS($A:T)+6,0))</f>
        <v/>
      </c>
      <c r="AA40" s="246" t="str">
        <f>IF(VLOOKUP($A40,Data_Template!$A$6:$BA$16,COLUMNS($A:U)+6,0)=0,"",VLOOKUP($A40,Data_Template!$A$6:$BA$16,COLUMNS($A:U)+6,0))</f>
        <v/>
      </c>
      <c r="AB40" s="246" t="str">
        <f>IF(VLOOKUP($A40,Data_Template!$A$6:$BA$16,COLUMNS($A:V)+6,0)=0,"",VLOOKUP($A40,Data_Template!$A$6:$BA$16,COLUMNS($A:V)+6,0))</f>
        <v/>
      </c>
      <c r="AC40" s="246" t="str">
        <f>IF(VLOOKUP($A40,Data_Template!$A$6:$BA$16,COLUMNS($A:W)+6,0)=0,"",VLOOKUP($A40,Data_Template!$A$6:$BA$16,COLUMNS($A:W)+6,0))</f>
        <v/>
      </c>
      <c r="AD40" s="246" t="str">
        <f>IF(VLOOKUP($A40,Data_Template!$A$6:$BA$16,COLUMNS($A:X)+6,0)=0,"",VLOOKUP($A40,Data_Template!$A$6:$BA$16,COLUMNS($A:X)+6,0))</f>
        <v/>
      </c>
      <c r="AE40" s="246" t="str">
        <f>IF(VLOOKUP($A40,Data_Template!$A$6:$BA$16,COLUMNS($A:Y)+6,0)=0,"",VLOOKUP($A40,Data_Template!$A$6:$BA$16,COLUMNS($A:Y)+6,0))</f>
        <v/>
      </c>
      <c r="AF40" s="246" t="str">
        <f>IF(VLOOKUP($A40,Data_Template!$A$6:$BA$16,COLUMNS($A:Z)+6,0)=0,"",VLOOKUP($A40,Data_Template!$A$6:$BA$16,COLUMNS($A:Z)+6,0))</f>
        <v/>
      </c>
      <c r="AG40" s="246" t="str">
        <f>IF(VLOOKUP($A40,Data_Template!$A$6:$BA$16,COLUMNS($A:AA)+6,0)=0,"",VLOOKUP($A40,Data_Template!$A$6:$BA$16,COLUMNS($A:AA)+6,0))</f>
        <v/>
      </c>
      <c r="AH40" s="246" t="str">
        <f>IF(VLOOKUP($A40,Data_Template!$A$6:$BA$16,COLUMNS($A:AB)+6,0)=0,"",VLOOKUP($A40,Data_Template!$A$6:$BA$16,COLUMNS($A:AB)+6,0))</f>
        <v/>
      </c>
      <c r="AI40" s="246" t="str">
        <f>IF(VLOOKUP($A40,Data_Template!$A$6:$BA$16,COLUMNS($A:AC)+6,0)=0,"",VLOOKUP($A40,Data_Template!$A$6:$BA$16,COLUMNS($A:AC)+6,0))</f>
        <v/>
      </c>
      <c r="AJ40" s="246" t="str">
        <f>IF(VLOOKUP($A40,Data_Template!$A$6:$BA$16,COLUMNS($A:AD)+6,0)=0,"",VLOOKUP($A40,Data_Template!$A$6:$BA$16,COLUMNS($A:AD)+6,0))</f>
        <v/>
      </c>
      <c r="AK40" s="246" t="str">
        <f>IF(VLOOKUP($A40,Data_Template!$A$6:$BA$16,COLUMNS($A:AE)+6,0)=0,"",VLOOKUP($A40,Data_Template!$A$6:$BA$16,COLUMNS($A:AE)+6,0))</f>
        <v/>
      </c>
      <c r="AL40" s="246" t="str">
        <f>IF(VLOOKUP($A40,Data_Template!$A$6:$BA$16,COLUMNS($A:AF)+6,0)=0,"",VLOOKUP($A40,Data_Template!$A$6:$BA$16,COLUMNS($A:AF)+6,0))</f>
        <v/>
      </c>
      <c r="AM40" s="246" t="str">
        <f>IF(VLOOKUP($A40,Data_Template!$A$6:$BA$16,COLUMNS($A:AG)+6,0)=0,"",VLOOKUP($A40,Data_Template!$A$6:$BA$16,COLUMNS($A:AG)+6,0))</f>
        <v/>
      </c>
      <c r="AN40" s="246" t="str">
        <f>IF(VLOOKUP($A40,Data_Template!$A$6:$BA$16,COLUMNS($A:AH)+6,0)=0,"",VLOOKUP($A40,Data_Template!$A$6:$BA$16,COLUMNS($A:AH)+6,0))</f>
        <v/>
      </c>
      <c r="AO40" s="246" t="str">
        <f>IF(VLOOKUP($A40,Data_Template!$A$6:$BA$16,COLUMNS($A:AI)+6,0)=0,"",VLOOKUP($A40,Data_Template!$A$6:$BA$16,COLUMNS($A:AI)+6,0))</f>
        <v/>
      </c>
      <c r="AP40" s="246" t="str">
        <f>IF(VLOOKUP($A40,Data_Template!$A$6:$BA$16,COLUMNS($A:AJ)+6,0)=0,"",VLOOKUP($A40,Data_Template!$A$6:$BA$16,COLUMNS($A:AJ)+6,0))</f>
        <v/>
      </c>
      <c r="AQ40" s="246" t="str">
        <f>IF(VLOOKUP($A40,Data_Template!$A$6:$BA$16,COLUMNS($A:AK)+6,0)=0,"",VLOOKUP($A40,Data_Template!$A$6:$BA$16,COLUMNS($A:AK)+6,0))</f>
        <v/>
      </c>
      <c r="AR40" s="246" t="str">
        <f>IF(VLOOKUP($A40,Data_Template!$A$6:$BA$16,COLUMNS($A:AL)+6,0)=0,"",VLOOKUP($A40,Data_Template!$A$6:$BA$16,COLUMNS($A:AL)+6,0))</f>
        <v/>
      </c>
      <c r="AS40" s="246" t="str">
        <f>IF(VLOOKUP($A40,Data_Template!$A$6:$BA$16,COLUMNS($A:AM)+6,0)=0,"",VLOOKUP($A40,Data_Template!$A$6:$BA$16,COLUMNS($A:AM)+6,0))</f>
        <v/>
      </c>
      <c r="AT40" s="246" t="str">
        <f>IF(VLOOKUP($A40,Data_Template!$A$6:$BA$16,COLUMNS($A:AN)+6,0)=0,"",VLOOKUP($A40,Data_Template!$A$6:$BA$16,COLUMNS($A:AN)+6,0))</f>
        <v/>
      </c>
      <c r="AU40" s="246" t="str">
        <f>IF(VLOOKUP($A40,Data_Template!$A$6:$BA$16,COLUMNS($A:AO)+6,0)=0,"",VLOOKUP($A40,Data_Template!$A$6:$BA$16,COLUMNS($A:AO)+6,0))</f>
        <v/>
      </c>
      <c r="AV40" s="246" t="str">
        <f>IF(VLOOKUP($A40,Data_Template!$A$6:$BA$16,COLUMNS($A:AP)+6,0)=0,"",VLOOKUP($A40,Data_Template!$A$6:$BA$16,COLUMNS($A:AP)+6,0))</f>
        <v/>
      </c>
      <c r="AW40" s="246" t="str">
        <f>IF(VLOOKUP($A40,Data_Template!$A$6:$BA$16,COLUMNS($A:AQ)+6,0)=0,"",VLOOKUP($A40,Data_Template!$A$6:$BA$16,COLUMNS($A:AQ)+6,0))</f>
        <v/>
      </c>
      <c r="AX40" s="246" t="str">
        <f>IF(VLOOKUP($A40,Data_Template!$A$6:$BA$16,COLUMNS($A:AR)+6,0)=0,"",VLOOKUP($A40,Data_Template!$A$6:$BA$16,COLUMNS($A:AR)+6,0))</f>
        <v/>
      </c>
      <c r="AY40" s="246" t="str">
        <f>IF(VLOOKUP($A40,Data_Template!$A$6:$BA$16,COLUMNS($A:AS)+6,0)=0,"",VLOOKUP($A40,Data_Template!$A$6:$BA$16,COLUMNS($A:AS)+6,0))</f>
        <v/>
      </c>
      <c r="AZ40" s="246" t="str">
        <f>IF(VLOOKUP($A40,Data_Template!$A$6:$BA$16,COLUMNS($A:AT)+6,0)=0,"",VLOOKUP($A40,Data_Template!$A$6:$BA$16,COLUMNS($A:AT)+6,0))</f>
        <v/>
      </c>
      <c r="BA40" s="246" t="str">
        <f>IF(VLOOKUP($A40,Data_Template!$A$6:$BA$16,COLUMNS($A:AU)+6,0)=0,"",VLOOKUP($A40,Data_Template!$A$6:$BA$16,COLUMNS($A:AU)+6,0))</f>
        <v/>
      </c>
      <c r="BB40" s="50"/>
      <c r="BC40" s="246"/>
      <c r="BD40" s="246"/>
      <c r="BE40" s="246"/>
      <c r="BF40" s="246"/>
      <c r="BG40" s="246"/>
      <c r="BH40" s="246"/>
      <c r="BI40" s="246"/>
      <c r="BJ40" s="246"/>
      <c r="BL40" s="246"/>
      <c r="BM40" s="246"/>
      <c r="BN40" s="246"/>
      <c r="BO40" s="246"/>
      <c r="BP40" s="246"/>
      <c r="BQ40" s="246"/>
      <c r="BR40" s="246"/>
      <c r="BS40" s="246"/>
      <c r="BT40" s="246"/>
      <c r="BU40" s="246"/>
      <c r="BV40" s="246"/>
      <c r="BW40" s="246"/>
      <c r="BX40" s="246"/>
    </row>
    <row r="41" spans="1:76" s="51" customFormat="1" ht="14.25" x14ac:dyDescent="0.2">
      <c r="A41" s="246" t="str">
        <f>Classes!J8</f>
        <v>IFMA_C_31010001</v>
      </c>
      <c r="B41" s="246" t="str">
        <f>Classes!P8</f>
        <v>Grundstückfläche</v>
      </c>
      <c r="C41" s="37"/>
      <c r="D41" s="42" t="s">
        <v>884</v>
      </c>
      <c r="E41" s="41"/>
      <c r="G41" s="42" t="str">
        <f>IF(VLOOKUP($A41,Data_Template!$A$6:$BA$16,COLUMNS($A:A)+6,0)=0,"",VLOOKUP($A41,Data_Template!$A$6:$BA$16,COLUMNS($A:A)+6,0))</f>
        <v/>
      </c>
      <c r="H41" s="42" t="str">
        <f>IF(VLOOKUP($A41,Data_Template!$A$6:$BA$16,COLUMNS($A:B)+6,0)=0,"",VLOOKUP($A41,Data_Template!$A$6:$BA$16,COLUMNS($A:B)+6,0))</f>
        <v/>
      </c>
      <c r="I41" s="42"/>
      <c r="J41" s="42" t="str">
        <f>IF(VLOOKUP($A41,Data_Template!$A$6:$BA$16,COLUMNS($A:D)+6,0)=0,"",VLOOKUP($A41,Data_Template!$A$6:$BA$16,COLUMNS($A:D)+6,0))</f>
        <v/>
      </c>
      <c r="K41" s="42" t="str">
        <f>IF(VLOOKUP($A41,Data_Template!$A$6:$BA$16,COLUMNS($A:E)+6,0)=0,"",VLOOKUP($A41,Data_Template!$A$6:$BA$16,COLUMNS($A:E)+6,0))</f>
        <v/>
      </c>
      <c r="L41" s="42" t="str">
        <f>IF(VLOOKUP($A41,Data_Template!$A$6:$BA$16,COLUMNS($A:F)+6,0)=0,"",VLOOKUP($A41,Data_Template!$A$6:$BA$16,COLUMNS($A:F)+6,0))</f>
        <v/>
      </c>
      <c r="M41" s="42" t="str">
        <f>IF(VLOOKUP($A41,Data_Template!$A$6:$BA$16,COLUMNS($A:G)+6,0)=0,"",VLOOKUP($A41,Data_Template!$A$6:$BA$16,COLUMNS($A:G)+6,0))</f>
        <v/>
      </c>
      <c r="N41" s="42" t="str">
        <f>IF(VLOOKUP($A41,Data_Template!$A$6:$BA$16,COLUMNS($A:H)+6,0)=0,"",VLOOKUP($A41,Data_Template!$A$6:$BA$16,COLUMNS($A:H)+6,0))</f>
        <v/>
      </c>
      <c r="O41" s="42" t="str">
        <f>IF(VLOOKUP($A41,Data_Template!$A$6:$BA$16,COLUMNS($A:I)+6,0)=0,"",VLOOKUP($A41,Data_Template!$A$6:$BA$16,COLUMNS($A:I)+6,0))</f>
        <v/>
      </c>
      <c r="P41" s="42" t="str">
        <f>IF(VLOOKUP($A41,Data_Template!$A$6:$BA$16,COLUMNS($A:J)+6,0)=0,"",VLOOKUP($A41,Data_Template!$A$6:$BA$16,COLUMNS($A:J)+6,0))</f>
        <v/>
      </c>
      <c r="Q41" s="42" t="str">
        <f>IF(VLOOKUP($A41,Data_Template!$A$6:$BA$16,COLUMNS($A:K)+6,0)=0,"",VLOOKUP($A41,Data_Template!$A$6:$BA$16,COLUMNS($A:K)+6,0))</f>
        <v/>
      </c>
      <c r="R41" s="42" t="str">
        <f>IF(VLOOKUP($A41,Data_Template!$A$6:$BA$16,COLUMNS($A:L)+6,0)=0,"",VLOOKUP($A41,Data_Template!$A$6:$BA$16,COLUMNS($A:L)+6,0))</f>
        <v/>
      </c>
      <c r="S41" s="42" t="str">
        <f>IF(VLOOKUP($A41,Data_Template!$A$6:$BA$16,COLUMNS($A:M)+6,0)=0,"",VLOOKUP($A41,Data_Template!$A$6:$BA$16,COLUMNS($A:M)+6,0))</f>
        <v/>
      </c>
      <c r="T41" s="42" t="str">
        <f>IF(VLOOKUP($A41,Data_Template!$A$6:$BA$16,COLUMNS($A:N)+6,0)=0,"",VLOOKUP($A41,Data_Template!$A$6:$BA$16,COLUMNS($A:N)+6,0))</f>
        <v/>
      </c>
      <c r="U41" s="42" t="str">
        <f>IF(VLOOKUP($A41,Data_Template!$A$6:$BA$16,COLUMNS($A:O)+6,0)=0,"",VLOOKUP($A41,Data_Template!$A$6:$BA$16,COLUMNS($A:O)+6,0))</f>
        <v/>
      </c>
      <c r="V41" s="42" t="str">
        <f>IF(VLOOKUP($A41,Data_Template!$A$6:$BA$16,COLUMNS($A:P)+6,0)=0,"",VLOOKUP($A41,Data_Template!$A$6:$BA$16,COLUMNS($A:P)+6,0))</f>
        <v/>
      </c>
      <c r="W41" s="42" t="str">
        <f>IF(VLOOKUP($A41,Data_Template!$A$6:$BA$16,COLUMNS($A:Q)+6,0)=0,"",VLOOKUP($A41,Data_Template!$A$6:$BA$16,COLUMNS($A:Q)+6,0))</f>
        <v/>
      </c>
      <c r="X41" s="42" t="str">
        <f>IF(VLOOKUP($A41,Data_Template!$A$6:$BA$16,COLUMNS($A:R)+6,0)=0,"",VLOOKUP($A41,Data_Template!$A$6:$BA$16,COLUMNS($A:R)+6,0))</f>
        <v/>
      </c>
      <c r="Y41" s="42" t="str">
        <f>IF(VLOOKUP($A41,Data_Template!$A$6:$BA$16,COLUMNS($A:S)+6,0)=0,"",VLOOKUP($A41,Data_Template!$A$6:$BA$16,COLUMNS($A:S)+6,0))</f>
        <v/>
      </c>
      <c r="Z41" s="42" t="str">
        <f>IF(VLOOKUP($A41,Data_Template!$A$6:$BA$16,COLUMNS($A:T)+6,0)=0,"",VLOOKUP($A41,Data_Template!$A$6:$BA$16,COLUMNS($A:T)+6,0))</f>
        <v/>
      </c>
      <c r="AA41" s="42" t="str">
        <f>IF(VLOOKUP($A41,Data_Template!$A$6:$BA$16,COLUMNS($A:U)+6,0)=0,"",VLOOKUP($A41,Data_Template!$A$6:$BA$16,COLUMNS($A:U)+6,0))</f>
        <v/>
      </c>
      <c r="AB41" s="42" t="str">
        <f>IF(VLOOKUP($A41,Data_Template!$A$6:$BA$16,COLUMNS($A:V)+6,0)=0,"",VLOOKUP($A41,Data_Template!$A$6:$BA$16,COLUMNS($A:V)+6,0))</f>
        <v/>
      </c>
      <c r="AC41" s="42" t="str">
        <f>IF(VLOOKUP($A41,Data_Template!$A$6:$BA$16,COLUMNS($A:W)+6,0)=0,"",VLOOKUP($A41,Data_Template!$A$6:$BA$16,COLUMNS($A:W)+6,0))</f>
        <v/>
      </c>
      <c r="AD41" s="42" t="str">
        <f>IF(VLOOKUP($A41,Data_Template!$A$6:$BA$16,COLUMNS($A:X)+6,0)=0,"",VLOOKUP($A41,Data_Template!$A$6:$BA$16,COLUMNS($A:X)+6,0))</f>
        <v/>
      </c>
      <c r="AE41" s="42" t="str">
        <f>IF(VLOOKUP($A41,Data_Template!$A$6:$BA$16,COLUMNS($A:Y)+6,0)=0,"",VLOOKUP($A41,Data_Template!$A$6:$BA$16,COLUMNS($A:Y)+6,0))</f>
        <v/>
      </c>
      <c r="AF41" s="42" t="str">
        <f>IF(VLOOKUP($A41,Data_Template!$A$6:$BA$16,COLUMNS($A:Z)+6,0)=0,"",VLOOKUP($A41,Data_Template!$A$6:$BA$16,COLUMNS($A:Z)+6,0))</f>
        <v/>
      </c>
      <c r="AG41" s="42" t="str">
        <f>IF(VLOOKUP($A41,Data_Template!$A$6:$BA$16,COLUMNS($A:AA)+6,0)=0,"",VLOOKUP($A41,Data_Template!$A$6:$BA$16,COLUMNS($A:AA)+6,0))</f>
        <v/>
      </c>
      <c r="AH41" s="42" t="str">
        <f>IF(VLOOKUP($A41,Data_Template!$A$6:$BA$16,COLUMNS($A:AB)+6,0)=0,"",VLOOKUP($A41,Data_Template!$A$6:$BA$16,COLUMNS($A:AB)+6,0))</f>
        <v/>
      </c>
      <c r="AI41" s="42" t="str">
        <f>IF(VLOOKUP($A41,Data_Template!$A$6:$BA$16,COLUMNS($A:AC)+6,0)=0,"",VLOOKUP($A41,Data_Template!$A$6:$BA$16,COLUMNS($A:AC)+6,0))</f>
        <v/>
      </c>
      <c r="AJ41" s="42" t="str">
        <f>IF(VLOOKUP($A41,Data_Template!$A$6:$BA$16,COLUMNS($A:AD)+6,0)=0,"",VLOOKUP($A41,Data_Template!$A$6:$BA$16,COLUMNS($A:AD)+6,0))</f>
        <v/>
      </c>
      <c r="AK41" s="42" t="str">
        <f>IF(VLOOKUP($A41,Data_Template!$A$6:$BA$16,COLUMNS($A:AE)+6,0)=0,"",VLOOKUP($A41,Data_Template!$A$6:$BA$16,COLUMNS($A:AE)+6,0))</f>
        <v/>
      </c>
      <c r="AL41" s="42" t="str">
        <f>IF(VLOOKUP($A41,Data_Template!$A$6:$BA$16,COLUMNS($A:AF)+6,0)=0,"",VLOOKUP($A41,Data_Template!$A$6:$BA$16,COLUMNS($A:AF)+6,0))</f>
        <v/>
      </c>
      <c r="AM41" s="42" t="str">
        <f>IF(VLOOKUP($A41,Data_Template!$A$6:$BA$16,COLUMNS($A:AG)+6,0)=0,"",VLOOKUP($A41,Data_Template!$A$6:$BA$16,COLUMNS($A:AG)+6,0))</f>
        <v/>
      </c>
      <c r="AN41" s="42" t="str">
        <f>IF(VLOOKUP($A41,Data_Template!$A$6:$BA$16,COLUMNS($A:AH)+6,0)=0,"",VLOOKUP($A41,Data_Template!$A$6:$BA$16,COLUMNS($A:AH)+6,0))</f>
        <v/>
      </c>
      <c r="AO41" s="42" t="str">
        <f>IF(VLOOKUP($A41,Data_Template!$A$6:$BA$16,COLUMNS($A:AI)+6,0)=0,"",VLOOKUP($A41,Data_Template!$A$6:$BA$16,COLUMNS($A:AI)+6,0))</f>
        <v/>
      </c>
      <c r="AP41" s="42" t="str">
        <f>IF(VLOOKUP($A41,Data_Template!$A$6:$BA$16,COLUMNS($A:AJ)+6,0)=0,"",VLOOKUP($A41,Data_Template!$A$6:$BA$16,COLUMNS($A:AJ)+6,0))</f>
        <v/>
      </c>
      <c r="AQ41" s="42" t="str">
        <f>IF(VLOOKUP($A41,Data_Template!$A$6:$BA$16,COLUMNS($A:AK)+6,0)=0,"",VLOOKUP($A41,Data_Template!$A$6:$BA$16,COLUMNS($A:AK)+6,0))</f>
        <v/>
      </c>
      <c r="AR41" s="42" t="str">
        <f>IF(VLOOKUP($A41,Data_Template!$A$6:$BA$16,COLUMNS($A:AL)+6,0)=0,"",VLOOKUP($A41,Data_Template!$A$6:$BA$16,COLUMNS($A:AL)+6,0))</f>
        <v/>
      </c>
      <c r="AS41" s="42" t="str">
        <f>IF(VLOOKUP($A41,Data_Template!$A$6:$BA$16,COLUMNS($A:AM)+6,0)=0,"",VLOOKUP($A41,Data_Template!$A$6:$BA$16,COLUMNS($A:AM)+6,0))</f>
        <v/>
      </c>
      <c r="AT41" s="42"/>
      <c r="AU41" s="42" t="str">
        <f>IF(VLOOKUP($A41,Data_Template!$A$6:$BA$16,COLUMNS($A:AO)+6,0)=0,"",VLOOKUP($A41,Data_Template!$A$6:$BA$16,COLUMNS($A:AO)+6,0))</f>
        <v/>
      </c>
      <c r="AV41" s="42" t="str">
        <f>IF(VLOOKUP($A41,Data_Template!$A$6:$BA$16,COLUMNS($A:AP)+6,0)=0,"",VLOOKUP($A41,Data_Template!$A$6:$BA$16,COLUMNS($A:AP)+6,0))</f>
        <v/>
      </c>
      <c r="AW41" s="42" t="str">
        <f>IF(VLOOKUP($A41,Data_Template!$A$6:$BA$16,COLUMNS($A:AQ)+6,0)=0,"",VLOOKUP($A41,Data_Template!$A$6:$BA$16,COLUMNS($A:AQ)+6,0))</f>
        <v/>
      </c>
      <c r="AX41" s="42" t="str">
        <f>IF(VLOOKUP($A41,Data_Template!$A$6:$BA$16,COLUMNS($A:AR)+6,0)=0,"",VLOOKUP($A41,Data_Template!$A$6:$BA$16,COLUMNS($A:AR)+6,0))</f>
        <v/>
      </c>
      <c r="AY41" s="42" t="str">
        <f>IF(VLOOKUP($A41,Data_Template!$A$6:$BA$16,COLUMNS($A:AS)+6,0)=0,"",VLOOKUP($A41,Data_Template!$A$6:$BA$16,COLUMNS($A:AS)+6,0))</f>
        <v/>
      </c>
      <c r="AZ41" s="42" t="str">
        <f>IF(VLOOKUP($A41,Data_Template!$A$6:$BA$16,COLUMNS($A:AT)+6,0)=0,"",VLOOKUP($A41,Data_Template!$A$6:$BA$16,COLUMNS($A:AT)+6,0))</f>
        <v/>
      </c>
      <c r="BA41" s="42" t="str">
        <f>IF(VLOOKUP($A41,Data_Template!$A$6:$BA$16,COLUMNS($A:AU)+6,0)=0,"",VLOOKUP($A41,Data_Template!$A$6:$BA$16,COLUMNS($A:AU)+6,0))</f>
        <v/>
      </c>
      <c r="BB41" s="50"/>
      <c r="BC41" s="42"/>
      <c r="BD41" s="42"/>
      <c r="BE41" s="42"/>
      <c r="BF41" s="42"/>
      <c r="BG41" s="42"/>
      <c r="BH41" s="42"/>
      <c r="BI41" s="42"/>
      <c r="BJ41" s="42"/>
      <c r="BL41" s="42"/>
      <c r="BM41" s="42"/>
      <c r="BN41" s="42"/>
      <c r="BO41" s="42"/>
      <c r="BP41" s="42"/>
      <c r="BQ41" s="42"/>
      <c r="BR41" s="42"/>
      <c r="BS41" s="42"/>
      <c r="BT41" s="42"/>
      <c r="BU41" s="42"/>
      <c r="BV41" s="42"/>
      <c r="BW41" s="42"/>
      <c r="BX41" s="42"/>
    </row>
    <row r="42" spans="1:76" s="51" customFormat="1" ht="51" x14ac:dyDescent="0.2">
      <c r="A42" s="246" t="str">
        <f>Classes!J9</f>
        <v>IFMA_C_31010002</v>
      </c>
      <c r="B42" s="246" t="str">
        <f>Classes!P9</f>
        <v>Umgebungsfläche</v>
      </c>
      <c r="C42" s="37"/>
      <c r="D42" s="42" t="s">
        <v>884</v>
      </c>
      <c r="E42" s="41"/>
      <c r="G42" s="42"/>
      <c r="H42" s="42"/>
      <c r="I42" s="42" t="str">
        <f>IF(VLOOKUP($A42,Data_Template!$A$6:$BA$16,COLUMNS($A:C)+6,0)=0,"",VLOOKUP($A42,Data_Template!$A$6:$BA$16,COLUMNS($A:C)+6,0))</f>
        <v>["1.2_UF", "1.2.1_BUF", "1.2.2_UUF", "1.2_SA", "1.2.1_SAA", "1.2.2_SAN",  "1.2_SLE", "1.2.1_SLES", "1.2.2_SLEN"]</v>
      </c>
      <c r="J42" s="42"/>
      <c r="K42" s="42" t="str">
        <f>IF(VLOOKUP($A42,Data_Template!$A$6:$BA$16,COLUMNS($A:E)+6,0)=0,"",VLOOKUP($A42,Data_Template!$A$6:$BA$16,COLUMNS($A:E)+6,0))</f>
        <v/>
      </c>
      <c r="L42" s="42" t="str">
        <f>IF(VLOOKUP($A42,Data_Template!$A$6:$BA$16,COLUMNS($A:F)+6,0)=0,"",VLOOKUP($A42,Data_Template!$A$6:$BA$16,COLUMNS($A:F)+6,0))</f>
        <v>["NONE", "10.1_aussenliegende Fahrzeugabstellflächen"]</v>
      </c>
      <c r="M42" s="42" t="str">
        <f>IF(VLOOKUP($A42,Data_Template!$A$6:$BA$16,COLUMNS($A:G)+6,0)=0,"",VLOOKUP($A42,Data_Template!$A$6:$BA$16,COLUMNS($A:G)+6,0))</f>
        <v>x</v>
      </c>
      <c r="N42" s="42" t="str">
        <f>IF(VLOOKUP($A42,Data_Template!$A$6:$BA$16,COLUMNS($A:H)+6,0)=0,"",VLOOKUP($A42,Data_Template!$A$6:$BA$16,COLUMNS($A:H)+6,0))</f>
        <v>x</v>
      </c>
      <c r="O42" s="42" t="str">
        <f>IF(VLOOKUP($A42,Data_Template!$A$6:$BA$16,COLUMNS($A:I)+6,0)=0,"",VLOOKUP($A42,Data_Template!$A$6:$BA$16,COLUMNS($A:I)+6,0))</f>
        <v/>
      </c>
      <c r="P42" s="42"/>
      <c r="Q42" s="42" t="str">
        <f>IF(VLOOKUP($A42,Data_Template!$A$6:$BA$16,COLUMNS($A:K)+6,0)=0,"",VLOOKUP($A42,Data_Template!$A$6:$BA$16,COLUMNS($A:K)+6,0))</f>
        <v/>
      </c>
      <c r="R42" s="42" t="str">
        <f>IF(VLOOKUP($A42,Data_Template!$A$6:$BA$16,COLUMNS($A:L)+6,0)=0,"",VLOOKUP($A42,Data_Template!$A$6:$BA$16,COLUMNS($A:L)+6,0))</f>
        <v/>
      </c>
      <c r="S42" s="42" t="str">
        <f>IF(VLOOKUP($A42,Data_Template!$A$6:$BA$16,COLUMNS($A:M)+6,0)=0,"",VLOOKUP($A42,Data_Template!$A$6:$BA$16,COLUMNS($A:M)+6,0))</f>
        <v/>
      </c>
      <c r="T42" s="42" t="str">
        <f>IF(VLOOKUP($A42,Data_Template!$A$6:$BA$16,COLUMNS($A:N)+6,0)=0,"",VLOOKUP($A42,Data_Template!$A$6:$BA$16,COLUMNS($A:N)+6,0))</f>
        <v/>
      </c>
      <c r="U42" s="42" t="str">
        <f>IF(VLOOKUP($A42,Data_Template!$A$6:$BA$16,COLUMNS($A:O)+6,0)=0,"",VLOOKUP($A42,Data_Template!$A$6:$BA$16,COLUMNS($A:O)+6,0))</f>
        <v/>
      </c>
      <c r="V42" s="42" t="str">
        <f>IF(VLOOKUP($A42,Data_Template!$A$6:$BA$16,COLUMNS($A:P)+6,0)=0,"",VLOOKUP($A42,Data_Template!$A$6:$BA$16,COLUMNS($A:P)+6,0))</f>
        <v/>
      </c>
      <c r="W42" s="42" t="str">
        <f>IF(VLOOKUP($A42,Data_Template!$A$6:$BA$16,COLUMNS($A:Q)+6,0)=0,"",VLOOKUP($A42,Data_Template!$A$6:$BA$16,COLUMNS($A:Q)+6,0))</f>
        <v/>
      </c>
      <c r="X42" s="42" t="str">
        <f>IF(VLOOKUP($A42,Data_Template!$A$6:$BA$16,COLUMNS($A:R)+6,0)=0,"",VLOOKUP($A42,Data_Template!$A$6:$BA$16,COLUMNS($A:R)+6,0))</f>
        <v/>
      </c>
      <c r="Y42" s="42"/>
      <c r="Z42" s="42" t="str">
        <f>IF(VLOOKUP($A42,Data_Template!$A$6:$BA$16,COLUMNS($A:T)+6,0)=0,"",VLOOKUP($A42,Data_Template!$A$6:$BA$16,COLUMNS($A:T)+6,0))</f>
        <v/>
      </c>
      <c r="AA42" s="42" t="str">
        <f>IF(VLOOKUP($A42,Data_Template!$A$6:$BA$16,COLUMNS($A:U)+6,0)=0,"",VLOOKUP($A42,Data_Template!$A$6:$BA$16,COLUMNS($A:U)+6,0))</f>
        <v/>
      </c>
      <c r="AB42" s="42" t="str">
        <f>IF(VLOOKUP($A42,Data_Template!$A$6:$BA$16,COLUMNS($A:V)+6,0)=0,"",VLOOKUP($A42,Data_Template!$A$6:$BA$16,COLUMNS($A:V)+6,0))</f>
        <v/>
      </c>
      <c r="AC42" s="42" t="str">
        <f>IF(VLOOKUP($A42,Data_Template!$A$6:$BA$16,COLUMNS($A:W)+6,0)=0,"",VLOOKUP($A42,Data_Template!$A$6:$BA$16,COLUMNS($A:W)+6,0))</f>
        <v/>
      </c>
      <c r="AD42" s="42" t="str">
        <f>IF(VLOOKUP($A42,Data_Template!$A$6:$BA$16,COLUMNS($A:X)+6,0)=0,"",VLOOKUP($A42,Data_Template!$A$6:$BA$16,COLUMNS($A:X)+6,0))</f>
        <v>["true"]</v>
      </c>
      <c r="AE42" s="42"/>
      <c r="AF42" s="42" t="str">
        <f>IF(VLOOKUP($A42,Data_Template!$A$6:$BA$16,COLUMNS($A:Z)+6,0)=0,"",VLOOKUP($A42,Data_Template!$A$6:$BA$16,COLUMNS($A:Z)+6,0))</f>
        <v/>
      </c>
      <c r="AG42" s="42" t="str">
        <f>IF(VLOOKUP($A42,Data_Template!$A$6:$BA$16,COLUMNS($A:AA)+6,0)=0,"",VLOOKUP($A42,Data_Template!$A$6:$BA$16,COLUMNS($A:AA)+6,0))</f>
        <v/>
      </c>
      <c r="AH42" s="42" t="str">
        <f>IF(VLOOKUP($A42,Data_Template!$A$6:$BA$16,COLUMNS($A:AB)+6,0)=0,"",VLOOKUP($A42,Data_Template!$A$6:$BA$16,COLUMNS($A:AB)+6,0))</f>
        <v/>
      </c>
      <c r="AI42" s="42"/>
      <c r="AJ42" s="42" t="str">
        <f>IF(VLOOKUP($A42,Data_Template!$A$6:$BA$16,COLUMNS($A:AD)+6,0)=0,"",VLOOKUP($A42,Data_Template!$A$6:$BA$16,COLUMNS($A:AD)+6,0))</f>
        <v/>
      </c>
      <c r="AK42" s="42" t="str">
        <f>IF(VLOOKUP($A42,Data_Template!$A$6:$BA$16,COLUMNS($A:AE)+6,0)=0,"",VLOOKUP($A42,Data_Template!$A$6:$BA$16,COLUMNS($A:AE)+6,0))</f>
        <v/>
      </c>
      <c r="AL42" s="42" t="str">
        <f>IF(VLOOKUP($A42,Data_Template!$A$6:$BA$16,COLUMNS($A:AF)+6,0)=0,"",VLOOKUP($A42,Data_Template!$A$6:$BA$16,COLUMNS($A:AF)+6,0))</f>
        <v/>
      </c>
      <c r="AM42" s="42" t="str">
        <f>IF(VLOOKUP($A42,Data_Template!$A$6:$BA$16,COLUMNS($A:AG)+6,0)=0,"",VLOOKUP($A42,Data_Template!$A$6:$BA$16,COLUMNS($A:AG)+6,0))</f>
        <v/>
      </c>
      <c r="AN42" s="42" t="str">
        <f>IF(VLOOKUP($A42,Data_Template!$A$6:$BA$16,COLUMNS($A:AH)+6,0)=0,"",VLOOKUP($A42,Data_Template!$A$6:$BA$16,COLUMNS($A:AH)+6,0))</f>
        <v/>
      </c>
      <c r="AO42" s="42" t="str">
        <f>IF(VLOOKUP($A42,Data_Template!$A$6:$BA$16,COLUMNS($A:AI)+6,0)=0,"",VLOOKUP($A42,Data_Template!$A$6:$BA$16,COLUMNS($A:AI)+6,0))</f>
        <v/>
      </c>
      <c r="AP42" s="42" t="str">
        <f>IF(VLOOKUP($A42,Data_Template!$A$6:$BA$16,COLUMNS($A:AJ)+6,0)=0,"",VLOOKUP($A42,Data_Template!$A$6:$BA$16,COLUMNS($A:AJ)+6,0))</f>
        <v/>
      </c>
      <c r="AQ42" s="42" t="str">
        <f>IF(VLOOKUP($A42,Data_Template!$A$6:$BA$16,COLUMNS($A:AK)+6,0)=0,"",VLOOKUP($A42,Data_Template!$A$6:$BA$16,COLUMNS($A:AK)+6,0))</f>
        <v/>
      </c>
      <c r="AR42" s="42" t="str">
        <f>IF(VLOOKUP($A42,Data_Template!$A$6:$BA$16,COLUMNS($A:AL)+6,0)=0,"",VLOOKUP($A42,Data_Template!$A$6:$BA$16,COLUMNS($A:AL)+6,0))</f>
        <v/>
      </c>
      <c r="AS42" s="42" t="str">
        <f>IF(VLOOKUP($A42,Data_Template!$A$6:$BA$16,COLUMNS($A:AM)+6,0)=0,"",VLOOKUP($A42,Data_Template!$A$6:$BA$16,COLUMNS($A:AM)+6,0))</f>
        <v/>
      </c>
      <c r="AT42" s="42" t="str">
        <f>IF(VLOOKUP($A42,Data_Template!$A$6:$BA$16,COLUMNS($A:AN)+6,0)=0,"",VLOOKUP($A42,Data_Template!$A$6:$BA$16,COLUMNS($A:AN)+6,0))</f>
        <v>x</v>
      </c>
      <c r="AU42" s="42" t="str">
        <f>IF(VLOOKUP($A42,Data_Template!$A$6:$BA$16,COLUMNS($A:AO)+6,0)=0,"",VLOOKUP($A42,Data_Template!$A$6:$BA$16,COLUMNS($A:AO)+6,0))</f>
        <v/>
      </c>
      <c r="AV42" s="42" t="str">
        <f>IF(VLOOKUP($A42,Data_Template!$A$6:$BA$16,COLUMNS($A:AP)+6,0)=0,"",VLOOKUP($A42,Data_Template!$A$6:$BA$16,COLUMNS($A:AP)+6,0))</f>
        <v/>
      </c>
      <c r="AW42" s="42" t="str">
        <f>IF(VLOOKUP($A42,Data_Template!$A$6:$BA$16,COLUMNS($A:AQ)+6,0)=0,"",VLOOKUP($A42,Data_Template!$A$6:$BA$16,COLUMNS($A:AQ)+6,0))</f>
        <v/>
      </c>
      <c r="AX42" s="42" t="str">
        <f>IF(VLOOKUP($A42,Data_Template!$A$6:$BA$16,COLUMNS($A:AR)+6,0)=0,"",VLOOKUP($A42,Data_Template!$A$6:$BA$16,COLUMNS($A:AR)+6,0))</f>
        <v/>
      </c>
      <c r="AY42" s="42" t="str">
        <f>IF(VLOOKUP($A42,Data_Template!$A$6:$BA$16,COLUMNS($A:AS)+6,0)=0,"",VLOOKUP($A42,Data_Template!$A$6:$BA$16,COLUMNS($A:AS)+6,0))</f>
        <v/>
      </c>
      <c r="AZ42" s="42" t="str">
        <f>IF(VLOOKUP($A42,Data_Template!$A$6:$BA$16,COLUMNS($A:AT)+6,0)=0,"",VLOOKUP($A42,Data_Template!$A$6:$BA$16,COLUMNS($A:AT)+6,0))</f>
        <v/>
      </c>
      <c r="BA42" s="42"/>
      <c r="BB42" s="50"/>
      <c r="BC42" s="42"/>
      <c r="BD42" s="42"/>
      <c r="BE42" s="42"/>
      <c r="BF42" s="42"/>
      <c r="BG42" s="42"/>
      <c r="BH42" s="42"/>
      <c r="BI42" s="42"/>
      <c r="BJ42" s="42"/>
      <c r="BL42" s="42"/>
      <c r="BM42" s="42"/>
      <c r="BN42" s="42"/>
      <c r="BO42" s="42"/>
      <c r="BP42" s="42"/>
      <c r="BQ42" s="42"/>
      <c r="BR42" s="42"/>
      <c r="BS42" s="42"/>
      <c r="BT42" s="42"/>
      <c r="BU42" s="42"/>
      <c r="BV42" s="42"/>
      <c r="BW42" s="42"/>
      <c r="BX42" s="42"/>
    </row>
    <row r="43" spans="1:76" s="51" customFormat="1" ht="14.25" x14ac:dyDescent="0.2">
      <c r="A43" s="246" t="str">
        <f>Classes!J10</f>
        <v>IFMA_C_31010003</v>
      </c>
      <c r="B43" s="246" t="str">
        <f>Classes!P10</f>
        <v>Geschossvolumen</v>
      </c>
      <c r="C43" s="37"/>
      <c r="D43" s="42" t="s">
        <v>884</v>
      </c>
      <c r="E43" s="41"/>
      <c r="G43" s="42" t="str">
        <f>IF(VLOOKUP($A43,Data_Template!$A$6:$BA$16,COLUMNS($A:A)+6,0)=0,"",VLOOKUP($A43,Data_Template!$A$6:$BA$16,COLUMNS($A:A)+6,0))</f>
        <v/>
      </c>
      <c r="H43" s="42" t="str">
        <f>IF(VLOOKUP($A43,Data_Template!$A$6:$BA$16,COLUMNS($A:B)+6,0)=0,"",VLOOKUP($A43,Data_Template!$A$6:$BA$16,COLUMNS($A:B)+6,0))</f>
        <v/>
      </c>
      <c r="I43" s="42"/>
      <c r="J43" s="42" t="str">
        <f>IF(VLOOKUP($A43,Data_Template!$A$6:$BA$16,COLUMNS($A:D)+6,0)=0,"",VLOOKUP($A43,Data_Template!$A$6:$BA$16,COLUMNS($A:D)+6,0))</f>
        <v/>
      </c>
      <c r="K43" s="42" t="str">
        <f>IF(VLOOKUP($A43,Data_Template!$A$6:$BA$16,COLUMNS($A:E)+6,0)=0,"",VLOOKUP($A43,Data_Template!$A$6:$BA$16,COLUMNS($A:E)+6,0))</f>
        <v/>
      </c>
      <c r="L43" s="42" t="str">
        <f>IF(VLOOKUP($A43,Data_Template!$A$6:$BA$16,COLUMNS($A:F)+6,0)=0,"",VLOOKUP($A43,Data_Template!$A$6:$BA$16,COLUMNS($A:F)+6,0))</f>
        <v/>
      </c>
      <c r="M43" s="42"/>
      <c r="N43" s="42" t="str">
        <f>IF(VLOOKUP($A43,Data_Template!$A$6:$BA$16,COLUMNS($A:H)+6,0)=0,"",VLOOKUP($A43,Data_Template!$A$6:$BA$16,COLUMNS($A:H)+6,0))</f>
        <v/>
      </c>
      <c r="O43" s="42" t="str">
        <f>IF(VLOOKUP($A43,Data_Template!$A$6:$BA$16,COLUMNS($A:I)+6,0)=0,"",VLOOKUP($A43,Data_Template!$A$6:$BA$16,COLUMNS($A:I)+6,0))</f>
        <v/>
      </c>
      <c r="P43" s="42" t="str">
        <f>IF(VLOOKUP($A43,Data_Template!$A$6:$BA$16,COLUMNS($A:J)+6,0)=0,"",VLOOKUP($A43,Data_Template!$A$6:$BA$16,COLUMNS($A:J)+6,0))</f>
        <v/>
      </c>
      <c r="Q43" s="42" t="str">
        <f>IF(VLOOKUP($A43,Data_Template!$A$6:$BA$16,COLUMNS($A:K)+6,0)=0,"",VLOOKUP($A43,Data_Template!$A$6:$BA$16,COLUMNS($A:K)+6,0))</f>
        <v/>
      </c>
      <c r="R43" s="42" t="str">
        <f>IF(VLOOKUP($A43,Data_Template!$A$6:$BA$16,COLUMNS($A:L)+6,0)=0,"",VLOOKUP($A43,Data_Template!$A$6:$BA$16,COLUMNS($A:L)+6,0))</f>
        <v/>
      </c>
      <c r="S43" s="42" t="str">
        <f>IF(VLOOKUP($A43,Data_Template!$A$6:$BA$16,COLUMNS($A:M)+6,0)=0,"",VLOOKUP($A43,Data_Template!$A$6:$BA$16,COLUMNS($A:M)+6,0))</f>
        <v/>
      </c>
      <c r="T43" s="42" t="str">
        <f>IF(VLOOKUP($A43,Data_Template!$A$6:$BA$16,COLUMNS($A:N)+6,0)=0,"",VLOOKUP($A43,Data_Template!$A$6:$BA$16,COLUMNS($A:N)+6,0))</f>
        <v/>
      </c>
      <c r="U43" s="42" t="str">
        <f>IF(VLOOKUP($A43,Data_Template!$A$6:$BA$16,COLUMNS($A:O)+6,0)=0,"",VLOOKUP($A43,Data_Template!$A$6:$BA$16,COLUMNS($A:O)+6,0))</f>
        <v/>
      </c>
      <c r="V43" s="42" t="str">
        <f>IF(VLOOKUP($A43,Data_Template!$A$6:$BA$16,COLUMNS($A:P)+6,0)=0,"",VLOOKUP($A43,Data_Template!$A$6:$BA$16,COLUMNS($A:P)+6,0))</f>
        <v/>
      </c>
      <c r="W43" s="42" t="str">
        <f>IF(VLOOKUP($A43,Data_Template!$A$6:$BA$16,COLUMNS($A:Q)+6,0)=0,"",VLOOKUP($A43,Data_Template!$A$6:$BA$16,COLUMNS($A:Q)+6,0))</f>
        <v/>
      </c>
      <c r="X43" s="42" t="str">
        <f>IF(VLOOKUP($A43,Data_Template!$A$6:$BA$16,COLUMNS($A:R)+6,0)=0,"",VLOOKUP($A43,Data_Template!$A$6:$BA$16,COLUMNS($A:R)+6,0))</f>
        <v/>
      </c>
      <c r="Y43" s="42"/>
      <c r="Z43" s="42" t="str">
        <f>IF(VLOOKUP($A43,Data_Template!$A$6:$BA$16,COLUMNS($A:T)+6,0)=0,"",VLOOKUP($A43,Data_Template!$A$6:$BA$16,COLUMNS($A:T)+6,0))</f>
        <v/>
      </c>
      <c r="AA43" s="42" t="str">
        <f>IF(VLOOKUP($A43,Data_Template!$A$6:$BA$16,COLUMNS($A:U)+6,0)=0,"",VLOOKUP($A43,Data_Template!$A$6:$BA$16,COLUMNS($A:U)+6,0))</f>
        <v/>
      </c>
      <c r="AB43" s="42" t="str">
        <f>IF(VLOOKUP($A43,Data_Template!$A$6:$BA$16,COLUMNS($A:V)+6,0)=0,"",VLOOKUP($A43,Data_Template!$A$6:$BA$16,COLUMNS($A:V)+6,0))</f>
        <v/>
      </c>
      <c r="AC43" s="42" t="str">
        <f>IF(VLOOKUP($A43,Data_Template!$A$6:$BA$16,COLUMNS($A:W)+6,0)=0,"",VLOOKUP($A43,Data_Template!$A$6:$BA$16,COLUMNS($A:W)+6,0))</f>
        <v/>
      </c>
      <c r="AD43" s="42"/>
      <c r="AE43" s="42" t="str">
        <f>IF(VLOOKUP($A43,Data_Template!$A$6:$BA$16,COLUMNS($A:Y)+6,0)=0,"",VLOOKUP($A43,Data_Template!$A$6:$BA$16,COLUMNS($A:Y)+6,0))</f>
        <v/>
      </c>
      <c r="AF43" s="42" t="str">
        <f>IF(VLOOKUP($A43,Data_Template!$A$6:$BA$16,COLUMNS($A:Z)+6,0)=0,"",VLOOKUP($A43,Data_Template!$A$6:$BA$16,COLUMNS($A:Z)+6,0))</f>
        <v/>
      </c>
      <c r="AG43" s="42" t="str">
        <f>IF(VLOOKUP($A43,Data_Template!$A$6:$BA$16,COLUMNS($A:AA)+6,0)=0,"",VLOOKUP($A43,Data_Template!$A$6:$BA$16,COLUMNS($A:AA)+6,0))</f>
        <v/>
      </c>
      <c r="AH43" s="42" t="str">
        <f>IF(VLOOKUP($A43,Data_Template!$A$6:$BA$16,COLUMNS($A:AB)+6,0)=0,"",VLOOKUP($A43,Data_Template!$A$6:$BA$16,COLUMNS($A:AB)+6,0))</f>
        <v/>
      </c>
      <c r="AI43" s="42" t="str">
        <f>IF(VLOOKUP($A43,Data_Template!$A$6:$BA$16,COLUMNS($A:AC)+6,0)=0,"",VLOOKUP($A43,Data_Template!$A$6:$BA$16,COLUMNS($A:AC)+6,0))</f>
        <v/>
      </c>
      <c r="AJ43" s="42" t="str">
        <f>IF(VLOOKUP($A43,Data_Template!$A$6:$BA$16,COLUMNS($A:AD)+6,0)=0,"",VLOOKUP($A43,Data_Template!$A$6:$BA$16,COLUMNS($A:AD)+6,0))</f>
        <v/>
      </c>
      <c r="AK43" s="42" t="str">
        <f>IF(VLOOKUP($A43,Data_Template!$A$6:$BA$16,COLUMNS($A:AE)+6,0)=0,"",VLOOKUP($A43,Data_Template!$A$6:$BA$16,COLUMNS($A:AE)+6,0))</f>
        <v/>
      </c>
      <c r="AL43" s="42" t="str">
        <f>IF(VLOOKUP($A43,Data_Template!$A$6:$BA$16,COLUMNS($A:AF)+6,0)=0,"",VLOOKUP($A43,Data_Template!$A$6:$BA$16,COLUMNS($A:AF)+6,0))</f>
        <v/>
      </c>
      <c r="AM43" s="42" t="str">
        <f>IF(VLOOKUP($A43,Data_Template!$A$6:$BA$16,COLUMNS($A:AG)+6,0)=0,"",VLOOKUP($A43,Data_Template!$A$6:$BA$16,COLUMNS($A:AG)+6,0))</f>
        <v/>
      </c>
      <c r="AN43" s="42" t="str">
        <f>IF(VLOOKUP($A43,Data_Template!$A$6:$BA$16,COLUMNS($A:AH)+6,0)=0,"",VLOOKUP($A43,Data_Template!$A$6:$BA$16,COLUMNS($A:AH)+6,0))</f>
        <v/>
      </c>
      <c r="AO43" s="42" t="str">
        <f>IF(VLOOKUP($A43,Data_Template!$A$6:$BA$16,COLUMNS($A:AI)+6,0)=0,"",VLOOKUP($A43,Data_Template!$A$6:$BA$16,COLUMNS($A:AI)+6,0))</f>
        <v/>
      </c>
      <c r="AP43" s="42" t="str">
        <f>IF(VLOOKUP($A43,Data_Template!$A$6:$BA$16,COLUMNS($A:AJ)+6,0)=0,"",VLOOKUP($A43,Data_Template!$A$6:$BA$16,COLUMNS($A:AJ)+6,0))</f>
        <v/>
      </c>
      <c r="AQ43" s="42" t="str">
        <f>IF(VLOOKUP($A43,Data_Template!$A$6:$BA$16,COLUMNS($A:AK)+6,0)=0,"",VLOOKUP($A43,Data_Template!$A$6:$BA$16,COLUMNS($A:AK)+6,0))</f>
        <v/>
      </c>
      <c r="AR43" s="42" t="str">
        <f>IF(VLOOKUP($A43,Data_Template!$A$6:$BA$16,COLUMNS($A:AL)+6,0)=0,"",VLOOKUP($A43,Data_Template!$A$6:$BA$16,COLUMNS($A:AL)+6,0))</f>
        <v/>
      </c>
      <c r="AS43" s="42" t="str">
        <f>IF(VLOOKUP($A43,Data_Template!$A$6:$BA$16,COLUMNS($A:AM)+6,0)=0,"",VLOOKUP($A43,Data_Template!$A$6:$BA$16,COLUMNS($A:AM)+6,0))</f>
        <v/>
      </c>
      <c r="AT43" s="42"/>
      <c r="AU43" s="42"/>
      <c r="AV43" s="42" t="str">
        <f>IF(VLOOKUP($A43,Data_Template!$A$6:$BA$16,COLUMNS($A:AP)+6,0)=0,"",VLOOKUP($A43,Data_Template!$A$6:$BA$16,COLUMNS($A:AP)+6,0))</f>
        <v/>
      </c>
      <c r="AW43" s="42" t="str">
        <f>IF(VLOOKUP($A43,Data_Template!$A$6:$BA$16,COLUMNS($A:AQ)+6,0)=0,"",VLOOKUP($A43,Data_Template!$A$6:$BA$16,COLUMNS($A:AQ)+6,0))</f>
        <v/>
      </c>
      <c r="AX43" s="42" t="str">
        <f>IF(VLOOKUP($A43,Data_Template!$A$6:$BA$16,COLUMNS($A:AR)+6,0)=0,"",VLOOKUP($A43,Data_Template!$A$6:$BA$16,COLUMNS($A:AR)+6,0))</f>
        <v/>
      </c>
      <c r="AY43" s="42"/>
      <c r="AZ43" s="42"/>
      <c r="BA43" s="42"/>
      <c r="BB43" s="50"/>
      <c r="BC43" s="42"/>
      <c r="BD43" s="42"/>
      <c r="BE43" s="42"/>
      <c r="BF43" s="42"/>
      <c r="BG43" s="42"/>
      <c r="BH43" s="42"/>
      <c r="BI43" s="42"/>
      <c r="BJ43" s="42"/>
      <c r="BL43" s="42"/>
      <c r="BM43" s="42"/>
      <c r="BN43" s="42"/>
      <c r="BO43" s="42"/>
      <c r="BP43" s="42"/>
      <c r="BQ43" s="42"/>
      <c r="BR43" s="42"/>
      <c r="BS43" s="42"/>
      <c r="BT43" s="42"/>
      <c r="BU43" s="42"/>
      <c r="BV43" s="42"/>
      <c r="BW43" s="42"/>
      <c r="BX43" s="42"/>
    </row>
    <row r="44" spans="1:76" s="51" customFormat="1" ht="76.5" x14ac:dyDescent="0.2">
      <c r="A44" s="246" t="str">
        <f>Classes!J11</f>
        <v>IFMA_C_31010004</v>
      </c>
      <c r="B44" s="246" t="str">
        <f>Classes!P11</f>
        <v>Innenraum</v>
      </c>
      <c r="C44" s="37"/>
      <c r="D44" s="42" t="s">
        <v>884</v>
      </c>
      <c r="E44" s="41"/>
      <c r="G44" s="246" t="str">
        <f>IF(VLOOKUP($A44,Data_Template!$A$6:$BA$16,COLUMNS($A:A)+6,0)=0,"",VLOOKUP($A44,Data_Template!$A$6:$BA$16,COLUMNS($A:A)+6,0))</f>
        <v>x</v>
      </c>
      <c r="H44" s="42" t="str">
        <f>IF(VLOOKUP($A44,Data_Template!$A$6:$BA$16,COLUMNS($A:B)+6,0)=0,"",VLOOKUP($A44,Data_Template!$A$6:$BA$16,COLUMNS($A:B)+6,0))</f>
        <v>x</v>
      </c>
      <c r="I44" s="42" t="str">
        <f>IF(VLOOKUP($A44,Data_Template!$A$6:$BA$16,COLUMNS($A:C)+6,0)=0,"",VLOOKUP($A44,Data_Template!$A$6:$BA$16,COLUMNS($A:C)+6,0))</f>
        <v>["2.1.1_NF", "2.1.1.1_HNF", "2.1.1.2_NNF", "2.1.2_VF", "2.1.3_FF", "2.1.1_SU", "2.1.1.1_SUP", "2.1.1.2_SUS", "2.1.2_SD", "2.1.3_SI", "2.1.1_SU", "2.1.1.1_SUP", "2.1.1.2_SUS", "2.1.2_SCIR", "2.1.3_SI"]</v>
      </c>
      <c r="J44" s="42"/>
      <c r="K44" s="42"/>
      <c r="L44" s="42" t="str">
        <f>IF(VLOOKUP($A44,Data_Template!$A$6:$BA$16,COLUMNS($A:F)+6,0)=0,"",VLOOKUP($A44,Data_Template!$A$6:$BA$16,COLUMNS($A:F)+6,0))</f>
        <v>x</v>
      </c>
      <c r="M44" s="42" t="str">
        <f>IF(VLOOKUP($A44,Data_Template!$A$6:$BA$16,COLUMNS($A:G)+6,0)=0,"",VLOOKUP($A44,Data_Template!$A$6:$BA$16,COLUMNS($A:G)+6,0))</f>
        <v>x</v>
      </c>
      <c r="N44" s="42" t="str">
        <f>IF(VLOOKUP($A44,Data_Template!$A$6:$BA$16,COLUMNS($A:H)+6,0)=0,"",VLOOKUP($A44,Data_Template!$A$6:$BA$16,COLUMNS($A:H)+6,0))</f>
        <v>x</v>
      </c>
      <c r="O44" s="42" t="str">
        <f>IF(VLOOKUP($A44,Data_Template!$A$6:$BA$16,COLUMNS($A:I)+6,0)=0,"",VLOOKUP($A44,Data_Template!$A$6:$BA$16,COLUMNS($A:I)+6,0))</f>
        <v/>
      </c>
      <c r="P44" s="42"/>
      <c r="Q44" s="42"/>
      <c r="R44" s="42"/>
      <c r="S44" s="42" t="str">
        <f>IF(VLOOKUP($A44,Data_Template!$A$6:$BA$16,COLUMNS($A:M)+6,0)=0,"",VLOOKUP($A44,Data_Template!$A$6:$BA$16,COLUMNS($A:M)+6,0))</f>
        <v>x</v>
      </c>
      <c r="T44" s="42" t="str">
        <f>IF(VLOOKUP($A44,Data_Template!$A$6:$BA$16,COLUMNS($A:N)+6,0)=0,"",VLOOKUP($A44,Data_Template!$A$6:$BA$16,COLUMNS($A:N)+6,0))</f>
        <v>x</v>
      </c>
      <c r="U44" s="42" t="str">
        <f>IF(VLOOKUP($A44,Data_Template!$A$6:$BA$16,COLUMNS($A:O)+6,0)=0,"",VLOOKUP($A44,Data_Template!$A$6:$BA$16,COLUMNS($A:O)+6,0))</f>
        <v>x</v>
      </c>
      <c r="V44" s="42" t="str">
        <f>IF(VLOOKUP($A44,Data_Template!$A$6:$BA$16,COLUMNS($A:P)+6,0)=0,"",VLOOKUP($A44,Data_Template!$A$6:$BA$16,COLUMNS($A:P)+6,0))</f>
        <v>x</v>
      </c>
      <c r="W44" s="42" t="str">
        <f>IF(VLOOKUP($A44,Data_Template!$A$6:$BA$16,COLUMNS($A:Q)+6,0)=0,"",VLOOKUP($A44,Data_Template!$A$6:$BA$16,COLUMNS($A:Q)+6,0))</f>
        <v>x</v>
      </c>
      <c r="X44" s="42" t="str">
        <f>IF(VLOOKUP($A44,Data_Template!$A$6:$BA$16,COLUMNS($A:R)+6,0)=0,"",VLOOKUP($A44,Data_Template!$A$6:$BA$16,COLUMNS($A:R)+6,0))</f>
        <v>x</v>
      </c>
      <c r="Y44" s="42"/>
      <c r="Z44" s="42" t="str">
        <f>IF(VLOOKUP($A44,Data_Template!$A$6:$BA$16,COLUMNS($A:T)+6,0)=0,"",VLOOKUP($A44,Data_Template!$A$6:$BA$16,COLUMNS($A:T)+6,0))</f>
        <v>x</v>
      </c>
      <c r="AA44" s="42" t="str">
        <f>IF(VLOOKUP($A44,Data_Template!$A$6:$BA$16,COLUMNS($A:U)+6,0)=0,"",VLOOKUP($A44,Data_Template!$A$6:$BA$16,COLUMNS($A:U)+6,0))</f>
        <v>x</v>
      </c>
      <c r="AB44" s="42" t="str">
        <f>IF(VLOOKUP($A44,Data_Template!$A$6:$BA$16,COLUMNS($A:V)+6,0)=0,"",VLOOKUP($A44,Data_Template!$A$6:$BA$16,COLUMNS($A:V)+6,0))</f>
        <v>x</v>
      </c>
      <c r="AC44" s="42"/>
      <c r="AD44" s="42" t="str">
        <f>IF(VLOOKUP($A44,Data_Template!$A$6:$BA$16,COLUMNS($A:X)+6,0)=0,"",VLOOKUP($A44,Data_Template!$A$6:$BA$16,COLUMNS($A:X)+6,0))</f>
        <v>["false"]</v>
      </c>
      <c r="AE44" s="42"/>
      <c r="AF44" s="42" t="str">
        <f>IF(VLOOKUP($A44,Data_Template!$A$6:$BA$16,COLUMNS($A:Z)+6,0)=0,"",VLOOKUP($A44,Data_Template!$A$6:$BA$16,COLUMNS($A:Z)+6,0))</f>
        <v>x</v>
      </c>
      <c r="AG44" s="42" t="str">
        <f>IF(VLOOKUP($A44,Data_Template!$A$6:$BA$16,COLUMNS($A:AA)+6,0)=0,"",VLOOKUP($A44,Data_Template!$A$6:$BA$16,COLUMNS($A:AA)+6,0))</f>
        <v>x</v>
      </c>
      <c r="AH44" s="42"/>
      <c r="AI44" s="42" t="str">
        <f>IF(VLOOKUP($A44,Data_Template!$A$6:$BA$16,COLUMNS($A:AC)+6,0)=0,"",VLOOKUP($A44,Data_Template!$A$6:$BA$16,COLUMNS($A:AC)+6,0))</f>
        <v>x</v>
      </c>
      <c r="AJ44" s="42" t="str">
        <f>IF(VLOOKUP($A44,Data_Template!$A$6:$BA$16,COLUMNS($A:AD)+6,0)=0,"",VLOOKUP($A44,Data_Template!$A$6:$BA$16,COLUMNS($A:AD)+6,0))</f>
        <v>x</v>
      </c>
      <c r="AK44" s="42" t="str">
        <f>IF(VLOOKUP($A44,Data_Template!$A$6:$BA$16,COLUMNS($A:AE)+6,0)=0,"",VLOOKUP($A44,Data_Template!$A$6:$BA$16,COLUMNS($A:AE)+6,0))</f>
        <v>x</v>
      </c>
      <c r="AL44" s="42" t="str">
        <f>IF(VLOOKUP($A44,Data_Template!$A$6:$BA$16,COLUMNS($A:AF)+6,0)=0,"",VLOOKUP($A44,Data_Template!$A$6:$BA$16,COLUMNS($A:AF)+6,0))</f>
        <v>x</v>
      </c>
      <c r="AM44" s="42" t="str">
        <f>IF(VLOOKUP($A44,Data_Template!$A$6:$BA$16,COLUMNS($A:AG)+6,0)=0,"",VLOOKUP($A44,Data_Template!$A$6:$BA$16,COLUMNS($A:AG)+6,0))</f>
        <v>x</v>
      </c>
      <c r="AN44" s="42" t="str">
        <f>IF(VLOOKUP($A44,Data_Template!$A$6:$BA$16,COLUMNS($A:AH)+6,0)=0,"",VLOOKUP($A44,Data_Template!$A$6:$BA$16,COLUMNS($A:AH)+6,0))</f>
        <v>x</v>
      </c>
      <c r="AO44" s="42" t="str">
        <f>IF(VLOOKUP($A44,Data_Template!$A$6:$BA$16,COLUMNS($A:AI)+6,0)=0,"",VLOOKUP($A44,Data_Template!$A$6:$BA$16,COLUMNS($A:AI)+6,0))</f>
        <v>x</v>
      </c>
      <c r="AP44" s="42" t="str">
        <f>IF(VLOOKUP($A44,Data_Template!$A$6:$BA$16,COLUMNS($A:AJ)+6,0)=0,"",VLOOKUP($A44,Data_Template!$A$6:$BA$16,COLUMNS($A:AJ)+6,0))</f>
        <v>x</v>
      </c>
      <c r="AQ44" s="42" t="str">
        <f>IF(VLOOKUP($A44,Data_Template!$A$6:$BA$16,COLUMNS($A:AK)+6,0)=0,"",VLOOKUP($A44,Data_Template!$A$6:$BA$16,COLUMNS($A:AK)+6,0))</f>
        <v>x</v>
      </c>
      <c r="AR44" s="42" t="str">
        <f>IF(VLOOKUP($A44,Data_Template!$A$6:$BA$16,COLUMNS($A:AL)+6,0)=0,"",VLOOKUP($A44,Data_Template!$A$6:$BA$16,COLUMNS($A:AL)+6,0))</f>
        <v>x</v>
      </c>
      <c r="AS44" s="42"/>
      <c r="AT44" s="42" t="str">
        <f>IF(VLOOKUP($A44,Data_Template!$A$6:$BA$16,COLUMNS($A:AN)+6,0)=0,"",VLOOKUP($A44,Data_Template!$A$6:$BA$16,COLUMNS($A:AN)+6,0))</f>
        <v/>
      </c>
      <c r="AU44" s="42" t="str">
        <f>IF(VLOOKUP($A44,Data_Template!$A$6:$BA$16,COLUMNS($A:AO)+6,0)=0,"",VLOOKUP($A44,Data_Template!$A$6:$BA$16,COLUMNS($A:AO)+6,0))</f>
        <v/>
      </c>
      <c r="AV44" s="42" t="str">
        <f>IF(VLOOKUP($A44,Data_Template!$A$6:$BA$16,COLUMNS($A:AP)+6,0)=0,"",VLOOKUP($A44,Data_Template!$A$6:$BA$16,COLUMNS($A:AP)+6,0))</f>
        <v>x</v>
      </c>
      <c r="AW44" s="42" t="str">
        <f>IF(VLOOKUP($A44,Data_Template!$A$6:$BA$16,COLUMNS($A:AQ)+6,0)=0,"",VLOOKUP($A44,Data_Template!$A$6:$BA$16,COLUMNS($A:AQ)+6,0))</f>
        <v>x</v>
      </c>
      <c r="AX44" s="42" t="str">
        <f>IF(VLOOKUP($A44,Data_Template!$A$6:$BA$16,COLUMNS($A:AR)+6,0)=0,"",VLOOKUP($A44,Data_Template!$A$6:$BA$16,COLUMNS($A:AR)+6,0))</f>
        <v>x</v>
      </c>
      <c r="AY44" s="42" t="str">
        <f>IF(VLOOKUP($A44,Data_Template!$A$6:$BA$16,COLUMNS($A:AS)+6,0)=0,"",VLOOKUP($A44,Data_Template!$A$6:$BA$16,COLUMNS($A:AS)+6,0))</f>
        <v>x</v>
      </c>
      <c r="AZ44" s="42"/>
      <c r="BA44" s="42"/>
      <c r="BB44" s="50"/>
      <c r="BC44" s="42"/>
      <c r="BD44" s="42"/>
      <c r="BE44" s="42"/>
      <c r="BF44" s="42"/>
      <c r="BG44" s="42"/>
      <c r="BH44" s="42"/>
      <c r="BI44" s="42"/>
      <c r="BJ44" s="42"/>
      <c r="BL44" s="42"/>
      <c r="BM44" s="42"/>
      <c r="BN44" s="42"/>
      <c r="BO44" s="42"/>
      <c r="BP44" s="42"/>
      <c r="BQ44" s="42"/>
      <c r="BR44" s="42"/>
      <c r="BS44" s="42"/>
      <c r="BT44" s="42"/>
      <c r="BU44" s="42"/>
      <c r="BV44" s="42"/>
      <c r="BW44" s="42"/>
      <c r="BX44" s="42"/>
    </row>
    <row r="45" spans="1:76" s="51" customFormat="1" ht="63.75" x14ac:dyDescent="0.2">
      <c r="A45" s="246" t="str">
        <f>Classes!J12</f>
        <v>IFMA_C_31010005</v>
      </c>
      <c r="B45" s="246" t="str">
        <f>Classes!P12</f>
        <v>Aussenraum</v>
      </c>
      <c r="C45" s="37"/>
      <c r="D45" s="42" t="s">
        <v>884</v>
      </c>
      <c r="E45" s="41"/>
      <c r="G45" s="246" t="str">
        <f>IF(VLOOKUP($A45,Data_Template!$A$6:$BA$16,COLUMNS($A:A)+6,0)=0,"",VLOOKUP($A45,Data_Template!$A$6:$BA$16,COLUMNS($A:A)+6,0))</f>
        <v>x</v>
      </c>
      <c r="H45" s="42" t="str">
        <f>IF(VLOOKUP($A45,Data_Template!$A$6:$BA$16,COLUMNS($A:B)+6,0)=0,"",VLOOKUP($A45,Data_Template!$A$6:$BA$16,COLUMNS($A:B)+6,0))</f>
        <v>x</v>
      </c>
      <c r="I45" s="42" t="str">
        <f>IF(VLOOKUP($A45,Data_Template!$A$6:$BA$16,COLUMNS($A:C)+6,0)=0,"",VLOOKUP($A45,Data_Template!$A$6:$BA$16,COLUMNS($A:C)+6,0))</f>
        <v>["3.1_ANGF", "3.1.1_ANF", "3.1.2_AVF", "3.1.3_AFF", "3.1_SEN", "3.1.1_SEU", "3.1.2_SED", "3.1.3_SEI", "3.1_SNE", "3.1.1_SUE", "3.1.2_SCIRE", "3.1.3_SIE"]</v>
      </c>
      <c r="J45" s="42" t="str">
        <f>IF(VLOOKUP($A45,Data_Template!$A$6:$BA$16,COLUMNS($A:D)+6,0)=0,"",VLOOKUP($A45,Data_Template!$A$6:$BA$16,COLUMNS($A:D)+6,0))</f>
        <v/>
      </c>
      <c r="K45" s="42" t="str">
        <f>IF(VLOOKUP($A45,Data_Template!$A$6:$BA$16,COLUMNS($A:E)+6,0)=0,"",VLOOKUP($A45,Data_Template!$A$6:$BA$16,COLUMNS($A:E)+6,0))</f>
        <v/>
      </c>
      <c r="L45" s="42" t="str">
        <f>IF(VLOOKUP($A45,Data_Template!$A$6:$BA$16,COLUMNS($A:F)+6,0)=0,"",VLOOKUP($A45,Data_Template!$A$6:$BA$16,COLUMNS($A:F)+6,0))</f>
        <v/>
      </c>
      <c r="M45" s="42" t="str">
        <f>IF(VLOOKUP($A45,Data_Template!$A$6:$BA$16,COLUMNS($A:G)+6,0)=0,"",VLOOKUP($A45,Data_Template!$A$6:$BA$16,COLUMNS($A:G)+6,0))</f>
        <v>x</v>
      </c>
      <c r="N45" s="42" t="str">
        <f>IF(VLOOKUP($A45,Data_Template!$A$6:$BA$16,COLUMNS($A:H)+6,0)=0,"",VLOOKUP($A45,Data_Template!$A$6:$BA$16,COLUMNS($A:H)+6,0))</f>
        <v>x</v>
      </c>
      <c r="O45" s="42" t="str">
        <f>IF(VLOOKUP($A45,Data_Template!$A$6:$BA$16,COLUMNS($A:I)+6,0)=0,"",VLOOKUP($A45,Data_Template!$A$6:$BA$16,COLUMNS($A:I)+6,0))</f>
        <v/>
      </c>
      <c r="P45" s="42"/>
      <c r="Q45" s="42"/>
      <c r="R45" s="42" t="str">
        <f>IF(VLOOKUP($A45,Data_Template!$A$6:$BA$16,COLUMNS($A:L)+6,0)=0,"",VLOOKUP($A45,Data_Template!$A$6:$BA$16,COLUMNS($A:L)+6,0))</f>
        <v/>
      </c>
      <c r="S45" s="42" t="str">
        <f>IF(VLOOKUP($A45,Data_Template!$A$6:$BA$16,COLUMNS($A:M)+6,0)=0,"",VLOOKUP($A45,Data_Template!$A$6:$BA$16,COLUMNS($A:M)+6,0))</f>
        <v/>
      </c>
      <c r="T45" s="42" t="str">
        <f>IF(VLOOKUP($A45,Data_Template!$A$6:$BA$16,COLUMNS($A:N)+6,0)=0,"",VLOOKUP($A45,Data_Template!$A$6:$BA$16,COLUMNS($A:N)+6,0))</f>
        <v/>
      </c>
      <c r="U45" s="42" t="str">
        <f>IF(VLOOKUP($A45,Data_Template!$A$6:$BA$16,COLUMNS($A:O)+6,0)=0,"",VLOOKUP($A45,Data_Template!$A$6:$BA$16,COLUMNS($A:O)+6,0))</f>
        <v/>
      </c>
      <c r="V45" s="42" t="str">
        <f>IF(VLOOKUP($A45,Data_Template!$A$6:$BA$16,COLUMNS($A:P)+6,0)=0,"",VLOOKUP($A45,Data_Template!$A$6:$BA$16,COLUMNS($A:P)+6,0))</f>
        <v/>
      </c>
      <c r="W45" s="42" t="str">
        <f>IF(VLOOKUP($A45,Data_Template!$A$6:$BA$16,COLUMNS($A:Q)+6,0)=0,"",VLOOKUP($A45,Data_Template!$A$6:$BA$16,COLUMNS($A:Q)+6,0))</f>
        <v/>
      </c>
      <c r="X45" s="42" t="str">
        <f>IF(VLOOKUP($A45,Data_Template!$A$6:$BA$16,COLUMNS($A:R)+6,0)=0,"",VLOOKUP($A45,Data_Template!$A$6:$BA$16,COLUMNS($A:R)+6,0))</f>
        <v/>
      </c>
      <c r="Y45" s="42"/>
      <c r="Z45" s="42" t="str">
        <f>IF(VLOOKUP($A45,Data_Template!$A$6:$BA$16,COLUMNS($A:T)+6,0)=0,"",VLOOKUP($A45,Data_Template!$A$6:$BA$16,COLUMNS($A:T)+6,0))</f>
        <v/>
      </c>
      <c r="AA45" s="42" t="str">
        <f>IF(VLOOKUP($A45,Data_Template!$A$6:$BA$16,COLUMNS($A:U)+6,0)=0,"",VLOOKUP($A45,Data_Template!$A$6:$BA$16,COLUMNS($A:U)+6,0))</f>
        <v/>
      </c>
      <c r="AB45" s="42" t="str">
        <f>IF(VLOOKUP($A45,Data_Template!$A$6:$BA$16,COLUMNS($A:V)+6,0)=0,"",VLOOKUP($A45,Data_Template!$A$6:$BA$16,COLUMNS($A:V)+6,0))</f>
        <v/>
      </c>
      <c r="AC45" s="42"/>
      <c r="AD45" s="42" t="str">
        <f>IF(VLOOKUP($A45,Data_Template!$A$6:$BA$16,COLUMNS($A:X)+6,0)=0,"",VLOOKUP($A45,Data_Template!$A$6:$BA$16,COLUMNS($A:X)+6,0))</f>
        <v>["true"]</v>
      </c>
      <c r="AE45" s="42"/>
      <c r="AF45" s="42" t="str">
        <f>IF(VLOOKUP($A45,Data_Template!$A$6:$BA$16,COLUMNS($A:Z)+6,0)=0,"",VLOOKUP($A45,Data_Template!$A$6:$BA$16,COLUMNS($A:Z)+6,0))</f>
        <v/>
      </c>
      <c r="AG45" s="42" t="str">
        <f>IF(VLOOKUP($A45,Data_Template!$A$6:$BA$16,COLUMNS($A:AA)+6,0)=0,"",VLOOKUP($A45,Data_Template!$A$6:$BA$16,COLUMNS($A:AA)+6,0))</f>
        <v>x</v>
      </c>
      <c r="AH45" s="42"/>
      <c r="AI45" s="42" t="str">
        <f>IF(VLOOKUP($A45,Data_Template!$A$6:$BA$16,COLUMNS($A:AC)+6,0)=0,"",VLOOKUP($A45,Data_Template!$A$6:$BA$16,COLUMNS($A:AC)+6,0))</f>
        <v>x</v>
      </c>
      <c r="AJ45" s="42" t="str">
        <f>IF(VLOOKUP($A45,Data_Template!$A$6:$BA$16,COLUMNS($A:AD)+6,0)=0,"",VLOOKUP($A45,Data_Template!$A$6:$BA$16,COLUMNS($A:AD)+6,0))</f>
        <v/>
      </c>
      <c r="AK45" s="42" t="str">
        <f>IF(VLOOKUP($A45,Data_Template!$A$6:$BA$16,COLUMNS($A:AE)+6,0)=0,"",VLOOKUP($A45,Data_Template!$A$6:$BA$16,COLUMNS($A:AE)+6,0))</f>
        <v/>
      </c>
      <c r="AL45" s="42" t="str">
        <f>IF(VLOOKUP($A45,Data_Template!$A$6:$BA$16,COLUMNS($A:AF)+6,0)=0,"",VLOOKUP($A45,Data_Template!$A$6:$BA$16,COLUMNS($A:AF)+6,0))</f>
        <v/>
      </c>
      <c r="AM45" s="42" t="str">
        <f>IF(VLOOKUP($A45,Data_Template!$A$6:$BA$16,COLUMNS($A:AG)+6,0)=0,"",VLOOKUP($A45,Data_Template!$A$6:$BA$16,COLUMNS($A:AG)+6,0))</f>
        <v/>
      </c>
      <c r="AN45" s="42" t="str">
        <f>IF(VLOOKUP($A45,Data_Template!$A$6:$BA$16,COLUMNS($A:AH)+6,0)=0,"",VLOOKUP($A45,Data_Template!$A$6:$BA$16,COLUMNS($A:AH)+6,0))</f>
        <v/>
      </c>
      <c r="AO45" s="42" t="str">
        <f>IF(VLOOKUP($A45,Data_Template!$A$6:$BA$16,COLUMNS($A:AI)+6,0)=0,"",VLOOKUP($A45,Data_Template!$A$6:$BA$16,COLUMNS($A:AI)+6,0))</f>
        <v/>
      </c>
      <c r="AP45" s="42" t="str">
        <f>IF(VLOOKUP($A45,Data_Template!$A$6:$BA$16,COLUMNS($A:AJ)+6,0)=0,"",VLOOKUP($A45,Data_Template!$A$6:$BA$16,COLUMNS($A:AJ)+6,0))</f>
        <v/>
      </c>
      <c r="AQ45" s="42" t="str">
        <f>IF(VLOOKUP($A45,Data_Template!$A$6:$BA$16,COLUMNS($A:AK)+6,0)=0,"",VLOOKUP($A45,Data_Template!$A$6:$BA$16,COLUMNS($A:AK)+6,0))</f>
        <v/>
      </c>
      <c r="AR45" s="42" t="str">
        <f>IF(VLOOKUP($A45,Data_Template!$A$6:$BA$16,COLUMNS($A:AL)+6,0)=0,"",VLOOKUP($A45,Data_Template!$A$6:$BA$16,COLUMNS($A:AL)+6,0))</f>
        <v/>
      </c>
      <c r="AS45" s="42" t="str">
        <f>IF(VLOOKUP($A45,Data_Template!$A$6:$BA$16,COLUMNS($A:AM)+6,0)=0,"",VLOOKUP($A45,Data_Template!$A$6:$BA$16,COLUMNS($A:AM)+6,0))</f>
        <v/>
      </c>
      <c r="AT45" s="42" t="str">
        <f>IF(VLOOKUP($A45,Data_Template!$A$6:$BA$16,COLUMNS($A:AN)+6,0)=0,"",VLOOKUP($A45,Data_Template!$A$6:$BA$16,COLUMNS($A:AN)+6,0))</f>
        <v/>
      </c>
      <c r="AU45" s="42" t="str">
        <f>IF(VLOOKUP($A45,Data_Template!$A$6:$BA$16,COLUMNS($A:AO)+6,0)=0,"",VLOOKUP($A45,Data_Template!$A$6:$BA$16,COLUMNS($A:AO)+6,0))</f>
        <v/>
      </c>
      <c r="AV45" s="42" t="str">
        <f>IF(VLOOKUP($A45,Data_Template!$A$6:$BA$16,COLUMNS($A:AP)+6,0)=0,"",VLOOKUP($A45,Data_Template!$A$6:$BA$16,COLUMNS($A:AP)+6,0))</f>
        <v>x</v>
      </c>
      <c r="AW45" s="42" t="str">
        <f>IF(VLOOKUP($A45,Data_Template!$A$6:$BA$16,COLUMNS($A:AQ)+6,0)=0,"",VLOOKUP($A45,Data_Template!$A$6:$BA$16,COLUMNS($A:AQ)+6,0))</f>
        <v/>
      </c>
      <c r="AX45" s="42" t="str">
        <f>IF(VLOOKUP($A45,Data_Template!$A$6:$BA$16,COLUMNS($A:AR)+6,0)=0,"",VLOOKUP($A45,Data_Template!$A$6:$BA$16,COLUMNS($A:AR)+6,0))</f>
        <v/>
      </c>
      <c r="AY45" s="42" t="str">
        <f>IF(VLOOKUP($A45,Data_Template!$A$6:$BA$16,COLUMNS($A:AS)+6,0)=0,"",VLOOKUP($A45,Data_Template!$A$6:$BA$16,COLUMNS($A:AS)+6,0))</f>
        <v/>
      </c>
      <c r="AZ45" s="42" t="str">
        <f>IF(VLOOKUP($A45,Data_Template!$A$6:$BA$16,COLUMNS($A:AT)+6,0)=0,"",VLOOKUP($A45,Data_Template!$A$6:$BA$16,COLUMNS($A:AT)+6,0))</f>
        <v/>
      </c>
      <c r="BA45" s="42"/>
      <c r="BB45" s="50"/>
      <c r="BC45" s="42"/>
      <c r="BD45" s="42"/>
      <c r="BE45" s="42"/>
      <c r="BF45" s="42"/>
      <c r="BG45" s="42"/>
      <c r="BH45" s="42"/>
      <c r="BI45" s="42"/>
      <c r="BJ45" s="42"/>
      <c r="BL45" s="42"/>
      <c r="BM45" s="42"/>
      <c r="BN45" s="42"/>
      <c r="BO45" s="42"/>
      <c r="BP45" s="42"/>
      <c r="BQ45" s="42"/>
      <c r="BR45" s="42"/>
      <c r="BS45" s="42"/>
      <c r="BT45" s="42"/>
      <c r="BU45" s="42"/>
      <c r="BV45" s="42"/>
      <c r="BW45" s="42"/>
      <c r="BX45" s="42"/>
    </row>
    <row r="46" spans="1:76" s="51" customFormat="1" ht="14.25" x14ac:dyDescent="0.2">
      <c r="A46" s="246" t="str">
        <f>Classes!J13</f>
        <v>IFMA_C_31010006</v>
      </c>
      <c r="B46" s="246" t="str">
        <f>Classes!P13</f>
        <v>Einzelparkplatz</v>
      </c>
      <c r="C46" s="37"/>
      <c r="D46" s="42" t="s">
        <v>884</v>
      </c>
      <c r="E46" s="41"/>
      <c r="G46" s="42"/>
      <c r="H46" s="42"/>
      <c r="I46" s="42" t="str">
        <f>IF(VLOOKUP($A46,Data_Template!$A$6:$BA$16,COLUMNS($A:C)+6,0)=0,"",VLOOKUP($A46,Data_Template!$A$6:$BA$16,COLUMNS($A:C)+6,0))</f>
        <v/>
      </c>
      <c r="J46" s="42" t="str">
        <f>IF(VLOOKUP($A46,Data_Template!$A$6:$BA$16,COLUMNS($A:D)+6,0)=0,"",VLOOKUP($A46,Data_Template!$A$6:$BA$16,COLUMNS($A:D)+6,0))</f>
        <v/>
      </c>
      <c r="K46" s="42" t="str">
        <f>IF(VLOOKUP($A46,Data_Template!$A$6:$BA$16,COLUMNS($A:E)+6,0)=0,"",VLOOKUP($A46,Data_Template!$A$6:$BA$16,COLUMNS($A:E)+6,0))</f>
        <v/>
      </c>
      <c r="L46" s="42" t="str">
        <f>IF(VLOOKUP($A46,Data_Template!$A$6:$BA$16,COLUMNS($A:F)+6,0)=0,"",VLOOKUP($A46,Data_Template!$A$6:$BA$16,COLUMNS($A:F)+6,0))</f>
        <v/>
      </c>
      <c r="M46" s="42"/>
      <c r="N46" s="42"/>
      <c r="O46" s="42" t="str">
        <f>IF(VLOOKUP($A46,Data_Template!$A$6:$BA$16,COLUMNS($A:I)+6,0)=0,"",VLOOKUP($A46,Data_Template!$A$6:$BA$16,COLUMNS($A:I)+6,0))</f>
        <v/>
      </c>
      <c r="P46" s="42"/>
      <c r="Q46" s="42"/>
      <c r="R46" s="42" t="str">
        <f>IF(VLOOKUP($A46,Data_Template!$A$6:$BA$16,COLUMNS($A:L)+6,0)=0,"",VLOOKUP($A46,Data_Template!$A$6:$BA$16,COLUMNS($A:L)+6,0))</f>
        <v/>
      </c>
      <c r="S46" s="42" t="str">
        <f>IF(VLOOKUP($A46,Data_Template!$A$6:$BA$16,COLUMNS($A:M)+6,0)=0,"",VLOOKUP($A46,Data_Template!$A$6:$BA$16,COLUMNS($A:M)+6,0))</f>
        <v/>
      </c>
      <c r="T46" s="42" t="str">
        <f>IF(VLOOKUP($A46,Data_Template!$A$6:$BA$16,COLUMNS($A:N)+6,0)=0,"",VLOOKUP($A46,Data_Template!$A$6:$BA$16,COLUMNS($A:N)+6,0))</f>
        <v/>
      </c>
      <c r="U46" s="42" t="str">
        <f>IF(VLOOKUP($A46,Data_Template!$A$6:$BA$16,COLUMNS($A:O)+6,0)=0,"",VLOOKUP($A46,Data_Template!$A$6:$BA$16,COLUMNS($A:O)+6,0))</f>
        <v/>
      </c>
      <c r="V46" s="42" t="str">
        <f>IF(VLOOKUP($A46,Data_Template!$A$6:$BA$16,COLUMNS($A:P)+6,0)=0,"",VLOOKUP($A46,Data_Template!$A$6:$BA$16,COLUMNS($A:P)+6,0))</f>
        <v/>
      </c>
      <c r="W46" s="42" t="str">
        <f>IF(VLOOKUP($A46,Data_Template!$A$6:$BA$16,COLUMNS($A:Q)+6,0)=0,"",VLOOKUP($A46,Data_Template!$A$6:$BA$16,COLUMNS($A:Q)+6,0))</f>
        <v/>
      </c>
      <c r="X46" s="42" t="str">
        <f>IF(VLOOKUP($A46,Data_Template!$A$6:$BA$16,COLUMNS($A:R)+6,0)=0,"",VLOOKUP($A46,Data_Template!$A$6:$BA$16,COLUMNS($A:R)+6,0))</f>
        <v/>
      </c>
      <c r="Y46" s="42"/>
      <c r="Z46" s="42" t="str">
        <f>IF(VLOOKUP($A46,Data_Template!$A$6:$BA$16,COLUMNS($A:T)+6,0)=0,"",VLOOKUP($A46,Data_Template!$A$6:$BA$16,COLUMNS($A:T)+6,0))</f>
        <v/>
      </c>
      <c r="AA46" s="42" t="str">
        <f>IF(VLOOKUP($A46,Data_Template!$A$6:$BA$16,COLUMNS($A:U)+6,0)=0,"",VLOOKUP($A46,Data_Template!$A$6:$BA$16,COLUMNS($A:U)+6,0))</f>
        <v/>
      </c>
      <c r="AB46" s="42" t="str">
        <f>IF(VLOOKUP($A46,Data_Template!$A$6:$BA$16,COLUMNS($A:V)+6,0)=0,"",VLOOKUP($A46,Data_Template!$A$6:$BA$16,COLUMNS($A:V)+6,0))</f>
        <v/>
      </c>
      <c r="AC46" s="42"/>
      <c r="AD46" s="42"/>
      <c r="AE46" s="42"/>
      <c r="AF46" s="42" t="str">
        <f>IF(VLOOKUP($A46,Data_Template!$A$6:$BA$16,COLUMNS($A:Z)+6,0)=0,"",VLOOKUP($A46,Data_Template!$A$6:$BA$16,COLUMNS($A:Z)+6,0))</f>
        <v/>
      </c>
      <c r="AG46" s="42" t="str">
        <f>IF(VLOOKUP($A46,Data_Template!$A$6:$BA$16,COLUMNS($A:AA)+6,0)=0,"",VLOOKUP($A46,Data_Template!$A$6:$BA$16,COLUMNS($A:AA)+6,0))</f>
        <v/>
      </c>
      <c r="AH46" s="42" t="str">
        <f>IF(VLOOKUP($A46,Data_Template!$A$6:$BA$16,COLUMNS($A:AB)+6,0)=0,"",VLOOKUP($A46,Data_Template!$A$6:$BA$16,COLUMNS($A:AB)+6,0))</f>
        <v/>
      </c>
      <c r="AI46" s="42" t="str">
        <f>IF(VLOOKUP($A46,Data_Template!$A$6:$BA$16,COLUMNS($A:AC)+6,0)=0,"",VLOOKUP($A46,Data_Template!$A$6:$BA$16,COLUMNS($A:AC)+6,0))</f>
        <v/>
      </c>
      <c r="AJ46" s="42" t="str">
        <f>IF(VLOOKUP($A46,Data_Template!$A$6:$BA$16,COLUMNS($A:AD)+6,0)=0,"",VLOOKUP($A46,Data_Template!$A$6:$BA$16,COLUMNS($A:AD)+6,0))</f>
        <v/>
      </c>
      <c r="AK46" s="42" t="str">
        <f>IF(VLOOKUP($A46,Data_Template!$A$6:$BA$16,COLUMNS($A:AE)+6,0)=0,"",VLOOKUP($A46,Data_Template!$A$6:$BA$16,COLUMNS($A:AE)+6,0))</f>
        <v/>
      </c>
      <c r="AL46" s="42" t="str">
        <f>IF(VLOOKUP($A46,Data_Template!$A$6:$BA$16,COLUMNS($A:AF)+6,0)=0,"",VLOOKUP($A46,Data_Template!$A$6:$BA$16,COLUMNS($A:AF)+6,0))</f>
        <v/>
      </c>
      <c r="AM46" s="42" t="str">
        <f>IF(VLOOKUP($A46,Data_Template!$A$6:$BA$16,COLUMNS($A:AG)+6,0)=0,"",VLOOKUP($A46,Data_Template!$A$6:$BA$16,COLUMNS($A:AG)+6,0))</f>
        <v/>
      </c>
      <c r="AN46" s="42" t="str">
        <f>IF(VLOOKUP($A46,Data_Template!$A$6:$BA$16,COLUMNS($A:AH)+6,0)=0,"",VLOOKUP($A46,Data_Template!$A$6:$BA$16,COLUMNS($A:AH)+6,0))</f>
        <v/>
      </c>
      <c r="AO46" s="42" t="str">
        <f>IF(VLOOKUP($A46,Data_Template!$A$6:$BA$16,COLUMNS($A:AI)+6,0)=0,"",VLOOKUP($A46,Data_Template!$A$6:$BA$16,COLUMNS($A:AI)+6,0))</f>
        <v/>
      </c>
      <c r="AP46" s="42" t="str">
        <f>IF(VLOOKUP($A46,Data_Template!$A$6:$BA$16,COLUMNS($A:AJ)+6,0)=0,"",VLOOKUP($A46,Data_Template!$A$6:$BA$16,COLUMNS($A:AJ)+6,0))</f>
        <v/>
      </c>
      <c r="AQ46" s="42" t="str">
        <f>IF(VLOOKUP($A46,Data_Template!$A$6:$BA$16,COLUMNS($A:AK)+6,0)=0,"",VLOOKUP($A46,Data_Template!$A$6:$BA$16,COLUMNS($A:AK)+6,0))</f>
        <v/>
      </c>
      <c r="AR46" s="42" t="str">
        <f>IF(VLOOKUP($A46,Data_Template!$A$6:$BA$16,COLUMNS($A:AL)+6,0)=0,"",VLOOKUP($A46,Data_Template!$A$6:$BA$16,COLUMNS($A:AL)+6,0))</f>
        <v/>
      </c>
      <c r="AS46" s="42" t="str">
        <f>IF(VLOOKUP($A46,Data_Template!$A$6:$BA$16,COLUMNS($A:AM)+6,0)=0,"",VLOOKUP($A46,Data_Template!$A$6:$BA$16,COLUMNS($A:AM)+6,0))</f>
        <v/>
      </c>
      <c r="AT46" s="42"/>
      <c r="AU46" s="42" t="str">
        <f>IF(VLOOKUP($A46,Data_Template!$A$6:$BA$16,COLUMNS($A:AO)+6,0)=0,"",VLOOKUP($A46,Data_Template!$A$6:$BA$16,COLUMNS($A:AO)+6,0))</f>
        <v/>
      </c>
      <c r="AV46" s="42" t="str">
        <f>IF(VLOOKUP($A46,Data_Template!$A$6:$BA$16,COLUMNS($A:AP)+6,0)=0,"",VLOOKUP($A46,Data_Template!$A$6:$BA$16,COLUMNS($A:AP)+6,0))</f>
        <v/>
      </c>
      <c r="AW46" s="42" t="str">
        <f>IF(VLOOKUP($A46,Data_Template!$A$6:$BA$16,COLUMNS($A:AQ)+6,0)=0,"",VLOOKUP($A46,Data_Template!$A$6:$BA$16,COLUMNS($A:AQ)+6,0))</f>
        <v/>
      </c>
      <c r="AX46" s="42" t="str">
        <f>IF(VLOOKUP($A46,Data_Template!$A$6:$BA$16,COLUMNS($A:AR)+6,0)=0,"",VLOOKUP($A46,Data_Template!$A$6:$BA$16,COLUMNS($A:AR)+6,0))</f>
        <v/>
      </c>
      <c r="AY46" s="42"/>
      <c r="AZ46" s="42" t="str">
        <f>IF(VLOOKUP($A46,Data_Template!$A$6:$BA$16,COLUMNS($A:AT)+6,0)=0,"",VLOOKUP($A46,Data_Template!$A$6:$BA$16,COLUMNS($A:AT)+6,0))</f>
        <v/>
      </c>
      <c r="BA46" s="42"/>
      <c r="BB46" s="50"/>
      <c r="BC46" s="42"/>
      <c r="BD46" s="42"/>
      <c r="BE46" s="42"/>
      <c r="BF46" s="42"/>
      <c r="BG46" s="42"/>
      <c r="BH46" s="42"/>
      <c r="BI46" s="42"/>
      <c r="BJ46" s="42"/>
      <c r="BL46" s="42"/>
      <c r="BM46" s="42"/>
      <c r="BN46" s="42"/>
      <c r="BO46" s="42"/>
      <c r="BP46" s="42"/>
      <c r="BQ46" s="42"/>
      <c r="BR46" s="42"/>
      <c r="BS46" s="42"/>
      <c r="BT46" s="42"/>
      <c r="BU46" s="42"/>
      <c r="BV46" s="42"/>
      <c r="BW46" s="42"/>
      <c r="BX46" s="42"/>
    </row>
    <row r="47" spans="1:76" s="51" customFormat="1" ht="14.25" x14ac:dyDescent="0.2">
      <c r="A47" s="246" t="str">
        <f>Classes!J14</f>
        <v>IFMA_C_31010007</v>
      </c>
      <c r="B47" s="246" t="str">
        <f>Classes!P14</f>
        <v>Vermietbare Fläche</v>
      </c>
      <c r="C47" s="37"/>
      <c r="D47" s="42" t="s">
        <v>884</v>
      </c>
      <c r="E47" s="41"/>
      <c r="G47" s="42"/>
      <c r="H47" s="42"/>
      <c r="I47" s="42" t="str">
        <f>IF(VLOOKUP($A47,Data_Template!$A$6:$BA$16,COLUMNS($A:C)+6,0)=0,"",VLOOKUP($A47,Data_Template!$A$6:$BA$16,COLUMNS($A:C)+6,0))</f>
        <v/>
      </c>
      <c r="J47" s="42" t="str">
        <f>IF(VLOOKUP($A47,Data_Template!$A$6:$BA$16,COLUMNS($A:D)+6,0)=0,"",VLOOKUP($A47,Data_Template!$A$6:$BA$16,COLUMNS($A:D)+6,0))</f>
        <v/>
      </c>
      <c r="K47" s="42" t="str">
        <f>IF(VLOOKUP($A47,Data_Template!$A$6:$BA$16,COLUMNS($A:E)+6,0)=0,"",VLOOKUP($A47,Data_Template!$A$6:$BA$16,COLUMNS($A:E)+6,0))</f>
        <v/>
      </c>
      <c r="L47" s="42" t="str">
        <f>IF(VLOOKUP($A47,Data_Template!$A$6:$BA$16,COLUMNS($A:F)+6,0)=0,"",VLOOKUP($A47,Data_Template!$A$6:$BA$16,COLUMNS($A:F)+6,0))</f>
        <v/>
      </c>
      <c r="M47" s="42"/>
      <c r="N47" s="42" t="str">
        <f>IF(VLOOKUP($A47,Data_Template!$A$6:$BA$16,COLUMNS($A:H)+6,0)=0,"",VLOOKUP($A47,Data_Template!$A$6:$BA$16,COLUMNS($A:H)+6,0))</f>
        <v/>
      </c>
      <c r="O47" s="42"/>
      <c r="P47" s="42"/>
      <c r="Q47" s="42" t="str">
        <f>IF(VLOOKUP($A47,Data_Template!$A$6:$BA$16,COLUMNS($A:K)+6,0)=0,"",VLOOKUP($A47,Data_Template!$A$6:$BA$16,COLUMNS($A:K)+6,0))</f>
        <v/>
      </c>
      <c r="R47" s="42" t="str">
        <f>IF(VLOOKUP($A47,Data_Template!$A$6:$BA$16,COLUMNS($A:L)+6,0)=0,"",VLOOKUP($A47,Data_Template!$A$6:$BA$16,COLUMNS($A:L)+6,0))</f>
        <v/>
      </c>
      <c r="S47" s="42" t="str">
        <f>IF(VLOOKUP($A47,Data_Template!$A$6:$BA$16,COLUMNS($A:M)+6,0)=0,"",VLOOKUP($A47,Data_Template!$A$6:$BA$16,COLUMNS($A:M)+6,0))</f>
        <v/>
      </c>
      <c r="T47" s="42" t="str">
        <f>IF(VLOOKUP($A47,Data_Template!$A$6:$BA$16,COLUMNS($A:N)+6,0)=0,"",VLOOKUP($A47,Data_Template!$A$6:$BA$16,COLUMNS($A:N)+6,0))</f>
        <v/>
      </c>
      <c r="U47" s="42" t="str">
        <f>IF(VLOOKUP($A47,Data_Template!$A$6:$BA$16,COLUMNS($A:O)+6,0)=0,"",VLOOKUP($A47,Data_Template!$A$6:$BA$16,COLUMNS($A:O)+6,0))</f>
        <v/>
      </c>
      <c r="V47" s="42" t="str">
        <f>IF(VLOOKUP($A47,Data_Template!$A$6:$BA$16,COLUMNS($A:P)+6,0)=0,"",VLOOKUP($A47,Data_Template!$A$6:$BA$16,COLUMNS($A:P)+6,0))</f>
        <v/>
      </c>
      <c r="W47" s="42" t="str">
        <f>IF(VLOOKUP($A47,Data_Template!$A$6:$BA$16,COLUMNS($A:Q)+6,0)=0,"",VLOOKUP($A47,Data_Template!$A$6:$BA$16,COLUMNS($A:Q)+6,0))</f>
        <v/>
      </c>
      <c r="X47" s="42" t="str">
        <f>IF(VLOOKUP($A47,Data_Template!$A$6:$BA$16,COLUMNS($A:R)+6,0)=0,"",VLOOKUP($A47,Data_Template!$A$6:$BA$16,COLUMNS($A:R)+6,0))</f>
        <v/>
      </c>
      <c r="Y47" s="42"/>
      <c r="Z47" s="42" t="str">
        <f>IF(VLOOKUP($A47,Data_Template!$A$6:$BA$16,COLUMNS($A:T)+6,0)=0,"",VLOOKUP($A47,Data_Template!$A$6:$BA$16,COLUMNS($A:T)+6,0))</f>
        <v/>
      </c>
      <c r="AA47" s="42" t="str">
        <f>IF(VLOOKUP($A47,Data_Template!$A$6:$BA$16,COLUMNS($A:U)+6,0)=0,"",VLOOKUP($A47,Data_Template!$A$6:$BA$16,COLUMNS($A:U)+6,0))</f>
        <v/>
      </c>
      <c r="AB47" s="42" t="str">
        <f>IF(VLOOKUP($A47,Data_Template!$A$6:$BA$16,COLUMNS($A:V)+6,0)=0,"",VLOOKUP($A47,Data_Template!$A$6:$BA$16,COLUMNS($A:V)+6,0))</f>
        <v/>
      </c>
      <c r="AC47" s="42"/>
      <c r="AD47" s="42" t="str">
        <f>IF(VLOOKUP($A47,Data_Template!$A$6:$BA$16,COLUMNS($A:X)+6,0)=0,"",VLOOKUP($A47,Data_Template!$A$6:$BA$16,COLUMNS($A:X)+6,0))</f>
        <v/>
      </c>
      <c r="AE47" s="42" t="str">
        <f>IF(VLOOKUP($A47,Data_Template!$A$6:$BA$16,COLUMNS($A:Y)+6,0)=0,"",VLOOKUP($A47,Data_Template!$A$6:$BA$16,COLUMNS($A:Y)+6,0))</f>
        <v/>
      </c>
      <c r="AF47" s="42" t="str">
        <f>IF(VLOOKUP($A47,Data_Template!$A$6:$BA$16,COLUMNS($A:Z)+6,0)=0,"",VLOOKUP($A47,Data_Template!$A$6:$BA$16,COLUMNS($A:Z)+6,0))</f>
        <v/>
      </c>
      <c r="AG47" s="42"/>
      <c r="AH47" s="42"/>
      <c r="AI47" s="42" t="str">
        <f>IF(VLOOKUP($A47,Data_Template!$A$6:$BA$16,COLUMNS($A:AC)+6,0)=0,"",VLOOKUP($A47,Data_Template!$A$6:$BA$16,COLUMNS($A:AC)+6,0))</f>
        <v/>
      </c>
      <c r="AJ47" s="42" t="str">
        <f>IF(VLOOKUP($A47,Data_Template!$A$6:$BA$16,COLUMNS($A:AD)+6,0)=0,"",VLOOKUP($A47,Data_Template!$A$6:$BA$16,COLUMNS($A:AD)+6,0))</f>
        <v/>
      </c>
      <c r="AK47" s="42" t="str">
        <f>IF(VLOOKUP($A47,Data_Template!$A$6:$BA$16,COLUMNS($A:AE)+6,0)=0,"",VLOOKUP($A47,Data_Template!$A$6:$BA$16,COLUMNS($A:AE)+6,0))</f>
        <v/>
      </c>
      <c r="AL47" s="42" t="str">
        <f>IF(VLOOKUP($A47,Data_Template!$A$6:$BA$16,COLUMNS($A:AF)+6,0)=0,"",VLOOKUP($A47,Data_Template!$A$6:$BA$16,COLUMNS($A:AF)+6,0))</f>
        <v/>
      </c>
      <c r="AM47" s="42" t="str">
        <f>IF(VLOOKUP($A47,Data_Template!$A$6:$BA$16,COLUMNS($A:AG)+6,0)=0,"",VLOOKUP($A47,Data_Template!$A$6:$BA$16,COLUMNS($A:AG)+6,0))</f>
        <v/>
      </c>
      <c r="AN47" s="42" t="str">
        <f>IF(VLOOKUP($A47,Data_Template!$A$6:$BA$16,COLUMNS($A:AH)+6,0)=0,"",VLOOKUP($A47,Data_Template!$A$6:$BA$16,COLUMNS($A:AH)+6,0))</f>
        <v/>
      </c>
      <c r="AO47" s="42" t="str">
        <f>IF(VLOOKUP($A47,Data_Template!$A$6:$BA$16,COLUMNS($A:AI)+6,0)=0,"",VLOOKUP($A47,Data_Template!$A$6:$BA$16,COLUMNS($A:AI)+6,0))</f>
        <v/>
      </c>
      <c r="AP47" s="42" t="str">
        <f>IF(VLOOKUP($A47,Data_Template!$A$6:$BA$16,COLUMNS($A:AJ)+6,0)=0,"",VLOOKUP($A47,Data_Template!$A$6:$BA$16,COLUMNS($A:AJ)+6,0))</f>
        <v/>
      </c>
      <c r="AQ47" s="42" t="str">
        <f>IF(VLOOKUP($A47,Data_Template!$A$6:$BA$16,COLUMNS($A:AK)+6,0)=0,"",VLOOKUP($A47,Data_Template!$A$6:$BA$16,COLUMNS($A:AK)+6,0))</f>
        <v/>
      </c>
      <c r="AR47" s="42" t="str">
        <f>IF(VLOOKUP($A47,Data_Template!$A$6:$BA$16,COLUMNS($A:AL)+6,0)=0,"",VLOOKUP($A47,Data_Template!$A$6:$BA$16,COLUMNS($A:AL)+6,0))</f>
        <v/>
      </c>
      <c r="AS47" s="42" t="str">
        <f>IF(VLOOKUP($A47,Data_Template!$A$6:$BA$16,COLUMNS($A:AM)+6,0)=0,"",VLOOKUP($A47,Data_Template!$A$6:$BA$16,COLUMNS($A:AM)+6,0))</f>
        <v/>
      </c>
      <c r="AT47" s="42"/>
      <c r="AU47" s="42" t="str">
        <f>IF(VLOOKUP($A47,Data_Template!$A$6:$BA$16,COLUMNS($A:AO)+6,0)=0,"",VLOOKUP($A47,Data_Template!$A$6:$BA$16,COLUMNS($A:AO)+6,0))</f>
        <v/>
      </c>
      <c r="AV47" s="42"/>
      <c r="AW47" s="42" t="str">
        <f>IF(VLOOKUP($A47,Data_Template!$A$6:$BA$16,COLUMNS($A:AQ)+6,0)=0,"",VLOOKUP($A47,Data_Template!$A$6:$BA$16,COLUMNS($A:AQ)+6,0))</f>
        <v/>
      </c>
      <c r="AX47" s="42" t="str">
        <f>IF(VLOOKUP($A47,Data_Template!$A$6:$BA$16,COLUMNS($A:AR)+6,0)=0,"",VLOOKUP($A47,Data_Template!$A$6:$BA$16,COLUMNS($A:AR)+6,0))</f>
        <v/>
      </c>
      <c r="AY47" s="42" t="str">
        <f>IF(VLOOKUP($A47,Data_Template!$A$6:$BA$16,COLUMNS($A:AS)+6,0)=0,"",VLOOKUP($A47,Data_Template!$A$6:$BA$16,COLUMNS($A:AS)+6,0))</f>
        <v/>
      </c>
      <c r="AZ47" s="42" t="str">
        <f>IF(VLOOKUP($A47,Data_Template!$A$6:$BA$16,COLUMNS($A:AT)+6,0)=0,"",VLOOKUP($A47,Data_Template!$A$6:$BA$16,COLUMNS($A:AT)+6,0))</f>
        <v/>
      </c>
      <c r="BA47" s="42"/>
      <c r="BB47" s="50"/>
      <c r="BC47" s="42"/>
      <c r="BD47" s="42"/>
      <c r="BE47" s="42"/>
      <c r="BF47" s="42"/>
      <c r="BG47" s="42"/>
      <c r="BH47" s="42"/>
      <c r="BI47" s="42"/>
      <c r="BJ47" s="42"/>
      <c r="BL47" s="42"/>
      <c r="BM47" s="42"/>
      <c r="BN47" s="42"/>
      <c r="BO47" s="42"/>
      <c r="BP47" s="42"/>
      <c r="BQ47" s="42"/>
      <c r="BR47" s="42"/>
      <c r="BS47" s="42"/>
      <c r="BT47" s="42"/>
      <c r="BU47" s="42"/>
      <c r="BV47" s="42"/>
      <c r="BW47" s="42"/>
      <c r="BX47" s="42"/>
    </row>
    <row r="48" spans="1:76" s="51" customFormat="1" ht="14.25" x14ac:dyDescent="0.2">
      <c r="A48" s="246" t="str">
        <f>Classes!J15</f>
        <v>IFMA_C_31010008</v>
      </c>
      <c r="B48" s="246" t="str">
        <f>Classes!P15</f>
        <v>Nutzungseinheit</v>
      </c>
      <c r="C48" s="37"/>
      <c r="D48" s="42" t="s">
        <v>884</v>
      </c>
      <c r="E48" s="41"/>
      <c r="G48" s="42"/>
      <c r="H48" s="42"/>
      <c r="I48" s="42" t="str">
        <f>IF(VLOOKUP($A48,Data_Template!$A$6:$BA$16,COLUMNS($A:C)+6,0)=0,"",VLOOKUP($A48,Data_Template!$A$6:$BA$16,COLUMNS($A:C)+6,0))</f>
        <v/>
      </c>
      <c r="J48" s="42" t="str">
        <f>IF(VLOOKUP($A48,Data_Template!$A$6:$BA$16,COLUMNS($A:D)+6,0)=0,"",VLOOKUP($A48,Data_Template!$A$6:$BA$16,COLUMNS($A:D)+6,0))</f>
        <v/>
      </c>
      <c r="K48" s="42" t="str">
        <f>IF(VLOOKUP($A48,Data_Template!$A$6:$BA$16,COLUMNS($A:E)+6,0)=0,"",VLOOKUP($A48,Data_Template!$A$6:$BA$16,COLUMNS($A:E)+6,0))</f>
        <v/>
      </c>
      <c r="L48" s="42" t="str">
        <f>IF(VLOOKUP($A48,Data_Template!$A$6:$BA$16,COLUMNS($A:F)+6,0)=0,"",VLOOKUP($A48,Data_Template!$A$6:$BA$16,COLUMNS($A:F)+6,0))</f>
        <v/>
      </c>
      <c r="M48" s="42"/>
      <c r="N48" s="42" t="str">
        <f>IF(VLOOKUP($A48,Data_Template!$A$6:$BA$16,COLUMNS($A:H)+6,0)=0,"",VLOOKUP($A48,Data_Template!$A$6:$BA$16,COLUMNS($A:H)+6,0))</f>
        <v/>
      </c>
      <c r="O48" s="42"/>
      <c r="P48" s="42"/>
      <c r="Q48" s="42"/>
      <c r="R48" s="42" t="str">
        <f>IF(VLOOKUP($A48,Data_Template!$A$6:$BA$16,COLUMNS($A:L)+6,0)=0,"",VLOOKUP($A48,Data_Template!$A$6:$BA$16,COLUMNS($A:L)+6,0))</f>
        <v/>
      </c>
      <c r="S48" s="42" t="str">
        <f>IF(VLOOKUP($A48,Data_Template!$A$6:$BA$16,COLUMNS($A:M)+6,0)=0,"",VLOOKUP($A48,Data_Template!$A$6:$BA$16,COLUMNS($A:M)+6,0))</f>
        <v/>
      </c>
      <c r="T48" s="42" t="str">
        <f>IF(VLOOKUP($A48,Data_Template!$A$6:$BA$16,COLUMNS($A:N)+6,0)=0,"",VLOOKUP($A48,Data_Template!$A$6:$BA$16,COLUMNS($A:N)+6,0))</f>
        <v/>
      </c>
      <c r="U48" s="42" t="str">
        <f>IF(VLOOKUP($A48,Data_Template!$A$6:$BA$16,COLUMNS($A:O)+6,0)=0,"",VLOOKUP($A48,Data_Template!$A$6:$BA$16,COLUMNS($A:O)+6,0))</f>
        <v/>
      </c>
      <c r="V48" s="42" t="str">
        <f>IF(VLOOKUP($A48,Data_Template!$A$6:$BA$16,COLUMNS($A:P)+6,0)=0,"",VLOOKUP($A48,Data_Template!$A$6:$BA$16,COLUMNS($A:P)+6,0))</f>
        <v/>
      </c>
      <c r="W48" s="42" t="str">
        <f>IF(VLOOKUP($A48,Data_Template!$A$6:$BA$16,COLUMNS($A:Q)+6,0)=0,"",VLOOKUP($A48,Data_Template!$A$6:$BA$16,COLUMNS($A:Q)+6,0))</f>
        <v/>
      </c>
      <c r="X48" s="42" t="str">
        <f>IF(VLOOKUP($A48,Data_Template!$A$6:$BA$16,COLUMNS($A:R)+6,0)=0,"",VLOOKUP($A48,Data_Template!$A$6:$BA$16,COLUMNS($A:R)+6,0))</f>
        <v/>
      </c>
      <c r="Y48" s="42"/>
      <c r="Z48" s="42" t="str">
        <f>IF(VLOOKUP($A48,Data_Template!$A$6:$BA$16,COLUMNS($A:T)+6,0)=0,"",VLOOKUP($A48,Data_Template!$A$6:$BA$16,COLUMNS($A:T)+6,0))</f>
        <v/>
      </c>
      <c r="AA48" s="42" t="str">
        <f>IF(VLOOKUP($A48,Data_Template!$A$6:$BA$16,COLUMNS($A:U)+6,0)=0,"",VLOOKUP($A48,Data_Template!$A$6:$BA$16,COLUMNS($A:U)+6,0))</f>
        <v/>
      </c>
      <c r="AB48" s="42" t="str">
        <f>IF(VLOOKUP($A48,Data_Template!$A$6:$BA$16,COLUMNS($A:V)+6,0)=0,"",VLOOKUP($A48,Data_Template!$A$6:$BA$16,COLUMNS($A:V)+6,0))</f>
        <v/>
      </c>
      <c r="AC48" s="42"/>
      <c r="AD48" s="42" t="str">
        <f>IF(VLOOKUP($A48,Data_Template!$A$6:$BA$16,COLUMNS($A:X)+6,0)=0,"",VLOOKUP($A48,Data_Template!$A$6:$BA$16,COLUMNS($A:X)+6,0))</f>
        <v/>
      </c>
      <c r="AE48" s="42" t="str">
        <f>IF(VLOOKUP($A48,Data_Template!$A$6:$BA$16,COLUMNS($A:Y)+6,0)=0,"",VLOOKUP($A48,Data_Template!$A$6:$BA$16,COLUMNS($A:Y)+6,0))</f>
        <v/>
      </c>
      <c r="AF48" s="42" t="str">
        <f>IF(VLOOKUP($A48,Data_Template!$A$6:$BA$16,COLUMNS($A:Z)+6,0)=0,"",VLOOKUP($A48,Data_Template!$A$6:$BA$16,COLUMNS($A:Z)+6,0))</f>
        <v/>
      </c>
      <c r="AG48" s="42"/>
      <c r="AH48" s="42"/>
      <c r="AI48" s="42" t="str">
        <f>IF(VLOOKUP($A48,Data_Template!$A$6:$BA$16,COLUMNS($A:AC)+6,0)=0,"",VLOOKUP($A48,Data_Template!$A$6:$BA$16,COLUMNS($A:AC)+6,0))</f>
        <v/>
      </c>
      <c r="AJ48" s="42" t="str">
        <f>IF(VLOOKUP($A48,Data_Template!$A$6:$BA$16,COLUMNS($A:AD)+6,0)=0,"",VLOOKUP($A48,Data_Template!$A$6:$BA$16,COLUMNS($A:AD)+6,0))</f>
        <v/>
      </c>
      <c r="AK48" s="42" t="str">
        <f>IF(VLOOKUP($A48,Data_Template!$A$6:$BA$16,COLUMNS($A:AE)+6,0)=0,"",VLOOKUP($A48,Data_Template!$A$6:$BA$16,COLUMNS($A:AE)+6,0))</f>
        <v/>
      </c>
      <c r="AL48" s="42" t="str">
        <f>IF(VLOOKUP($A48,Data_Template!$A$6:$BA$16,COLUMNS($A:AF)+6,0)=0,"",VLOOKUP($A48,Data_Template!$A$6:$BA$16,COLUMNS($A:AF)+6,0))</f>
        <v/>
      </c>
      <c r="AM48" s="42" t="str">
        <f>IF(VLOOKUP($A48,Data_Template!$A$6:$BA$16,COLUMNS($A:AG)+6,0)=0,"",VLOOKUP($A48,Data_Template!$A$6:$BA$16,COLUMNS($A:AG)+6,0))</f>
        <v/>
      </c>
      <c r="AN48" s="42" t="str">
        <f>IF(VLOOKUP($A48,Data_Template!$A$6:$BA$16,COLUMNS($A:AH)+6,0)=0,"",VLOOKUP($A48,Data_Template!$A$6:$BA$16,COLUMNS($A:AH)+6,0))</f>
        <v/>
      </c>
      <c r="AO48" s="42" t="str">
        <f>IF(VLOOKUP($A48,Data_Template!$A$6:$BA$16,COLUMNS($A:AI)+6,0)=0,"",VLOOKUP($A48,Data_Template!$A$6:$BA$16,COLUMNS($A:AI)+6,0))</f>
        <v/>
      </c>
      <c r="AP48" s="42" t="str">
        <f>IF(VLOOKUP($A48,Data_Template!$A$6:$BA$16,COLUMNS($A:AJ)+6,0)=0,"",VLOOKUP($A48,Data_Template!$A$6:$BA$16,COLUMNS($A:AJ)+6,0))</f>
        <v/>
      </c>
      <c r="AQ48" s="42" t="str">
        <f>IF(VLOOKUP($A48,Data_Template!$A$6:$BA$16,COLUMNS($A:AK)+6,0)=0,"",VLOOKUP($A48,Data_Template!$A$6:$BA$16,COLUMNS($A:AK)+6,0))</f>
        <v/>
      </c>
      <c r="AR48" s="42" t="str">
        <f>IF(VLOOKUP($A48,Data_Template!$A$6:$BA$16,COLUMNS($A:AL)+6,0)=0,"",VLOOKUP($A48,Data_Template!$A$6:$BA$16,COLUMNS($A:AL)+6,0))</f>
        <v/>
      </c>
      <c r="AS48" s="42" t="str">
        <f>IF(VLOOKUP($A48,Data_Template!$A$6:$BA$16,COLUMNS($A:AM)+6,0)=0,"",VLOOKUP($A48,Data_Template!$A$6:$BA$16,COLUMNS($A:AM)+6,0))</f>
        <v/>
      </c>
      <c r="AT48" s="42" t="str">
        <f>IF(VLOOKUP($A48,Data_Template!$A$6:$BA$16,COLUMNS($A:AN)+6,0)=0,"",VLOOKUP($A48,Data_Template!$A$6:$BA$16,COLUMNS($A:AN)+6,0))</f>
        <v/>
      </c>
      <c r="AU48" s="42" t="str">
        <f>IF(VLOOKUP($A48,Data_Template!$A$6:$BA$16,COLUMNS($A:AO)+6,0)=0,"",VLOOKUP($A48,Data_Template!$A$6:$BA$16,COLUMNS($A:AO)+6,0))</f>
        <v/>
      </c>
      <c r="AV48" s="42" t="str">
        <f>IF(VLOOKUP($A48,Data_Template!$A$6:$BA$16,COLUMNS($A:AP)+6,0)=0,"",VLOOKUP($A48,Data_Template!$A$6:$BA$16,COLUMNS($A:AP)+6,0))</f>
        <v/>
      </c>
      <c r="AW48" s="42" t="str">
        <f>IF(VLOOKUP($A48,Data_Template!$A$6:$BA$16,COLUMNS($A:AQ)+6,0)=0,"",VLOOKUP($A48,Data_Template!$A$6:$BA$16,COLUMNS($A:AQ)+6,0))</f>
        <v/>
      </c>
      <c r="AX48" s="42" t="str">
        <f>IF(VLOOKUP($A48,Data_Template!$A$6:$BA$16,COLUMNS($A:AR)+6,0)=0,"",VLOOKUP($A48,Data_Template!$A$6:$BA$16,COLUMNS($A:AR)+6,0))</f>
        <v/>
      </c>
      <c r="AY48" s="42" t="str">
        <f>IF(VLOOKUP($A48,Data_Template!$A$6:$BA$16,COLUMNS($A:AS)+6,0)=0,"",VLOOKUP($A48,Data_Template!$A$6:$BA$16,COLUMNS($A:AS)+6,0))</f>
        <v/>
      </c>
      <c r="AZ48" s="42" t="str">
        <f>IF(VLOOKUP($A48,Data_Template!$A$6:$BA$16,COLUMNS($A:AT)+6,0)=0,"",VLOOKUP($A48,Data_Template!$A$6:$BA$16,COLUMNS($A:AT)+6,0))</f>
        <v/>
      </c>
      <c r="BA48" s="42"/>
      <c r="BB48" s="50"/>
      <c r="BC48" s="42"/>
      <c r="BD48" s="42"/>
      <c r="BE48" s="42"/>
      <c r="BF48" s="42"/>
      <c r="BG48" s="42"/>
      <c r="BH48" s="42"/>
      <c r="BI48" s="42"/>
      <c r="BJ48" s="42"/>
      <c r="BL48" s="42"/>
      <c r="BM48" s="42"/>
      <c r="BN48" s="42"/>
      <c r="BO48" s="42"/>
      <c r="BP48" s="42"/>
      <c r="BQ48" s="42"/>
      <c r="BR48" s="42"/>
      <c r="BS48" s="42"/>
      <c r="BT48" s="42"/>
      <c r="BU48" s="42"/>
      <c r="BV48" s="42"/>
      <c r="BW48" s="42"/>
      <c r="BX48" s="42"/>
    </row>
    <row r="49" spans="1:76" s="51" customFormat="1" ht="14.25" x14ac:dyDescent="0.2">
      <c r="A49" s="246" t="str">
        <f>Classes!J16</f>
        <v>IFMA_C_31010009</v>
      </c>
      <c r="B49" s="246" t="str">
        <f>Classes!P16</f>
        <v>Grundstück</v>
      </c>
      <c r="C49" s="37"/>
      <c r="D49" s="42" t="s">
        <v>884</v>
      </c>
      <c r="E49" s="41"/>
      <c r="G49" s="42"/>
      <c r="H49" s="42" t="str">
        <f>IF(VLOOKUP($A49,Data_Template!$A$6:$BA$16,COLUMNS($A:B)+6,0)=0,"",VLOOKUP($A49,Data_Template!$A$6:$BA$16,COLUMNS($A:B)+6,0))</f>
        <v>x</v>
      </c>
      <c r="I49" s="42" t="str">
        <f>IF(VLOOKUP($A49,Data_Template!$A$6:$BA$16,COLUMNS($A:C)+6,0)=0,"",VLOOKUP($A49,Data_Template!$A$6:$BA$16,COLUMNS($A:C)+6,0))</f>
        <v/>
      </c>
      <c r="J49" s="42" t="str">
        <f>IF(VLOOKUP($A49,Data_Template!$A$6:$BA$16,COLUMNS($A:D)+6,0)=0,"",VLOOKUP($A49,Data_Template!$A$6:$BA$16,COLUMNS($A:D)+6,0))</f>
        <v/>
      </c>
      <c r="K49" s="42" t="str">
        <f>IF(VLOOKUP($A49,Data_Template!$A$6:$BA$16,COLUMNS($A:E)+6,0)=0,"",VLOOKUP($A49,Data_Template!$A$6:$BA$16,COLUMNS($A:E)+6,0))</f>
        <v/>
      </c>
      <c r="L49" s="42" t="str">
        <f>IF(VLOOKUP($A49,Data_Template!$A$6:$BA$16,COLUMNS($A:F)+6,0)=0,"",VLOOKUP($A49,Data_Template!$A$6:$BA$16,COLUMNS($A:F)+6,0))</f>
        <v/>
      </c>
      <c r="M49" s="42" t="str">
        <f>IF(VLOOKUP($A49,Data_Template!$A$6:$BA$16,COLUMNS($A:G)+6,0)=0,"",VLOOKUP($A49,Data_Template!$A$6:$BA$16,COLUMNS($A:G)+6,0))</f>
        <v/>
      </c>
      <c r="N49" s="42" t="str">
        <f>IF(VLOOKUP($A49,Data_Template!$A$6:$BA$16,COLUMNS($A:H)+6,0)=0,"",VLOOKUP($A49,Data_Template!$A$6:$BA$16,COLUMNS($A:H)+6,0))</f>
        <v/>
      </c>
      <c r="O49" s="42" t="str">
        <f>IF(VLOOKUP($A49,Data_Template!$A$6:$BA$16,COLUMNS($A:I)+6,0)=0,"",VLOOKUP($A49,Data_Template!$A$6:$BA$16,COLUMNS($A:I)+6,0))</f>
        <v/>
      </c>
      <c r="P49" s="42" t="str">
        <f>IF(VLOOKUP($A49,Data_Template!$A$6:$BA$16,COLUMNS($A:J)+6,0)=0,"",VLOOKUP($A49,Data_Template!$A$6:$BA$16,COLUMNS($A:J)+6,0))</f>
        <v/>
      </c>
      <c r="Q49" s="42"/>
      <c r="R49" s="42" t="str">
        <f>IF(VLOOKUP($A49,Data_Template!$A$6:$BA$16,COLUMNS($A:L)+6,0)=0,"",VLOOKUP($A49,Data_Template!$A$6:$BA$16,COLUMNS($A:L)+6,0))</f>
        <v/>
      </c>
      <c r="S49" s="42" t="str">
        <f>IF(VLOOKUP($A49,Data_Template!$A$6:$BA$16,COLUMNS($A:M)+6,0)=0,"",VLOOKUP($A49,Data_Template!$A$6:$BA$16,COLUMNS($A:M)+6,0))</f>
        <v/>
      </c>
      <c r="T49" s="42" t="str">
        <f>IF(VLOOKUP($A49,Data_Template!$A$6:$BA$16,COLUMNS($A:N)+6,0)=0,"",VLOOKUP($A49,Data_Template!$A$6:$BA$16,COLUMNS($A:N)+6,0))</f>
        <v/>
      </c>
      <c r="U49" s="42" t="str">
        <f>IF(VLOOKUP($A49,Data_Template!$A$6:$BA$16,COLUMNS($A:O)+6,0)=0,"",VLOOKUP($A49,Data_Template!$A$6:$BA$16,COLUMNS($A:O)+6,0))</f>
        <v/>
      </c>
      <c r="V49" s="42" t="str">
        <f>IF(VLOOKUP($A49,Data_Template!$A$6:$BA$16,COLUMNS($A:P)+6,0)=0,"",VLOOKUP($A49,Data_Template!$A$6:$BA$16,COLUMNS($A:P)+6,0))</f>
        <v/>
      </c>
      <c r="W49" s="42" t="str">
        <f>IF(VLOOKUP($A49,Data_Template!$A$6:$BA$16,COLUMNS($A:Q)+6,0)=0,"",VLOOKUP($A49,Data_Template!$A$6:$BA$16,COLUMNS($A:Q)+6,0))</f>
        <v/>
      </c>
      <c r="X49" s="42" t="str">
        <f>IF(VLOOKUP($A49,Data_Template!$A$6:$BA$16,COLUMNS($A:R)+6,0)=0,"",VLOOKUP($A49,Data_Template!$A$6:$BA$16,COLUMNS($A:R)+6,0))</f>
        <v/>
      </c>
      <c r="Y49" s="42" t="str">
        <f>IF(VLOOKUP($A49,Data_Template!$A$6:$BA$16,COLUMNS($A:S)+6,0)=0,"",VLOOKUP($A49,Data_Template!$A$6:$BA$16,COLUMNS($A:S)+6,0))</f>
        <v/>
      </c>
      <c r="Z49" s="42" t="str">
        <f>IF(VLOOKUP($A49,Data_Template!$A$6:$BA$16,COLUMNS($A:T)+6,0)=0,"",VLOOKUP($A49,Data_Template!$A$6:$BA$16,COLUMNS($A:T)+6,0))</f>
        <v/>
      </c>
      <c r="AA49" s="42" t="str">
        <f>IF(VLOOKUP($A49,Data_Template!$A$6:$BA$16,COLUMNS($A:U)+6,0)=0,"",VLOOKUP($A49,Data_Template!$A$6:$BA$16,COLUMNS($A:U)+6,0))</f>
        <v/>
      </c>
      <c r="AB49" s="42" t="str">
        <f>IF(VLOOKUP($A49,Data_Template!$A$6:$BA$16,COLUMNS($A:V)+6,0)=0,"",VLOOKUP($A49,Data_Template!$A$6:$BA$16,COLUMNS($A:V)+6,0))</f>
        <v/>
      </c>
      <c r="AC49" s="42" t="str">
        <f>IF(VLOOKUP($A49,Data_Template!$A$6:$BA$16,COLUMNS($A:W)+6,0)=0,"",VLOOKUP($A49,Data_Template!$A$6:$BA$16,COLUMNS($A:W)+6,0))</f>
        <v/>
      </c>
      <c r="AD49" s="42" t="str">
        <f>IF(VLOOKUP($A49,Data_Template!$A$6:$BA$16,COLUMNS($A:X)+6,0)=0,"",VLOOKUP($A49,Data_Template!$A$6:$BA$16,COLUMNS($A:X)+6,0))</f>
        <v/>
      </c>
      <c r="AE49" s="42" t="str">
        <f>IF(VLOOKUP($A49,Data_Template!$A$6:$BA$16,COLUMNS($A:Y)+6,0)=0,"",VLOOKUP($A49,Data_Template!$A$6:$BA$16,COLUMNS($A:Y)+6,0))</f>
        <v/>
      </c>
      <c r="AF49" s="42" t="str">
        <f>IF(VLOOKUP($A49,Data_Template!$A$6:$BA$16,COLUMNS($A:Z)+6,0)=0,"",VLOOKUP($A49,Data_Template!$A$6:$BA$16,COLUMNS($A:Z)+6,0))</f>
        <v/>
      </c>
      <c r="AG49" s="42" t="str">
        <f>IF(VLOOKUP($A49,Data_Template!$A$6:$BA$16,COLUMNS($A:AA)+6,0)=0,"",VLOOKUP($A49,Data_Template!$A$6:$BA$16,COLUMNS($A:AA)+6,0))</f>
        <v/>
      </c>
      <c r="AH49" s="42" t="str">
        <f>IF(VLOOKUP($A49,Data_Template!$A$6:$BA$16,COLUMNS($A:AB)+6,0)=0,"",VLOOKUP($A49,Data_Template!$A$6:$BA$16,COLUMNS($A:AB)+6,0))</f>
        <v/>
      </c>
      <c r="AI49" s="42" t="str">
        <f>IF(VLOOKUP($A49,Data_Template!$A$6:$BA$16,COLUMNS($A:AC)+6,0)=0,"",VLOOKUP($A49,Data_Template!$A$6:$BA$16,COLUMNS($A:AC)+6,0))</f>
        <v/>
      </c>
      <c r="AJ49" s="42" t="str">
        <f>IF(VLOOKUP($A49,Data_Template!$A$6:$BA$16,COLUMNS($A:AD)+6,0)=0,"",VLOOKUP($A49,Data_Template!$A$6:$BA$16,COLUMNS($A:AD)+6,0))</f>
        <v/>
      </c>
      <c r="AK49" s="42" t="str">
        <f>IF(VLOOKUP($A49,Data_Template!$A$6:$BA$16,COLUMNS($A:AE)+6,0)=0,"",VLOOKUP($A49,Data_Template!$A$6:$BA$16,COLUMNS($A:AE)+6,0))</f>
        <v/>
      </c>
      <c r="AL49" s="42" t="str">
        <f>IF(VLOOKUP($A49,Data_Template!$A$6:$BA$16,COLUMNS($A:AF)+6,0)=0,"",VLOOKUP($A49,Data_Template!$A$6:$BA$16,COLUMNS($A:AF)+6,0))</f>
        <v/>
      </c>
      <c r="AM49" s="42" t="str">
        <f>IF(VLOOKUP($A49,Data_Template!$A$6:$BA$16,COLUMNS($A:AG)+6,0)=0,"",VLOOKUP($A49,Data_Template!$A$6:$BA$16,COLUMNS($A:AG)+6,0))</f>
        <v/>
      </c>
      <c r="AN49" s="42" t="str">
        <f>IF(VLOOKUP($A49,Data_Template!$A$6:$BA$16,COLUMNS($A:AH)+6,0)=0,"",VLOOKUP($A49,Data_Template!$A$6:$BA$16,COLUMNS($A:AH)+6,0))</f>
        <v/>
      </c>
      <c r="AO49" s="42" t="str">
        <f>IF(VLOOKUP($A49,Data_Template!$A$6:$BA$16,COLUMNS($A:AI)+6,0)=0,"",VLOOKUP($A49,Data_Template!$A$6:$BA$16,COLUMNS($A:AI)+6,0))</f>
        <v/>
      </c>
      <c r="AP49" s="42" t="str">
        <f>IF(VLOOKUP($A49,Data_Template!$A$6:$BA$16,COLUMNS($A:AJ)+6,0)=0,"",VLOOKUP($A49,Data_Template!$A$6:$BA$16,COLUMNS($A:AJ)+6,0))</f>
        <v/>
      </c>
      <c r="AQ49" s="42" t="str">
        <f>IF(VLOOKUP($A49,Data_Template!$A$6:$BA$16,COLUMNS($A:AK)+6,0)=0,"",VLOOKUP($A49,Data_Template!$A$6:$BA$16,COLUMNS($A:AK)+6,0))</f>
        <v/>
      </c>
      <c r="AR49" s="42" t="str">
        <f>IF(VLOOKUP($A49,Data_Template!$A$6:$BA$16,COLUMNS($A:AL)+6,0)=0,"",VLOOKUP($A49,Data_Template!$A$6:$BA$16,COLUMNS($A:AL)+6,0))</f>
        <v/>
      </c>
      <c r="AS49" s="42" t="str">
        <f>IF(VLOOKUP($A49,Data_Template!$A$6:$BA$16,COLUMNS($A:AM)+6,0)=0,"",VLOOKUP($A49,Data_Template!$A$6:$BA$16,COLUMNS($A:AM)+6,0))</f>
        <v/>
      </c>
      <c r="AT49" s="42" t="str">
        <f>IF(VLOOKUP($A49,Data_Template!$A$6:$BA$16,COLUMNS($A:AN)+6,0)=0,"",VLOOKUP($A49,Data_Template!$A$6:$BA$16,COLUMNS($A:AN)+6,0))</f>
        <v/>
      </c>
      <c r="AU49" s="42" t="str">
        <f>IF(VLOOKUP($A49,Data_Template!$A$6:$BA$16,COLUMNS($A:AO)+6,0)=0,"",VLOOKUP($A49,Data_Template!$A$6:$BA$16,COLUMNS($A:AO)+6,0))</f>
        <v/>
      </c>
      <c r="AV49" s="42" t="str">
        <f>IF(VLOOKUP($A49,Data_Template!$A$6:$BA$16,COLUMNS($A:AP)+6,0)=0,"",VLOOKUP($A49,Data_Template!$A$6:$BA$16,COLUMNS($A:AP)+6,0))</f>
        <v/>
      </c>
      <c r="AW49" s="42" t="str">
        <f>IF(VLOOKUP($A49,Data_Template!$A$6:$BA$16,COLUMNS($A:AQ)+6,0)=0,"",VLOOKUP($A49,Data_Template!$A$6:$BA$16,COLUMNS($A:AQ)+6,0))</f>
        <v/>
      </c>
      <c r="AX49" s="42" t="str">
        <f>IF(VLOOKUP($A49,Data_Template!$A$6:$BA$16,COLUMNS($A:AR)+6,0)=0,"",VLOOKUP($A49,Data_Template!$A$6:$BA$16,COLUMNS($A:AR)+6,0))</f>
        <v/>
      </c>
      <c r="AY49" s="42" t="str">
        <f>IF(VLOOKUP($A49,Data_Template!$A$6:$BA$16,COLUMNS($A:AS)+6,0)=0,"",VLOOKUP($A49,Data_Template!$A$6:$BA$16,COLUMNS($A:AS)+6,0))</f>
        <v/>
      </c>
      <c r="AZ49" s="42" t="str">
        <f>IF(VLOOKUP($A49,Data_Template!$A$6:$BA$16,COLUMNS($A:AT)+6,0)=0,"",VLOOKUP($A49,Data_Template!$A$6:$BA$16,COLUMNS($A:AT)+6,0))</f>
        <v/>
      </c>
      <c r="BA49" s="42" t="str">
        <f>IF(VLOOKUP($A49,Data_Template!$A$6:$BA$16,COLUMNS($A:AU)+6,0)=0,"",VLOOKUP($A49,Data_Template!$A$6:$BA$16,COLUMNS($A:AU)+6,0))</f>
        <v/>
      </c>
      <c r="BB49" s="50"/>
      <c r="BC49" s="42"/>
      <c r="BD49" s="42"/>
      <c r="BE49" s="42"/>
      <c r="BF49" s="42"/>
      <c r="BG49" s="42"/>
      <c r="BH49" s="42"/>
      <c r="BI49" s="42"/>
      <c r="BJ49" s="42"/>
      <c r="BL49" s="42"/>
      <c r="BM49" s="42"/>
      <c r="BN49" s="42"/>
      <c r="BO49" s="42"/>
      <c r="BP49" s="42"/>
      <c r="BQ49" s="42"/>
      <c r="BR49" s="42"/>
      <c r="BS49" s="42"/>
      <c r="BT49" s="42"/>
      <c r="BU49" s="42"/>
      <c r="BV49" s="42"/>
      <c r="BW49" s="42"/>
      <c r="BX49" s="42"/>
    </row>
    <row r="50" spans="1:76" s="51" customFormat="1" ht="14.25" x14ac:dyDescent="0.2">
      <c r="A50" s="246" t="str">
        <f>Classes!J17</f>
        <v>IFMA_C_31010010</v>
      </c>
      <c r="B50" s="246" t="str">
        <f>Classes!P17</f>
        <v>Gebäude</v>
      </c>
      <c r="C50" s="37"/>
      <c r="D50" s="42" t="s">
        <v>884</v>
      </c>
      <c r="E50" s="41"/>
      <c r="G50" s="42"/>
      <c r="H50" s="42" t="str">
        <f>IF(VLOOKUP($A50,Data_Template!$A$6:$BA$16,COLUMNS($A:B)+6,0)=0,"",VLOOKUP($A50,Data_Template!$A$6:$BA$16,COLUMNS($A:B)+6,0))</f>
        <v>x</v>
      </c>
      <c r="I50" s="42" t="str">
        <f>IF(VLOOKUP($A50,Data_Template!$A$6:$BA$16,COLUMNS($A:C)+6,0)=0,"",VLOOKUP($A50,Data_Template!$A$6:$BA$16,COLUMNS($A:C)+6,0))</f>
        <v/>
      </c>
      <c r="J50" s="42" t="str">
        <f>IF(VLOOKUP($A50,Data_Template!$A$6:$BA$16,COLUMNS($A:D)+6,0)=0,"",VLOOKUP($A50,Data_Template!$A$6:$BA$16,COLUMNS($A:D)+6,0))</f>
        <v/>
      </c>
      <c r="K50" s="42" t="str">
        <f>IF(VLOOKUP($A50,Data_Template!$A$6:$BA$16,COLUMNS($A:E)+6,0)=0,"",VLOOKUP($A50,Data_Template!$A$6:$BA$16,COLUMNS($A:E)+6,0))</f>
        <v/>
      </c>
      <c r="L50" s="42" t="str">
        <f>IF(VLOOKUP($A50,Data_Template!$A$6:$BA$16,COLUMNS($A:F)+6,0)=0,"",VLOOKUP($A50,Data_Template!$A$6:$BA$16,COLUMNS($A:F)+6,0))</f>
        <v/>
      </c>
      <c r="M50" s="42" t="str">
        <f>IF(VLOOKUP($A50,Data_Template!$A$6:$BA$16,COLUMNS($A:G)+6,0)=0,"",VLOOKUP($A50,Data_Template!$A$6:$BA$16,COLUMNS($A:G)+6,0))</f>
        <v/>
      </c>
      <c r="N50" s="42" t="str">
        <f>IF(VLOOKUP($A50,Data_Template!$A$6:$BA$16,COLUMNS($A:H)+6,0)=0,"",VLOOKUP($A50,Data_Template!$A$6:$BA$16,COLUMNS($A:H)+6,0))</f>
        <v/>
      </c>
      <c r="O50" s="42" t="str">
        <f>IF(VLOOKUP($A50,Data_Template!$A$6:$BA$16,COLUMNS($A:I)+6,0)=0,"",VLOOKUP($A50,Data_Template!$A$6:$BA$16,COLUMNS($A:I)+6,0))</f>
        <v/>
      </c>
      <c r="P50" s="42" t="str">
        <f>IF(VLOOKUP($A50,Data_Template!$A$6:$BA$16,COLUMNS($A:J)+6,0)=0,"",VLOOKUP($A50,Data_Template!$A$6:$BA$16,COLUMNS($A:J)+6,0))</f>
        <v/>
      </c>
      <c r="Q50" s="42"/>
      <c r="R50" s="42" t="str">
        <f>IF(VLOOKUP($A50,Data_Template!$A$6:$BA$16,COLUMNS($A:L)+6,0)=0,"",VLOOKUP($A50,Data_Template!$A$6:$BA$16,COLUMNS($A:L)+6,0))</f>
        <v/>
      </c>
      <c r="S50" s="42" t="str">
        <f>IF(VLOOKUP($A50,Data_Template!$A$6:$BA$16,COLUMNS($A:M)+6,0)=0,"",VLOOKUP($A50,Data_Template!$A$6:$BA$16,COLUMNS($A:M)+6,0))</f>
        <v/>
      </c>
      <c r="T50" s="42" t="str">
        <f>IF(VLOOKUP($A50,Data_Template!$A$6:$BA$16,COLUMNS($A:N)+6,0)=0,"",VLOOKUP($A50,Data_Template!$A$6:$BA$16,COLUMNS($A:N)+6,0))</f>
        <v/>
      </c>
      <c r="U50" s="42" t="str">
        <f>IF(VLOOKUP($A50,Data_Template!$A$6:$BA$16,COLUMNS($A:O)+6,0)=0,"",VLOOKUP($A50,Data_Template!$A$6:$BA$16,COLUMNS($A:O)+6,0))</f>
        <v/>
      </c>
      <c r="V50" s="42" t="str">
        <f>IF(VLOOKUP($A50,Data_Template!$A$6:$BA$16,COLUMNS($A:P)+6,0)=0,"",VLOOKUP($A50,Data_Template!$A$6:$BA$16,COLUMNS($A:P)+6,0))</f>
        <v/>
      </c>
      <c r="W50" s="42" t="str">
        <f>IF(VLOOKUP($A50,Data_Template!$A$6:$BA$16,COLUMNS($A:Q)+6,0)=0,"",VLOOKUP($A50,Data_Template!$A$6:$BA$16,COLUMNS($A:Q)+6,0))</f>
        <v/>
      </c>
      <c r="X50" s="42" t="str">
        <f>IF(VLOOKUP($A50,Data_Template!$A$6:$BA$16,COLUMNS($A:R)+6,0)=0,"",VLOOKUP($A50,Data_Template!$A$6:$BA$16,COLUMNS($A:R)+6,0))</f>
        <v/>
      </c>
      <c r="Y50" s="42" t="str">
        <f>IF(VLOOKUP($A50,Data_Template!$A$6:$BA$16,COLUMNS($A:S)+6,0)=0,"",VLOOKUP($A50,Data_Template!$A$6:$BA$16,COLUMNS($A:S)+6,0))</f>
        <v/>
      </c>
      <c r="Z50" s="42" t="str">
        <f>IF(VLOOKUP($A50,Data_Template!$A$6:$BA$16,COLUMNS($A:T)+6,0)=0,"",VLOOKUP($A50,Data_Template!$A$6:$BA$16,COLUMNS($A:T)+6,0))</f>
        <v/>
      </c>
      <c r="AA50" s="42" t="str">
        <f>IF(VLOOKUP($A50,Data_Template!$A$6:$BA$16,COLUMNS($A:U)+6,0)=0,"",VLOOKUP($A50,Data_Template!$A$6:$BA$16,COLUMNS($A:U)+6,0))</f>
        <v/>
      </c>
      <c r="AB50" s="42" t="str">
        <f>IF(VLOOKUP($A50,Data_Template!$A$6:$BA$16,COLUMNS($A:V)+6,0)=0,"",VLOOKUP($A50,Data_Template!$A$6:$BA$16,COLUMNS($A:V)+6,0))</f>
        <v/>
      </c>
      <c r="AC50" s="42" t="str">
        <f>IF(VLOOKUP($A50,Data_Template!$A$6:$BA$16,COLUMNS($A:W)+6,0)=0,"",VLOOKUP($A50,Data_Template!$A$6:$BA$16,COLUMNS($A:W)+6,0))</f>
        <v/>
      </c>
      <c r="AD50" s="42" t="str">
        <f>IF(VLOOKUP($A50,Data_Template!$A$6:$BA$16,COLUMNS($A:X)+6,0)=0,"",VLOOKUP($A50,Data_Template!$A$6:$BA$16,COLUMNS($A:X)+6,0))</f>
        <v/>
      </c>
      <c r="AE50" s="42" t="str">
        <f>IF(VLOOKUP($A50,Data_Template!$A$6:$BA$16,COLUMNS($A:Y)+6,0)=0,"",VLOOKUP($A50,Data_Template!$A$6:$BA$16,COLUMNS($A:Y)+6,0))</f>
        <v/>
      </c>
      <c r="AF50" s="42" t="str">
        <f>IF(VLOOKUP($A50,Data_Template!$A$6:$BA$16,COLUMNS($A:Z)+6,0)=0,"",VLOOKUP($A50,Data_Template!$A$6:$BA$16,COLUMNS($A:Z)+6,0))</f>
        <v/>
      </c>
      <c r="AG50" s="42" t="str">
        <f>IF(VLOOKUP($A50,Data_Template!$A$6:$BA$16,COLUMNS($A:AA)+6,0)=0,"",VLOOKUP($A50,Data_Template!$A$6:$BA$16,COLUMNS($A:AA)+6,0))</f>
        <v/>
      </c>
      <c r="AH50" s="42" t="str">
        <f>IF(VLOOKUP($A50,Data_Template!$A$6:$BA$16,COLUMNS($A:AB)+6,0)=0,"",VLOOKUP($A50,Data_Template!$A$6:$BA$16,COLUMNS($A:AB)+6,0))</f>
        <v/>
      </c>
      <c r="AI50" s="42" t="str">
        <f>IF(VLOOKUP($A50,Data_Template!$A$6:$BA$16,COLUMNS($A:AC)+6,0)=0,"",VLOOKUP($A50,Data_Template!$A$6:$BA$16,COLUMNS($A:AC)+6,0))</f>
        <v/>
      </c>
      <c r="AJ50" s="42" t="str">
        <f>IF(VLOOKUP($A50,Data_Template!$A$6:$BA$16,COLUMNS($A:AD)+6,0)=0,"",VLOOKUP($A50,Data_Template!$A$6:$BA$16,COLUMNS($A:AD)+6,0))</f>
        <v/>
      </c>
      <c r="AK50" s="42" t="str">
        <f>IF(VLOOKUP($A50,Data_Template!$A$6:$BA$16,COLUMNS($A:AE)+6,0)=0,"",VLOOKUP($A50,Data_Template!$A$6:$BA$16,COLUMNS($A:AE)+6,0))</f>
        <v/>
      </c>
      <c r="AL50" s="42" t="str">
        <f>IF(VLOOKUP($A50,Data_Template!$A$6:$BA$16,COLUMNS($A:AF)+6,0)=0,"",VLOOKUP($A50,Data_Template!$A$6:$BA$16,COLUMNS($A:AF)+6,0))</f>
        <v/>
      </c>
      <c r="AM50" s="42" t="str">
        <f>IF(VLOOKUP($A50,Data_Template!$A$6:$BA$16,COLUMNS($A:AG)+6,0)=0,"",VLOOKUP($A50,Data_Template!$A$6:$BA$16,COLUMNS($A:AG)+6,0))</f>
        <v/>
      </c>
      <c r="AN50" s="42" t="str">
        <f>IF(VLOOKUP($A50,Data_Template!$A$6:$BA$16,COLUMNS($A:AH)+6,0)=0,"",VLOOKUP($A50,Data_Template!$A$6:$BA$16,COLUMNS($A:AH)+6,0))</f>
        <v/>
      </c>
      <c r="AO50" s="42" t="str">
        <f>IF(VLOOKUP($A50,Data_Template!$A$6:$BA$16,COLUMNS($A:AI)+6,0)=0,"",VLOOKUP($A50,Data_Template!$A$6:$BA$16,COLUMNS($A:AI)+6,0))</f>
        <v/>
      </c>
      <c r="AP50" s="42" t="str">
        <f>IF(VLOOKUP($A50,Data_Template!$A$6:$BA$16,COLUMNS($A:AJ)+6,0)=0,"",VLOOKUP($A50,Data_Template!$A$6:$BA$16,COLUMNS($A:AJ)+6,0))</f>
        <v/>
      </c>
      <c r="AQ50" s="42" t="str">
        <f>IF(VLOOKUP($A50,Data_Template!$A$6:$BA$16,COLUMNS($A:AK)+6,0)=0,"",VLOOKUP($A50,Data_Template!$A$6:$BA$16,COLUMNS($A:AK)+6,0))</f>
        <v/>
      </c>
      <c r="AR50" s="42" t="str">
        <f>IF(VLOOKUP($A50,Data_Template!$A$6:$BA$16,COLUMNS($A:AL)+6,0)=0,"",VLOOKUP($A50,Data_Template!$A$6:$BA$16,COLUMNS($A:AL)+6,0))</f>
        <v/>
      </c>
      <c r="AS50" s="42" t="str">
        <f>IF(VLOOKUP($A50,Data_Template!$A$6:$BA$16,COLUMNS($A:AM)+6,0)=0,"",VLOOKUP($A50,Data_Template!$A$6:$BA$16,COLUMNS($A:AM)+6,0))</f>
        <v/>
      </c>
      <c r="AT50" s="42" t="str">
        <f>IF(VLOOKUP($A50,Data_Template!$A$6:$BA$16,COLUMNS($A:AN)+6,0)=0,"",VLOOKUP($A50,Data_Template!$A$6:$BA$16,COLUMNS($A:AN)+6,0))</f>
        <v/>
      </c>
      <c r="AU50" s="42" t="str">
        <f>IF(VLOOKUP($A50,Data_Template!$A$6:$BA$16,COLUMNS($A:AO)+6,0)=0,"",VLOOKUP($A50,Data_Template!$A$6:$BA$16,COLUMNS($A:AO)+6,0))</f>
        <v/>
      </c>
      <c r="AV50" s="42" t="str">
        <f>IF(VLOOKUP($A50,Data_Template!$A$6:$BA$16,COLUMNS($A:AP)+6,0)=0,"",VLOOKUP($A50,Data_Template!$A$6:$BA$16,COLUMNS($A:AP)+6,0))</f>
        <v/>
      </c>
      <c r="AW50" s="42" t="str">
        <f>IF(VLOOKUP($A50,Data_Template!$A$6:$BA$16,COLUMNS($A:AQ)+6,0)=0,"",VLOOKUP($A50,Data_Template!$A$6:$BA$16,COLUMNS($A:AQ)+6,0))</f>
        <v/>
      </c>
      <c r="AX50" s="42" t="str">
        <f>IF(VLOOKUP($A50,Data_Template!$A$6:$BA$16,COLUMNS($A:AR)+6,0)=0,"",VLOOKUP($A50,Data_Template!$A$6:$BA$16,COLUMNS($A:AR)+6,0))</f>
        <v/>
      </c>
      <c r="AY50" s="42" t="str">
        <f>IF(VLOOKUP($A50,Data_Template!$A$6:$BA$16,COLUMNS($A:AS)+6,0)=0,"",VLOOKUP($A50,Data_Template!$A$6:$BA$16,COLUMNS($A:AS)+6,0))</f>
        <v/>
      </c>
      <c r="AZ50" s="42" t="str">
        <f>IF(VLOOKUP($A50,Data_Template!$A$6:$BA$16,COLUMNS($A:AT)+6,0)=0,"",VLOOKUP($A50,Data_Template!$A$6:$BA$16,COLUMNS($A:AT)+6,0))</f>
        <v/>
      </c>
      <c r="BA50" s="42" t="str">
        <f>IF(VLOOKUP($A50,Data_Template!$A$6:$BA$16,COLUMNS($A:AU)+6,0)=0,"",VLOOKUP($A50,Data_Template!$A$6:$BA$16,COLUMNS($A:AU)+6,0))</f>
        <v/>
      </c>
      <c r="BB50" s="50"/>
      <c r="BC50" s="42"/>
      <c r="BD50" s="42"/>
      <c r="BE50" s="42"/>
      <c r="BF50" s="42"/>
      <c r="BG50" s="42"/>
      <c r="BH50" s="42"/>
      <c r="BI50" s="42"/>
      <c r="BJ50" s="42"/>
      <c r="BL50" s="42"/>
      <c r="BM50" s="42"/>
      <c r="BN50" s="42"/>
      <c r="BO50" s="42"/>
      <c r="BP50" s="42"/>
      <c r="BQ50" s="42"/>
      <c r="BR50" s="42"/>
      <c r="BS50" s="42"/>
      <c r="BT50" s="42"/>
      <c r="BU50" s="42"/>
      <c r="BV50" s="42"/>
      <c r="BW50" s="42"/>
      <c r="BX50" s="42"/>
    </row>
    <row r="52" spans="1:76" s="67" customFormat="1" ht="6" customHeight="1" x14ac:dyDescent="0.25">
      <c r="A52" s="268"/>
      <c r="B52" s="269"/>
      <c r="C52" s="251"/>
      <c r="D52" s="252"/>
      <c r="E52" s="253"/>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1"/>
      <c r="BC52" s="254"/>
      <c r="BD52" s="251"/>
      <c r="BE52" s="251"/>
      <c r="BF52" s="251"/>
      <c r="BG52" s="251"/>
      <c r="BH52" s="251"/>
      <c r="BI52" s="251"/>
      <c r="BJ52" s="251"/>
      <c r="BK52" s="251"/>
      <c r="BL52" s="254"/>
      <c r="BM52" s="251"/>
      <c r="BN52" s="251"/>
      <c r="BO52" s="251"/>
      <c r="BP52" s="251"/>
      <c r="BQ52" s="251"/>
      <c r="BR52" s="251"/>
      <c r="BS52" s="251"/>
      <c r="BT52" s="251"/>
      <c r="BU52" s="251"/>
      <c r="BV52" s="251"/>
      <c r="BW52" s="251"/>
      <c r="BX52" s="255"/>
    </row>
    <row r="53" spans="1:76" s="67" customFormat="1" ht="18" customHeight="1" x14ac:dyDescent="0.25">
      <c r="A53" s="272" t="s">
        <v>979</v>
      </c>
      <c r="B53" s="288" t="s">
        <v>980</v>
      </c>
      <c r="C53" s="288"/>
      <c r="D53" s="288"/>
      <c r="E53" s="249"/>
      <c r="F53" s="248"/>
      <c r="G53" s="256"/>
      <c r="H53" s="256"/>
      <c r="I53" s="257" t="s">
        <v>971</v>
      </c>
      <c r="J53" s="257"/>
      <c r="K53" s="257"/>
      <c r="L53" s="257"/>
      <c r="M53" s="248"/>
      <c r="N53" s="248"/>
      <c r="O53" s="273"/>
      <c r="P53" s="273"/>
      <c r="Q53" s="257" t="s">
        <v>996</v>
      </c>
      <c r="R53" s="257"/>
      <c r="S53" s="257"/>
      <c r="T53" s="257"/>
      <c r="U53" s="257"/>
      <c r="V53" s="257"/>
      <c r="W53" s="257"/>
      <c r="X53" s="257"/>
      <c r="Y53" s="257"/>
      <c r="Z53" s="257"/>
      <c r="AA53" s="257"/>
      <c r="AB53" s="257"/>
      <c r="AC53" s="257"/>
      <c r="AD53" s="257"/>
      <c r="AE53" s="257"/>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7"/>
      <c r="BC53" s="250"/>
      <c r="BD53" s="247"/>
      <c r="BE53" s="247"/>
      <c r="BF53" s="247"/>
      <c r="BG53" s="247"/>
      <c r="BH53" s="247"/>
      <c r="BI53" s="247"/>
      <c r="BJ53" s="247"/>
      <c r="BK53" s="247"/>
      <c r="BL53" s="250"/>
      <c r="BM53" s="247"/>
      <c r="BN53" s="247"/>
      <c r="BO53" s="247"/>
      <c r="BP53" s="247"/>
      <c r="BQ53" s="247"/>
      <c r="BR53" s="247"/>
      <c r="BS53" s="247"/>
      <c r="BT53" s="247"/>
      <c r="BU53" s="247"/>
      <c r="BV53" s="247"/>
      <c r="BW53" s="247"/>
      <c r="BX53" s="258"/>
    </row>
    <row r="54" spans="1:76" s="67" customFormat="1" ht="6" customHeight="1" x14ac:dyDescent="0.25">
      <c r="A54" s="270"/>
      <c r="B54" s="271"/>
      <c r="C54" s="259"/>
      <c r="D54" s="260"/>
      <c r="E54" s="261"/>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59"/>
      <c r="BC54" s="262"/>
      <c r="BD54" s="259"/>
      <c r="BE54" s="259"/>
      <c r="BF54" s="259"/>
      <c r="BG54" s="259"/>
      <c r="BH54" s="259"/>
      <c r="BI54" s="259"/>
      <c r="BJ54" s="259"/>
      <c r="BK54" s="259"/>
      <c r="BL54" s="262"/>
      <c r="BM54" s="259"/>
      <c r="BN54" s="259"/>
      <c r="BO54" s="259"/>
      <c r="BP54" s="259"/>
      <c r="BQ54" s="259"/>
      <c r="BR54" s="259"/>
      <c r="BS54" s="259"/>
      <c r="BT54" s="259"/>
      <c r="BU54" s="259"/>
      <c r="BV54" s="259"/>
      <c r="BW54" s="259"/>
      <c r="BX54" s="263"/>
    </row>
    <row r="55" spans="1:76" s="52" customFormat="1" ht="18" x14ac:dyDescent="0.2">
      <c r="A55" s="246" t="str">
        <f>Classes!J7</f>
        <v>IFMA_C_31010000</v>
      </c>
      <c r="B55" s="246" t="str">
        <f>Classes!P7</f>
        <v>Geschoss</v>
      </c>
      <c r="C55" s="37"/>
      <c r="D55" s="246" t="s">
        <v>884</v>
      </c>
      <c r="E55" s="41"/>
      <c r="F55" s="51"/>
      <c r="G55" s="246" t="str">
        <f>IF(VLOOKUP($A55,Data_Template!$A$6:$BA$16,COLUMNS($A:A)+6,0)=0,"",VLOOKUP($A55,Data_Template!$A$6:$BA$16,COLUMNS($A:A)+6,0))</f>
        <v>x</v>
      </c>
      <c r="H55" s="246" t="str">
        <f>IF(VLOOKUP($A55,Data_Template!$A$6:$BA$16,COLUMNS($A:B)+6,0)=0,"",VLOOKUP($A55,Data_Template!$A$6:$BA$16,COLUMNS($A:B)+6,0))</f>
        <v>x</v>
      </c>
      <c r="I55" s="246" t="str">
        <f>IF(VLOOKUP($A55,Data_Template!$A$6:$BA$16,COLUMNS($A:C)+6,0)=0,"",VLOOKUP($A55,Data_Template!$A$6:$BA$16,COLUMNS($A:C)+6,0))</f>
        <v/>
      </c>
      <c r="J55" s="246" t="str">
        <f>IF(VLOOKUP($A55,Data_Template!$A$6:$BA$16,COLUMNS($A:D)+6,0)=0,"",VLOOKUP($A55,Data_Template!$A$6:$BA$16,COLUMNS($A:D)+6,0))</f>
        <v/>
      </c>
      <c r="K55" s="246" t="str">
        <f>IF(VLOOKUP($A55,Data_Template!$A$6:$BA$16,COLUMNS($A:E)+6,0)=0,"",VLOOKUP($A55,Data_Template!$A$6:$BA$16,COLUMNS($A:E)+6,0))</f>
        <v/>
      </c>
      <c r="L55" s="246" t="str">
        <f>IF(VLOOKUP($A55,Data_Template!$A$6:$BA$16,COLUMNS($A:F)+6,0)=0,"",VLOOKUP($A55,Data_Template!$A$6:$BA$16,COLUMNS($A:F)+6,0))</f>
        <v/>
      </c>
      <c r="M55" s="246" t="str">
        <f>IF(VLOOKUP($A55,Data_Template!$A$6:$BA$16,COLUMNS($A:G)+6,0)=0,"",VLOOKUP($A55,Data_Template!$A$6:$BA$16,COLUMNS($A:G)+6,0))</f>
        <v/>
      </c>
      <c r="N55" s="246" t="str">
        <f>IF(VLOOKUP($A55,Data_Template!$A$6:$BA$16,COLUMNS($A:H)+6,0)=0,"",VLOOKUP($A55,Data_Template!$A$6:$BA$16,COLUMNS($A:H)+6,0))</f>
        <v/>
      </c>
      <c r="O55" s="246" t="str">
        <f>IF(VLOOKUP($A55,Data_Template!$A$6:$BA$16,COLUMNS($A:I)+6,0)=0,"",VLOOKUP($A55,Data_Template!$A$6:$BA$16,COLUMNS($A:I)+6,0))</f>
        <v/>
      </c>
      <c r="P55" s="246" t="str">
        <f>IF(VLOOKUP($A55,Data_Template!$A$6:$BA$16,COLUMNS($A:J)+6,0)=0,"",VLOOKUP($A55,Data_Template!$A$6:$BA$16,COLUMNS($A:J)+6,0))</f>
        <v/>
      </c>
      <c r="Q55" s="246"/>
      <c r="R55" s="246" t="str">
        <f>IF(VLOOKUP($A55,Data_Template!$A$6:$BA$16,COLUMNS($A:L)+6,0)=0,"",VLOOKUP($A55,Data_Template!$A$6:$BA$16,COLUMNS($A:L)+6,0))</f>
        <v/>
      </c>
      <c r="S55" s="246" t="str">
        <f>IF(VLOOKUP($A55,Data_Template!$A$6:$BA$16,COLUMNS($A:M)+6,0)=0,"",VLOOKUP($A55,Data_Template!$A$6:$BA$16,COLUMNS($A:M)+6,0))</f>
        <v/>
      </c>
      <c r="T55" s="246" t="str">
        <f>IF(VLOOKUP($A55,Data_Template!$A$6:$BA$16,COLUMNS($A:N)+6,0)=0,"",VLOOKUP($A55,Data_Template!$A$6:$BA$16,COLUMNS($A:N)+6,0))</f>
        <v/>
      </c>
      <c r="U55" s="246" t="str">
        <f>IF(VLOOKUP($A55,Data_Template!$A$6:$BA$16,COLUMNS($A:O)+6,0)=0,"",VLOOKUP($A55,Data_Template!$A$6:$BA$16,COLUMNS($A:O)+6,0))</f>
        <v/>
      </c>
      <c r="V55" s="246" t="str">
        <f>IF(VLOOKUP($A55,Data_Template!$A$6:$BA$16,COLUMNS($A:P)+6,0)=0,"",VLOOKUP($A55,Data_Template!$A$6:$BA$16,COLUMNS($A:P)+6,0))</f>
        <v/>
      </c>
      <c r="W55" s="246" t="str">
        <f>IF(VLOOKUP($A55,Data_Template!$A$6:$BA$16,COLUMNS($A:Q)+6,0)=0,"",VLOOKUP($A55,Data_Template!$A$6:$BA$16,COLUMNS($A:Q)+6,0))</f>
        <v/>
      </c>
      <c r="X55" s="246" t="str">
        <f>IF(VLOOKUP($A55,Data_Template!$A$6:$BA$16,COLUMNS($A:R)+6,0)=0,"",VLOOKUP($A55,Data_Template!$A$6:$BA$16,COLUMNS($A:R)+6,0))</f>
        <v/>
      </c>
      <c r="Y55" s="246" t="str">
        <f>IF(VLOOKUP($A55,Data_Template!$A$6:$BA$16,COLUMNS($A:S)+6,0)=0,"",VLOOKUP($A55,Data_Template!$A$6:$BA$16,COLUMNS($A:S)+6,0))</f>
        <v/>
      </c>
      <c r="Z55" s="246" t="str">
        <f>IF(VLOOKUP($A55,Data_Template!$A$6:$BA$16,COLUMNS($A:T)+6,0)=0,"",VLOOKUP($A55,Data_Template!$A$6:$BA$16,COLUMNS($A:T)+6,0))</f>
        <v/>
      </c>
      <c r="AA55" s="246" t="str">
        <f>IF(VLOOKUP($A55,Data_Template!$A$6:$BA$16,COLUMNS($A:U)+6,0)=0,"",VLOOKUP($A55,Data_Template!$A$6:$BA$16,COLUMNS($A:U)+6,0))</f>
        <v/>
      </c>
      <c r="AB55" s="246" t="str">
        <f>IF(VLOOKUP($A55,Data_Template!$A$6:$BA$16,COLUMNS($A:V)+6,0)=0,"",VLOOKUP($A55,Data_Template!$A$6:$BA$16,COLUMNS($A:V)+6,0))</f>
        <v/>
      </c>
      <c r="AC55" s="246" t="str">
        <f>IF(VLOOKUP($A55,Data_Template!$A$6:$BA$16,COLUMNS($A:W)+6,0)=0,"",VLOOKUP($A55,Data_Template!$A$6:$BA$16,COLUMNS($A:W)+6,0))</f>
        <v/>
      </c>
      <c r="AD55" s="246" t="str">
        <f>IF(VLOOKUP($A55,Data_Template!$A$6:$BA$16,COLUMNS($A:X)+6,0)=0,"",VLOOKUP($A55,Data_Template!$A$6:$BA$16,COLUMNS($A:X)+6,0))</f>
        <v/>
      </c>
      <c r="AE55" s="246" t="str">
        <f>IF(VLOOKUP($A55,Data_Template!$A$6:$BA$16,COLUMNS($A:Y)+6,0)=0,"",VLOOKUP($A55,Data_Template!$A$6:$BA$16,COLUMNS($A:Y)+6,0))</f>
        <v/>
      </c>
      <c r="AF55" s="246" t="str">
        <f>IF(VLOOKUP($A55,Data_Template!$A$6:$BA$16,COLUMNS($A:Z)+6,0)=0,"",VLOOKUP($A55,Data_Template!$A$6:$BA$16,COLUMNS($A:Z)+6,0))</f>
        <v/>
      </c>
      <c r="AG55" s="246" t="str">
        <f>IF(VLOOKUP($A55,Data_Template!$A$6:$BA$16,COLUMNS($A:AA)+6,0)=0,"",VLOOKUP($A55,Data_Template!$A$6:$BA$16,COLUMNS($A:AA)+6,0))</f>
        <v/>
      </c>
      <c r="AH55" s="246" t="str">
        <f>IF(VLOOKUP($A55,Data_Template!$A$6:$BA$16,COLUMNS($A:AB)+6,0)=0,"",VLOOKUP($A55,Data_Template!$A$6:$BA$16,COLUMNS($A:AB)+6,0))</f>
        <v/>
      </c>
      <c r="AI55" s="246" t="str">
        <f>IF(VLOOKUP($A55,Data_Template!$A$6:$BA$16,COLUMNS($A:AC)+6,0)=0,"",VLOOKUP($A55,Data_Template!$A$6:$BA$16,COLUMNS($A:AC)+6,0))</f>
        <v/>
      </c>
      <c r="AJ55" s="246" t="str">
        <f>IF(VLOOKUP($A55,Data_Template!$A$6:$BA$16,COLUMNS($A:AD)+6,0)=0,"",VLOOKUP($A55,Data_Template!$A$6:$BA$16,COLUMNS($A:AD)+6,0))</f>
        <v/>
      </c>
      <c r="AK55" s="246" t="str">
        <f>IF(VLOOKUP($A55,Data_Template!$A$6:$BA$16,COLUMNS($A:AE)+6,0)=0,"",VLOOKUP($A55,Data_Template!$A$6:$BA$16,COLUMNS($A:AE)+6,0))</f>
        <v/>
      </c>
      <c r="AL55" s="246" t="str">
        <f>IF(VLOOKUP($A55,Data_Template!$A$6:$BA$16,COLUMNS($A:AF)+6,0)=0,"",VLOOKUP($A55,Data_Template!$A$6:$BA$16,COLUMNS($A:AF)+6,0))</f>
        <v/>
      </c>
      <c r="AM55" s="246" t="str">
        <f>IF(VLOOKUP($A55,Data_Template!$A$6:$BA$16,COLUMNS($A:AG)+6,0)=0,"",VLOOKUP($A55,Data_Template!$A$6:$BA$16,COLUMNS($A:AG)+6,0))</f>
        <v/>
      </c>
      <c r="AN55" s="246" t="str">
        <f>IF(VLOOKUP($A55,Data_Template!$A$6:$BA$16,COLUMNS($A:AH)+6,0)=0,"",VLOOKUP($A55,Data_Template!$A$6:$BA$16,COLUMNS($A:AH)+6,0))</f>
        <v/>
      </c>
      <c r="AO55" s="246" t="str">
        <f>IF(VLOOKUP($A55,Data_Template!$A$6:$BA$16,COLUMNS($A:AI)+6,0)=0,"",VLOOKUP($A55,Data_Template!$A$6:$BA$16,COLUMNS($A:AI)+6,0))</f>
        <v/>
      </c>
      <c r="AP55" s="246" t="str">
        <f>IF(VLOOKUP($A55,Data_Template!$A$6:$BA$16,COLUMNS($A:AJ)+6,0)=0,"",VLOOKUP($A55,Data_Template!$A$6:$BA$16,COLUMNS($A:AJ)+6,0))</f>
        <v/>
      </c>
      <c r="AQ55" s="246" t="str">
        <f>IF(VLOOKUP($A55,Data_Template!$A$6:$BA$16,COLUMNS($A:AK)+6,0)=0,"",VLOOKUP($A55,Data_Template!$A$6:$BA$16,COLUMNS($A:AK)+6,0))</f>
        <v/>
      </c>
      <c r="AR55" s="246" t="str">
        <f>IF(VLOOKUP($A55,Data_Template!$A$6:$BA$16,COLUMNS($A:AL)+6,0)=0,"",VLOOKUP($A55,Data_Template!$A$6:$BA$16,COLUMNS($A:AL)+6,0))</f>
        <v/>
      </c>
      <c r="AS55" s="246" t="str">
        <f>IF(VLOOKUP($A55,Data_Template!$A$6:$BA$16,COLUMNS($A:AM)+6,0)=0,"",VLOOKUP($A55,Data_Template!$A$6:$BA$16,COLUMNS($A:AM)+6,0))</f>
        <v/>
      </c>
      <c r="AT55" s="246" t="str">
        <f>IF(VLOOKUP($A55,Data_Template!$A$6:$BA$16,COLUMNS($A:AN)+6,0)=0,"",VLOOKUP($A55,Data_Template!$A$6:$BA$16,COLUMNS($A:AN)+6,0))</f>
        <v/>
      </c>
      <c r="AU55" s="246" t="str">
        <f>IF(VLOOKUP($A55,Data_Template!$A$6:$BA$16,COLUMNS($A:AO)+6,0)=0,"",VLOOKUP($A55,Data_Template!$A$6:$BA$16,COLUMNS($A:AO)+6,0))</f>
        <v/>
      </c>
      <c r="AV55" s="246" t="str">
        <f>IF(VLOOKUP($A55,Data_Template!$A$6:$BA$16,COLUMNS($A:AP)+6,0)=0,"",VLOOKUP($A55,Data_Template!$A$6:$BA$16,COLUMNS($A:AP)+6,0))</f>
        <v/>
      </c>
      <c r="AW55" s="246" t="str">
        <f>IF(VLOOKUP($A55,Data_Template!$A$6:$BA$16,COLUMNS($A:AQ)+6,0)=0,"",VLOOKUP($A55,Data_Template!$A$6:$BA$16,COLUMNS($A:AQ)+6,0))</f>
        <v/>
      </c>
      <c r="AX55" s="246" t="str">
        <f>IF(VLOOKUP($A55,Data_Template!$A$6:$BA$16,COLUMNS($A:AR)+6,0)=0,"",VLOOKUP($A55,Data_Template!$A$6:$BA$16,COLUMNS($A:AR)+6,0))</f>
        <v/>
      </c>
      <c r="AY55" s="246" t="str">
        <f>IF(VLOOKUP($A55,Data_Template!$A$6:$BA$16,COLUMNS($A:AS)+6,0)=0,"",VLOOKUP($A55,Data_Template!$A$6:$BA$16,COLUMNS($A:AS)+6,0))</f>
        <v/>
      </c>
      <c r="AZ55" s="246" t="str">
        <f>IF(VLOOKUP($A55,Data_Template!$A$6:$BA$16,COLUMNS($A:AT)+6,0)=0,"",VLOOKUP($A55,Data_Template!$A$6:$BA$16,COLUMNS($A:AT)+6,0))</f>
        <v/>
      </c>
      <c r="BA55" s="246" t="str">
        <f>IF(VLOOKUP($A55,Data_Template!$A$6:$BA$16,COLUMNS($A:AU)+6,0)=0,"",VLOOKUP($A55,Data_Template!$A$6:$BA$16,COLUMNS($A:AU)+6,0))</f>
        <v/>
      </c>
      <c r="BB55" s="50"/>
      <c r="BC55" s="246"/>
      <c r="BD55" s="246"/>
      <c r="BE55" s="246"/>
      <c r="BF55" s="246"/>
      <c r="BG55" s="246"/>
      <c r="BH55" s="246"/>
      <c r="BI55" s="246"/>
      <c r="BJ55" s="246"/>
      <c r="BL55" s="246"/>
      <c r="BM55" s="246"/>
      <c r="BN55" s="246"/>
      <c r="BO55" s="246"/>
      <c r="BP55" s="246"/>
      <c r="BQ55" s="246"/>
      <c r="BR55" s="246"/>
      <c r="BS55" s="246"/>
      <c r="BT55" s="246"/>
      <c r="BU55" s="246"/>
      <c r="BV55" s="246"/>
      <c r="BW55" s="246"/>
      <c r="BX55" s="246"/>
    </row>
    <row r="56" spans="1:76" s="51" customFormat="1" ht="14.25" x14ac:dyDescent="0.2">
      <c r="A56" s="246" t="str">
        <f>Classes!J8</f>
        <v>IFMA_C_31010001</v>
      </c>
      <c r="B56" s="246" t="str">
        <f>Classes!P8</f>
        <v>Grundstückfläche</v>
      </c>
      <c r="C56" s="37"/>
      <c r="D56" s="42" t="s">
        <v>884</v>
      </c>
      <c r="E56" s="41"/>
      <c r="G56" s="42" t="str">
        <f>IF(VLOOKUP($A56,Data_Template!$A$6:$BA$16,COLUMNS($A:A)+6,0)=0,"",VLOOKUP($A56,Data_Template!$A$6:$BA$16,COLUMNS($A:A)+6,0))</f>
        <v/>
      </c>
      <c r="H56" s="42" t="str">
        <f>IF(VLOOKUP($A56,Data_Template!$A$6:$BA$16,COLUMNS($A:B)+6,0)=0,"",VLOOKUP($A56,Data_Template!$A$6:$BA$16,COLUMNS($A:B)+6,0))</f>
        <v/>
      </c>
      <c r="I56" s="42"/>
      <c r="J56" s="42" t="str">
        <f>IF(VLOOKUP($A56,Data_Template!$A$6:$BA$16,COLUMNS($A:D)+6,0)=0,"",VLOOKUP($A56,Data_Template!$A$6:$BA$16,COLUMNS($A:D)+6,0))</f>
        <v/>
      </c>
      <c r="K56" s="42" t="str">
        <f>IF(VLOOKUP($A56,Data_Template!$A$6:$BA$16,COLUMNS($A:E)+6,0)=0,"",VLOOKUP($A56,Data_Template!$A$6:$BA$16,COLUMNS($A:E)+6,0))</f>
        <v/>
      </c>
      <c r="L56" s="42" t="str">
        <f>IF(VLOOKUP($A56,Data_Template!$A$6:$BA$16,COLUMNS($A:F)+6,0)=0,"",VLOOKUP($A56,Data_Template!$A$6:$BA$16,COLUMNS($A:F)+6,0))</f>
        <v/>
      </c>
      <c r="M56" s="42" t="str">
        <f>IF(VLOOKUP($A56,Data_Template!$A$6:$BA$16,COLUMNS($A:G)+6,0)=0,"",VLOOKUP($A56,Data_Template!$A$6:$BA$16,COLUMNS($A:G)+6,0))</f>
        <v/>
      </c>
      <c r="N56" s="42" t="str">
        <f>IF(VLOOKUP($A56,Data_Template!$A$6:$BA$16,COLUMNS($A:H)+6,0)=0,"",VLOOKUP($A56,Data_Template!$A$6:$BA$16,COLUMNS($A:H)+6,0))</f>
        <v/>
      </c>
      <c r="O56" s="42" t="str">
        <f>IF(VLOOKUP($A56,Data_Template!$A$6:$BA$16,COLUMNS($A:I)+6,0)=0,"",VLOOKUP($A56,Data_Template!$A$6:$BA$16,COLUMNS($A:I)+6,0))</f>
        <v/>
      </c>
      <c r="P56" s="42" t="str">
        <f>IF(VLOOKUP($A56,Data_Template!$A$6:$BA$16,COLUMNS($A:J)+6,0)=0,"",VLOOKUP($A56,Data_Template!$A$6:$BA$16,COLUMNS($A:J)+6,0))</f>
        <v/>
      </c>
      <c r="Q56" s="42" t="str">
        <f>IF(VLOOKUP($A56,Data_Template!$A$6:$BA$16,COLUMNS($A:K)+6,0)=0,"",VLOOKUP($A56,Data_Template!$A$6:$BA$16,COLUMNS($A:K)+6,0))</f>
        <v/>
      </c>
      <c r="R56" s="42" t="str">
        <f>IF(VLOOKUP($A56,Data_Template!$A$6:$BA$16,COLUMNS($A:L)+6,0)=0,"",VLOOKUP($A56,Data_Template!$A$6:$BA$16,COLUMNS($A:L)+6,0))</f>
        <v/>
      </c>
      <c r="S56" s="42" t="str">
        <f>IF(VLOOKUP($A56,Data_Template!$A$6:$BA$16,COLUMNS($A:M)+6,0)=0,"",VLOOKUP($A56,Data_Template!$A$6:$BA$16,COLUMNS($A:M)+6,0))</f>
        <v/>
      </c>
      <c r="T56" s="42" t="str">
        <f>IF(VLOOKUP($A56,Data_Template!$A$6:$BA$16,COLUMNS($A:N)+6,0)=0,"",VLOOKUP($A56,Data_Template!$A$6:$BA$16,COLUMNS($A:N)+6,0))</f>
        <v/>
      </c>
      <c r="U56" s="42" t="str">
        <f>IF(VLOOKUP($A56,Data_Template!$A$6:$BA$16,COLUMNS($A:O)+6,0)=0,"",VLOOKUP($A56,Data_Template!$A$6:$BA$16,COLUMNS($A:O)+6,0))</f>
        <v/>
      </c>
      <c r="V56" s="42" t="str">
        <f>IF(VLOOKUP($A56,Data_Template!$A$6:$BA$16,COLUMNS($A:P)+6,0)=0,"",VLOOKUP($A56,Data_Template!$A$6:$BA$16,COLUMNS($A:P)+6,0))</f>
        <v/>
      </c>
      <c r="W56" s="42" t="str">
        <f>IF(VLOOKUP($A56,Data_Template!$A$6:$BA$16,COLUMNS($A:Q)+6,0)=0,"",VLOOKUP($A56,Data_Template!$A$6:$BA$16,COLUMNS($A:Q)+6,0))</f>
        <v/>
      </c>
      <c r="X56" s="42" t="str">
        <f>IF(VLOOKUP($A56,Data_Template!$A$6:$BA$16,COLUMNS($A:R)+6,0)=0,"",VLOOKUP($A56,Data_Template!$A$6:$BA$16,COLUMNS($A:R)+6,0))</f>
        <v/>
      </c>
      <c r="Y56" s="42" t="str">
        <f>IF(VLOOKUP($A56,Data_Template!$A$6:$BA$16,COLUMNS($A:S)+6,0)=0,"",VLOOKUP($A56,Data_Template!$A$6:$BA$16,COLUMNS($A:S)+6,0))</f>
        <v/>
      </c>
      <c r="Z56" s="42" t="str">
        <f>IF(VLOOKUP($A56,Data_Template!$A$6:$BA$16,COLUMNS($A:T)+6,0)=0,"",VLOOKUP($A56,Data_Template!$A$6:$BA$16,COLUMNS($A:T)+6,0))</f>
        <v/>
      </c>
      <c r="AA56" s="42" t="str">
        <f>IF(VLOOKUP($A56,Data_Template!$A$6:$BA$16,COLUMNS($A:U)+6,0)=0,"",VLOOKUP($A56,Data_Template!$A$6:$BA$16,COLUMNS($A:U)+6,0))</f>
        <v/>
      </c>
      <c r="AB56" s="42" t="str">
        <f>IF(VLOOKUP($A56,Data_Template!$A$6:$BA$16,COLUMNS($A:V)+6,0)=0,"",VLOOKUP($A56,Data_Template!$A$6:$BA$16,COLUMNS($A:V)+6,0))</f>
        <v/>
      </c>
      <c r="AC56" s="42" t="str">
        <f>IF(VLOOKUP($A56,Data_Template!$A$6:$BA$16,COLUMNS($A:W)+6,0)=0,"",VLOOKUP($A56,Data_Template!$A$6:$BA$16,COLUMNS($A:W)+6,0))</f>
        <v/>
      </c>
      <c r="AD56" s="42" t="str">
        <f>IF(VLOOKUP($A56,Data_Template!$A$6:$BA$16,COLUMNS($A:X)+6,0)=0,"",VLOOKUP($A56,Data_Template!$A$6:$BA$16,COLUMNS($A:X)+6,0))</f>
        <v/>
      </c>
      <c r="AE56" s="42" t="str">
        <f>IF(VLOOKUP($A56,Data_Template!$A$6:$BA$16,COLUMNS($A:Y)+6,0)=0,"",VLOOKUP($A56,Data_Template!$A$6:$BA$16,COLUMNS($A:Y)+6,0))</f>
        <v/>
      </c>
      <c r="AF56" s="42" t="str">
        <f>IF(VLOOKUP($A56,Data_Template!$A$6:$BA$16,COLUMNS($A:Z)+6,0)=0,"",VLOOKUP($A56,Data_Template!$A$6:$BA$16,COLUMNS($A:Z)+6,0))</f>
        <v/>
      </c>
      <c r="AG56" s="42" t="str">
        <f>IF(VLOOKUP($A56,Data_Template!$A$6:$BA$16,COLUMNS($A:AA)+6,0)=0,"",VLOOKUP($A56,Data_Template!$A$6:$BA$16,COLUMNS($A:AA)+6,0))</f>
        <v/>
      </c>
      <c r="AH56" s="42" t="str">
        <f>IF(VLOOKUP($A56,Data_Template!$A$6:$BA$16,COLUMNS($A:AB)+6,0)=0,"",VLOOKUP($A56,Data_Template!$A$6:$BA$16,COLUMNS($A:AB)+6,0))</f>
        <v/>
      </c>
      <c r="AI56" s="42" t="str">
        <f>IF(VLOOKUP($A56,Data_Template!$A$6:$BA$16,COLUMNS($A:AC)+6,0)=0,"",VLOOKUP($A56,Data_Template!$A$6:$BA$16,COLUMNS($A:AC)+6,0))</f>
        <v/>
      </c>
      <c r="AJ56" s="42" t="str">
        <f>IF(VLOOKUP($A56,Data_Template!$A$6:$BA$16,COLUMNS($A:AD)+6,0)=0,"",VLOOKUP($A56,Data_Template!$A$6:$BA$16,COLUMNS($A:AD)+6,0))</f>
        <v/>
      </c>
      <c r="AK56" s="42" t="str">
        <f>IF(VLOOKUP($A56,Data_Template!$A$6:$BA$16,COLUMNS($A:AE)+6,0)=0,"",VLOOKUP($A56,Data_Template!$A$6:$BA$16,COLUMNS($A:AE)+6,0))</f>
        <v/>
      </c>
      <c r="AL56" s="42" t="str">
        <f>IF(VLOOKUP($A56,Data_Template!$A$6:$BA$16,COLUMNS($A:AF)+6,0)=0,"",VLOOKUP($A56,Data_Template!$A$6:$BA$16,COLUMNS($A:AF)+6,0))</f>
        <v/>
      </c>
      <c r="AM56" s="42" t="str">
        <f>IF(VLOOKUP($A56,Data_Template!$A$6:$BA$16,COLUMNS($A:AG)+6,0)=0,"",VLOOKUP($A56,Data_Template!$A$6:$BA$16,COLUMNS($A:AG)+6,0))</f>
        <v/>
      </c>
      <c r="AN56" s="42" t="str">
        <f>IF(VLOOKUP($A56,Data_Template!$A$6:$BA$16,COLUMNS($A:AH)+6,0)=0,"",VLOOKUP($A56,Data_Template!$A$6:$BA$16,COLUMNS($A:AH)+6,0))</f>
        <v/>
      </c>
      <c r="AO56" s="42" t="str">
        <f>IF(VLOOKUP($A56,Data_Template!$A$6:$BA$16,COLUMNS($A:AI)+6,0)=0,"",VLOOKUP($A56,Data_Template!$A$6:$BA$16,COLUMNS($A:AI)+6,0))</f>
        <v/>
      </c>
      <c r="AP56" s="42" t="str">
        <f>IF(VLOOKUP($A56,Data_Template!$A$6:$BA$16,COLUMNS($A:AJ)+6,0)=0,"",VLOOKUP($A56,Data_Template!$A$6:$BA$16,COLUMNS($A:AJ)+6,0))</f>
        <v/>
      </c>
      <c r="AQ56" s="42" t="str">
        <f>IF(VLOOKUP($A56,Data_Template!$A$6:$BA$16,COLUMNS($A:AK)+6,0)=0,"",VLOOKUP($A56,Data_Template!$A$6:$BA$16,COLUMNS($A:AK)+6,0))</f>
        <v/>
      </c>
      <c r="AR56" s="42" t="str">
        <f>IF(VLOOKUP($A56,Data_Template!$A$6:$BA$16,COLUMNS($A:AL)+6,0)=0,"",VLOOKUP($A56,Data_Template!$A$6:$BA$16,COLUMNS($A:AL)+6,0))</f>
        <v/>
      </c>
      <c r="AS56" s="42" t="str">
        <f>IF(VLOOKUP($A56,Data_Template!$A$6:$BA$16,COLUMNS($A:AM)+6,0)=0,"",VLOOKUP($A56,Data_Template!$A$6:$BA$16,COLUMNS($A:AM)+6,0))</f>
        <v/>
      </c>
      <c r="AT56" s="42"/>
      <c r="AU56" s="42" t="str">
        <f>IF(VLOOKUP($A56,Data_Template!$A$6:$BA$16,COLUMNS($A:AO)+6,0)=0,"",VLOOKUP($A56,Data_Template!$A$6:$BA$16,COLUMNS($A:AO)+6,0))</f>
        <v/>
      </c>
      <c r="AV56" s="42" t="str">
        <f>IF(VLOOKUP($A56,Data_Template!$A$6:$BA$16,COLUMNS($A:AP)+6,0)=0,"",VLOOKUP($A56,Data_Template!$A$6:$BA$16,COLUMNS($A:AP)+6,0))</f>
        <v/>
      </c>
      <c r="AW56" s="42" t="str">
        <f>IF(VLOOKUP($A56,Data_Template!$A$6:$BA$16,COLUMNS($A:AQ)+6,0)=0,"",VLOOKUP($A56,Data_Template!$A$6:$BA$16,COLUMNS($A:AQ)+6,0))</f>
        <v/>
      </c>
      <c r="AX56" s="42" t="str">
        <f>IF(VLOOKUP($A56,Data_Template!$A$6:$BA$16,COLUMNS($A:AR)+6,0)=0,"",VLOOKUP($A56,Data_Template!$A$6:$BA$16,COLUMNS($A:AR)+6,0))</f>
        <v/>
      </c>
      <c r="AY56" s="42" t="str">
        <f>IF(VLOOKUP($A56,Data_Template!$A$6:$BA$16,COLUMNS($A:AS)+6,0)=0,"",VLOOKUP($A56,Data_Template!$A$6:$BA$16,COLUMNS($A:AS)+6,0))</f>
        <v/>
      </c>
      <c r="AZ56" s="42" t="str">
        <f>IF(VLOOKUP($A56,Data_Template!$A$6:$BA$16,COLUMNS($A:AT)+6,0)=0,"",VLOOKUP($A56,Data_Template!$A$6:$BA$16,COLUMNS($A:AT)+6,0))</f>
        <v/>
      </c>
      <c r="BA56" s="42" t="str">
        <f>IF(VLOOKUP($A56,Data_Template!$A$6:$BA$16,COLUMNS($A:AU)+6,0)=0,"",VLOOKUP($A56,Data_Template!$A$6:$BA$16,COLUMNS($A:AU)+6,0))</f>
        <v/>
      </c>
      <c r="BB56" s="50"/>
      <c r="BC56" s="42"/>
      <c r="BD56" s="42"/>
      <c r="BE56" s="42"/>
      <c r="BF56" s="42"/>
      <c r="BG56" s="42"/>
      <c r="BH56" s="42"/>
      <c r="BI56" s="42"/>
      <c r="BJ56" s="42"/>
      <c r="BL56" s="42"/>
      <c r="BM56" s="42"/>
      <c r="BN56" s="42"/>
      <c r="BO56" s="42"/>
      <c r="BP56" s="42"/>
      <c r="BQ56" s="42"/>
      <c r="BR56" s="42"/>
      <c r="BS56" s="42"/>
      <c r="BT56" s="42"/>
      <c r="BU56" s="42"/>
      <c r="BV56" s="42"/>
      <c r="BW56" s="42"/>
      <c r="BX56" s="42"/>
    </row>
    <row r="57" spans="1:76" s="51" customFormat="1" ht="14.25" x14ac:dyDescent="0.2">
      <c r="A57" s="246" t="str">
        <f>Classes!J9</f>
        <v>IFMA_C_31010002</v>
      </c>
      <c r="B57" s="246" t="str">
        <f>Classes!P9</f>
        <v>Umgebungsfläche</v>
      </c>
      <c r="C57" s="37"/>
      <c r="D57" s="42" t="s">
        <v>884</v>
      </c>
      <c r="E57" s="41"/>
      <c r="G57" s="42"/>
      <c r="H57" s="42"/>
      <c r="I57" s="42"/>
      <c r="J57" s="42"/>
      <c r="K57" s="42" t="str">
        <f>IF(VLOOKUP($A57,Data_Template!$A$6:$BA$16,COLUMNS($A:E)+6,0)=0,"",VLOOKUP($A57,Data_Template!$A$6:$BA$16,COLUMNS($A:E)+6,0))</f>
        <v/>
      </c>
      <c r="L57" s="42"/>
      <c r="M57" s="42"/>
      <c r="N57" s="42"/>
      <c r="O57" s="42" t="str">
        <f>IF(VLOOKUP($A57,Data_Template!$A$6:$BA$16,COLUMNS($A:I)+6,0)=0,"",VLOOKUP($A57,Data_Template!$A$6:$BA$16,COLUMNS($A:I)+6,0))</f>
        <v/>
      </c>
      <c r="P57" s="42"/>
      <c r="Q57" s="42" t="str">
        <f>IF(VLOOKUP($A57,Data_Template!$A$6:$BA$16,COLUMNS($A:K)+6,0)=0,"",VLOOKUP($A57,Data_Template!$A$6:$BA$16,COLUMNS($A:K)+6,0))</f>
        <v/>
      </c>
      <c r="R57" s="42" t="str">
        <f>IF(VLOOKUP($A57,Data_Template!$A$6:$BA$16,COLUMNS($A:L)+6,0)=0,"",VLOOKUP($A57,Data_Template!$A$6:$BA$16,COLUMNS($A:L)+6,0))</f>
        <v/>
      </c>
      <c r="S57" s="42" t="str">
        <f>IF(VLOOKUP($A57,Data_Template!$A$6:$BA$16,COLUMNS($A:M)+6,0)=0,"",VLOOKUP($A57,Data_Template!$A$6:$BA$16,COLUMNS($A:M)+6,0))</f>
        <v/>
      </c>
      <c r="T57" s="42" t="str">
        <f>IF(VLOOKUP($A57,Data_Template!$A$6:$BA$16,COLUMNS($A:N)+6,0)=0,"",VLOOKUP($A57,Data_Template!$A$6:$BA$16,COLUMNS($A:N)+6,0))</f>
        <v/>
      </c>
      <c r="U57" s="42" t="str">
        <f>IF(VLOOKUP($A57,Data_Template!$A$6:$BA$16,COLUMNS($A:O)+6,0)=0,"",VLOOKUP($A57,Data_Template!$A$6:$BA$16,COLUMNS($A:O)+6,0))</f>
        <v/>
      </c>
      <c r="V57" s="42" t="str">
        <f>IF(VLOOKUP($A57,Data_Template!$A$6:$BA$16,COLUMNS($A:P)+6,0)=0,"",VLOOKUP($A57,Data_Template!$A$6:$BA$16,COLUMNS($A:P)+6,0))</f>
        <v/>
      </c>
      <c r="W57" s="42" t="str">
        <f>IF(VLOOKUP($A57,Data_Template!$A$6:$BA$16,COLUMNS($A:Q)+6,0)=0,"",VLOOKUP($A57,Data_Template!$A$6:$BA$16,COLUMNS($A:Q)+6,0))</f>
        <v/>
      </c>
      <c r="X57" s="42" t="str">
        <f>IF(VLOOKUP($A57,Data_Template!$A$6:$BA$16,COLUMNS($A:R)+6,0)=0,"",VLOOKUP($A57,Data_Template!$A$6:$BA$16,COLUMNS($A:R)+6,0))</f>
        <v/>
      </c>
      <c r="Y57" s="42"/>
      <c r="Z57" s="42" t="str">
        <f>IF(VLOOKUP($A57,Data_Template!$A$6:$BA$16,COLUMNS($A:T)+6,0)=0,"",VLOOKUP($A57,Data_Template!$A$6:$BA$16,COLUMNS($A:T)+6,0))</f>
        <v/>
      </c>
      <c r="AA57" s="42" t="str">
        <f>IF(VLOOKUP($A57,Data_Template!$A$6:$BA$16,COLUMNS($A:U)+6,0)=0,"",VLOOKUP($A57,Data_Template!$A$6:$BA$16,COLUMNS($A:U)+6,0))</f>
        <v/>
      </c>
      <c r="AB57" s="42" t="str">
        <f>IF(VLOOKUP($A57,Data_Template!$A$6:$BA$16,COLUMNS($A:V)+6,0)=0,"",VLOOKUP($A57,Data_Template!$A$6:$BA$16,COLUMNS($A:V)+6,0))</f>
        <v/>
      </c>
      <c r="AC57" s="42" t="str">
        <f>IF(VLOOKUP($A57,Data_Template!$A$6:$BA$16,COLUMNS($A:W)+6,0)=0,"",VLOOKUP($A57,Data_Template!$A$6:$BA$16,COLUMNS($A:W)+6,0))</f>
        <v/>
      </c>
      <c r="AD57" s="42"/>
      <c r="AE57" s="42"/>
      <c r="AF57" s="42" t="str">
        <f>IF(VLOOKUP($A57,Data_Template!$A$6:$BA$16,COLUMNS($A:Z)+6,0)=0,"",VLOOKUP($A57,Data_Template!$A$6:$BA$16,COLUMNS($A:Z)+6,0))</f>
        <v/>
      </c>
      <c r="AG57" s="42" t="str">
        <f>IF(VLOOKUP($A57,Data_Template!$A$6:$BA$16,COLUMNS($A:AA)+6,0)=0,"",VLOOKUP($A57,Data_Template!$A$6:$BA$16,COLUMNS($A:AA)+6,0))</f>
        <v/>
      </c>
      <c r="AH57" s="42" t="str">
        <f>IF(VLOOKUP($A57,Data_Template!$A$6:$BA$16,COLUMNS($A:AB)+6,0)=0,"",VLOOKUP($A57,Data_Template!$A$6:$BA$16,COLUMNS($A:AB)+6,0))</f>
        <v/>
      </c>
      <c r="AI57" s="42"/>
      <c r="AJ57" s="42" t="str">
        <f>IF(VLOOKUP($A57,Data_Template!$A$6:$BA$16,COLUMNS($A:AD)+6,0)=0,"",VLOOKUP($A57,Data_Template!$A$6:$BA$16,COLUMNS($A:AD)+6,0))</f>
        <v/>
      </c>
      <c r="AK57" s="42" t="str">
        <f>IF(VLOOKUP($A57,Data_Template!$A$6:$BA$16,COLUMNS($A:AE)+6,0)=0,"",VLOOKUP($A57,Data_Template!$A$6:$BA$16,COLUMNS($A:AE)+6,0))</f>
        <v/>
      </c>
      <c r="AL57" s="42" t="str">
        <f>IF(VLOOKUP($A57,Data_Template!$A$6:$BA$16,COLUMNS($A:AF)+6,0)=0,"",VLOOKUP($A57,Data_Template!$A$6:$BA$16,COLUMNS($A:AF)+6,0))</f>
        <v/>
      </c>
      <c r="AM57" s="42" t="str">
        <f>IF(VLOOKUP($A57,Data_Template!$A$6:$BA$16,COLUMNS($A:AG)+6,0)=0,"",VLOOKUP($A57,Data_Template!$A$6:$BA$16,COLUMNS($A:AG)+6,0))</f>
        <v/>
      </c>
      <c r="AN57" s="42" t="str">
        <f>IF(VLOOKUP($A57,Data_Template!$A$6:$BA$16,COLUMNS($A:AH)+6,0)=0,"",VLOOKUP($A57,Data_Template!$A$6:$BA$16,COLUMNS($A:AH)+6,0))</f>
        <v/>
      </c>
      <c r="AO57" s="42" t="str">
        <f>IF(VLOOKUP($A57,Data_Template!$A$6:$BA$16,COLUMNS($A:AI)+6,0)=0,"",VLOOKUP($A57,Data_Template!$A$6:$BA$16,COLUMNS($A:AI)+6,0))</f>
        <v/>
      </c>
      <c r="AP57" s="42" t="str">
        <f>IF(VLOOKUP($A57,Data_Template!$A$6:$BA$16,COLUMNS($A:AJ)+6,0)=0,"",VLOOKUP($A57,Data_Template!$A$6:$BA$16,COLUMNS($A:AJ)+6,0))</f>
        <v/>
      </c>
      <c r="AQ57" s="42" t="str">
        <f>IF(VLOOKUP($A57,Data_Template!$A$6:$BA$16,COLUMNS($A:AK)+6,0)=0,"",VLOOKUP($A57,Data_Template!$A$6:$BA$16,COLUMNS($A:AK)+6,0))</f>
        <v/>
      </c>
      <c r="AR57" s="42" t="str">
        <f>IF(VLOOKUP($A57,Data_Template!$A$6:$BA$16,COLUMNS($A:AL)+6,0)=0,"",VLOOKUP($A57,Data_Template!$A$6:$BA$16,COLUMNS($A:AL)+6,0))</f>
        <v/>
      </c>
      <c r="AS57" s="42" t="str">
        <f>IF(VLOOKUP($A57,Data_Template!$A$6:$BA$16,COLUMNS($A:AM)+6,0)=0,"",VLOOKUP($A57,Data_Template!$A$6:$BA$16,COLUMNS($A:AM)+6,0))</f>
        <v/>
      </c>
      <c r="AT57" s="42"/>
      <c r="AU57" s="42" t="str">
        <f>IF(VLOOKUP($A57,Data_Template!$A$6:$BA$16,COLUMNS($A:AO)+6,0)=0,"",VLOOKUP($A57,Data_Template!$A$6:$BA$16,COLUMNS($A:AO)+6,0))</f>
        <v/>
      </c>
      <c r="AV57" s="42" t="str">
        <f>IF(VLOOKUP($A57,Data_Template!$A$6:$BA$16,COLUMNS($A:AP)+6,0)=0,"",VLOOKUP($A57,Data_Template!$A$6:$BA$16,COLUMNS($A:AP)+6,0))</f>
        <v/>
      </c>
      <c r="AW57" s="42" t="str">
        <f>IF(VLOOKUP($A57,Data_Template!$A$6:$BA$16,COLUMNS($A:AQ)+6,0)=0,"",VLOOKUP($A57,Data_Template!$A$6:$BA$16,COLUMNS($A:AQ)+6,0))</f>
        <v/>
      </c>
      <c r="AX57" s="42" t="str">
        <f>IF(VLOOKUP($A57,Data_Template!$A$6:$BA$16,COLUMNS($A:AR)+6,0)=0,"",VLOOKUP($A57,Data_Template!$A$6:$BA$16,COLUMNS($A:AR)+6,0))</f>
        <v/>
      </c>
      <c r="AY57" s="42" t="str">
        <f>IF(VLOOKUP($A57,Data_Template!$A$6:$BA$16,COLUMNS($A:AS)+6,0)=0,"",VLOOKUP($A57,Data_Template!$A$6:$BA$16,COLUMNS($A:AS)+6,0))</f>
        <v/>
      </c>
      <c r="AZ57" s="42" t="str">
        <f>IF(VLOOKUP($A57,Data_Template!$A$6:$BA$16,COLUMNS($A:AT)+6,0)=0,"",VLOOKUP($A57,Data_Template!$A$6:$BA$16,COLUMNS($A:AT)+6,0))</f>
        <v/>
      </c>
      <c r="BA57" s="42"/>
      <c r="BB57" s="50"/>
      <c r="BC57" s="42"/>
      <c r="BD57" s="42"/>
      <c r="BE57" s="42"/>
      <c r="BF57" s="42"/>
      <c r="BG57" s="42"/>
      <c r="BH57" s="42"/>
      <c r="BI57" s="42"/>
      <c r="BJ57" s="42"/>
      <c r="BL57" s="42"/>
      <c r="BM57" s="42"/>
      <c r="BN57" s="42"/>
      <c r="BO57" s="42"/>
      <c r="BP57" s="42"/>
      <c r="BQ57" s="42"/>
      <c r="BR57" s="42"/>
      <c r="BS57" s="42"/>
      <c r="BT57" s="42"/>
      <c r="BU57" s="42"/>
      <c r="BV57" s="42"/>
      <c r="BW57" s="42"/>
      <c r="BX57" s="42"/>
    </row>
    <row r="58" spans="1:76" s="51" customFormat="1" ht="14.25" x14ac:dyDescent="0.2">
      <c r="A58" s="246" t="str">
        <f>Classes!J10</f>
        <v>IFMA_C_31010003</v>
      </c>
      <c r="B58" s="246" t="str">
        <f>Classes!P10</f>
        <v>Geschossvolumen</v>
      </c>
      <c r="C58" s="37"/>
      <c r="D58" s="42" t="s">
        <v>884</v>
      </c>
      <c r="E58" s="41"/>
      <c r="G58" s="42" t="str">
        <f>IF(VLOOKUP($A58,Data_Template!$A$6:$BA$16,COLUMNS($A:A)+6,0)=0,"",VLOOKUP($A58,Data_Template!$A$6:$BA$16,COLUMNS($A:A)+6,0))</f>
        <v/>
      </c>
      <c r="H58" s="42" t="str">
        <f>IF(VLOOKUP($A58,Data_Template!$A$6:$BA$16,COLUMNS($A:B)+6,0)=0,"",VLOOKUP($A58,Data_Template!$A$6:$BA$16,COLUMNS($A:B)+6,0))</f>
        <v/>
      </c>
      <c r="I58" s="42"/>
      <c r="J58" s="42" t="str">
        <f>IF(VLOOKUP($A58,Data_Template!$A$6:$BA$16,COLUMNS($A:D)+6,0)=0,"",VLOOKUP($A58,Data_Template!$A$6:$BA$16,COLUMNS($A:D)+6,0))</f>
        <v/>
      </c>
      <c r="K58" s="42" t="str">
        <f>IF(VLOOKUP($A58,Data_Template!$A$6:$BA$16,COLUMNS($A:E)+6,0)=0,"",VLOOKUP($A58,Data_Template!$A$6:$BA$16,COLUMNS($A:E)+6,0))</f>
        <v/>
      </c>
      <c r="L58" s="42" t="str">
        <f>IF(VLOOKUP($A58,Data_Template!$A$6:$BA$16,COLUMNS($A:F)+6,0)=0,"",VLOOKUP($A58,Data_Template!$A$6:$BA$16,COLUMNS($A:F)+6,0))</f>
        <v/>
      </c>
      <c r="M58" s="42"/>
      <c r="N58" s="42" t="str">
        <f>IF(VLOOKUP($A58,Data_Template!$A$6:$BA$16,COLUMNS($A:H)+6,0)=0,"",VLOOKUP($A58,Data_Template!$A$6:$BA$16,COLUMNS($A:H)+6,0))</f>
        <v/>
      </c>
      <c r="O58" s="42" t="str">
        <f>IF(VLOOKUP($A58,Data_Template!$A$6:$BA$16,COLUMNS($A:I)+6,0)=0,"",VLOOKUP($A58,Data_Template!$A$6:$BA$16,COLUMNS($A:I)+6,0))</f>
        <v/>
      </c>
      <c r="P58" s="42" t="str">
        <f>IF(VLOOKUP($A58,Data_Template!$A$6:$BA$16,COLUMNS($A:J)+6,0)=0,"",VLOOKUP($A58,Data_Template!$A$6:$BA$16,COLUMNS($A:J)+6,0))</f>
        <v/>
      </c>
      <c r="Q58" s="42" t="str">
        <f>IF(VLOOKUP($A58,Data_Template!$A$6:$BA$16,COLUMNS($A:K)+6,0)=0,"",VLOOKUP($A58,Data_Template!$A$6:$BA$16,COLUMNS($A:K)+6,0))</f>
        <v/>
      </c>
      <c r="R58" s="42" t="str">
        <f>IF(VLOOKUP($A58,Data_Template!$A$6:$BA$16,COLUMNS($A:L)+6,0)=0,"",VLOOKUP($A58,Data_Template!$A$6:$BA$16,COLUMNS($A:L)+6,0))</f>
        <v/>
      </c>
      <c r="S58" s="42" t="str">
        <f>IF(VLOOKUP($A58,Data_Template!$A$6:$BA$16,COLUMNS($A:M)+6,0)=0,"",VLOOKUP($A58,Data_Template!$A$6:$BA$16,COLUMNS($A:M)+6,0))</f>
        <v/>
      </c>
      <c r="T58" s="42" t="str">
        <f>IF(VLOOKUP($A58,Data_Template!$A$6:$BA$16,COLUMNS($A:N)+6,0)=0,"",VLOOKUP($A58,Data_Template!$A$6:$BA$16,COLUMNS($A:N)+6,0))</f>
        <v/>
      </c>
      <c r="U58" s="42" t="str">
        <f>IF(VLOOKUP($A58,Data_Template!$A$6:$BA$16,COLUMNS($A:O)+6,0)=0,"",VLOOKUP($A58,Data_Template!$A$6:$BA$16,COLUMNS($A:O)+6,0))</f>
        <v/>
      </c>
      <c r="V58" s="42" t="str">
        <f>IF(VLOOKUP($A58,Data_Template!$A$6:$BA$16,COLUMNS($A:P)+6,0)=0,"",VLOOKUP($A58,Data_Template!$A$6:$BA$16,COLUMNS($A:P)+6,0))</f>
        <v/>
      </c>
      <c r="W58" s="42" t="str">
        <f>IF(VLOOKUP($A58,Data_Template!$A$6:$BA$16,COLUMNS($A:Q)+6,0)=0,"",VLOOKUP($A58,Data_Template!$A$6:$BA$16,COLUMNS($A:Q)+6,0))</f>
        <v/>
      </c>
      <c r="X58" s="42" t="str">
        <f>IF(VLOOKUP($A58,Data_Template!$A$6:$BA$16,COLUMNS($A:R)+6,0)=0,"",VLOOKUP($A58,Data_Template!$A$6:$BA$16,COLUMNS($A:R)+6,0))</f>
        <v/>
      </c>
      <c r="Y58" s="42"/>
      <c r="Z58" s="42" t="str">
        <f>IF(VLOOKUP($A58,Data_Template!$A$6:$BA$16,COLUMNS($A:T)+6,0)=0,"",VLOOKUP($A58,Data_Template!$A$6:$BA$16,COLUMNS($A:T)+6,0))</f>
        <v/>
      </c>
      <c r="AA58" s="42" t="str">
        <f>IF(VLOOKUP($A58,Data_Template!$A$6:$BA$16,COLUMNS($A:U)+6,0)=0,"",VLOOKUP($A58,Data_Template!$A$6:$BA$16,COLUMNS($A:U)+6,0))</f>
        <v/>
      </c>
      <c r="AB58" s="42" t="str">
        <f>IF(VLOOKUP($A58,Data_Template!$A$6:$BA$16,COLUMNS($A:V)+6,0)=0,"",VLOOKUP($A58,Data_Template!$A$6:$BA$16,COLUMNS($A:V)+6,0))</f>
        <v/>
      </c>
      <c r="AC58" s="42" t="str">
        <f>IF(VLOOKUP($A58,Data_Template!$A$6:$BA$16,COLUMNS($A:W)+6,0)=0,"",VLOOKUP($A58,Data_Template!$A$6:$BA$16,COLUMNS($A:W)+6,0))</f>
        <v/>
      </c>
      <c r="AD58" s="42"/>
      <c r="AE58" s="42" t="str">
        <f>IF(VLOOKUP($A58,Data_Template!$A$6:$BA$16,COLUMNS($A:Y)+6,0)=0,"",VLOOKUP($A58,Data_Template!$A$6:$BA$16,COLUMNS($A:Y)+6,0))</f>
        <v/>
      </c>
      <c r="AF58" s="42" t="str">
        <f>IF(VLOOKUP($A58,Data_Template!$A$6:$BA$16,COLUMNS($A:Z)+6,0)=0,"",VLOOKUP($A58,Data_Template!$A$6:$BA$16,COLUMNS($A:Z)+6,0))</f>
        <v/>
      </c>
      <c r="AG58" s="42" t="str">
        <f>IF(VLOOKUP($A58,Data_Template!$A$6:$BA$16,COLUMNS($A:AA)+6,0)=0,"",VLOOKUP($A58,Data_Template!$A$6:$BA$16,COLUMNS($A:AA)+6,0))</f>
        <v/>
      </c>
      <c r="AH58" s="42" t="str">
        <f>IF(VLOOKUP($A58,Data_Template!$A$6:$BA$16,COLUMNS($A:AB)+6,0)=0,"",VLOOKUP($A58,Data_Template!$A$6:$BA$16,COLUMNS($A:AB)+6,0))</f>
        <v/>
      </c>
      <c r="AI58" s="42" t="str">
        <f>IF(VLOOKUP($A58,Data_Template!$A$6:$BA$16,COLUMNS($A:AC)+6,0)=0,"",VLOOKUP($A58,Data_Template!$A$6:$BA$16,COLUMNS($A:AC)+6,0))</f>
        <v/>
      </c>
      <c r="AJ58" s="42" t="str">
        <f>IF(VLOOKUP($A58,Data_Template!$A$6:$BA$16,COLUMNS($A:AD)+6,0)=0,"",VLOOKUP($A58,Data_Template!$A$6:$BA$16,COLUMNS($A:AD)+6,0))</f>
        <v/>
      </c>
      <c r="AK58" s="42" t="str">
        <f>IF(VLOOKUP($A58,Data_Template!$A$6:$BA$16,COLUMNS($A:AE)+6,0)=0,"",VLOOKUP($A58,Data_Template!$A$6:$BA$16,COLUMNS($A:AE)+6,0))</f>
        <v/>
      </c>
      <c r="AL58" s="42" t="str">
        <f>IF(VLOOKUP($A58,Data_Template!$A$6:$BA$16,COLUMNS($A:AF)+6,0)=0,"",VLOOKUP($A58,Data_Template!$A$6:$BA$16,COLUMNS($A:AF)+6,0))</f>
        <v/>
      </c>
      <c r="AM58" s="42" t="str">
        <f>IF(VLOOKUP($A58,Data_Template!$A$6:$BA$16,COLUMNS($A:AG)+6,0)=0,"",VLOOKUP($A58,Data_Template!$A$6:$BA$16,COLUMNS($A:AG)+6,0))</f>
        <v/>
      </c>
      <c r="AN58" s="42" t="str">
        <f>IF(VLOOKUP($A58,Data_Template!$A$6:$BA$16,COLUMNS($A:AH)+6,0)=0,"",VLOOKUP($A58,Data_Template!$A$6:$BA$16,COLUMNS($A:AH)+6,0))</f>
        <v/>
      </c>
      <c r="AO58" s="42" t="str">
        <f>IF(VLOOKUP($A58,Data_Template!$A$6:$BA$16,COLUMNS($A:AI)+6,0)=0,"",VLOOKUP($A58,Data_Template!$A$6:$BA$16,COLUMNS($A:AI)+6,0))</f>
        <v/>
      </c>
      <c r="AP58" s="42" t="str">
        <f>IF(VLOOKUP($A58,Data_Template!$A$6:$BA$16,COLUMNS($A:AJ)+6,0)=0,"",VLOOKUP($A58,Data_Template!$A$6:$BA$16,COLUMNS($A:AJ)+6,0))</f>
        <v/>
      </c>
      <c r="AQ58" s="42" t="str">
        <f>IF(VLOOKUP($A58,Data_Template!$A$6:$BA$16,COLUMNS($A:AK)+6,0)=0,"",VLOOKUP($A58,Data_Template!$A$6:$BA$16,COLUMNS($A:AK)+6,0))</f>
        <v/>
      </c>
      <c r="AR58" s="42" t="str">
        <f>IF(VLOOKUP($A58,Data_Template!$A$6:$BA$16,COLUMNS($A:AL)+6,0)=0,"",VLOOKUP($A58,Data_Template!$A$6:$BA$16,COLUMNS($A:AL)+6,0))</f>
        <v/>
      </c>
      <c r="AS58" s="42" t="str">
        <f>IF(VLOOKUP($A58,Data_Template!$A$6:$BA$16,COLUMNS($A:AM)+6,0)=0,"",VLOOKUP($A58,Data_Template!$A$6:$BA$16,COLUMNS($A:AM)+6,0))</f>
        <v/>
      </c>
      <c r="AT58" s="42"/>
      <c r="AU58" s="42"/>
      <c r="AV58" s="42" t="str">
        <f>IF(VLOOKUP($A58,Data_Template!$A$6:$BA$16,COLUMNS($A:AP)+6,0)=0,"",VLOOKUP($A58,Data_Template!$A$6:$BA$16,COLUMNS($A:AP)+6,0))</f>
        <v/>
      </c>
      <c r="AW58" s="42" t="str">
        <f>IF(VLOOKUP($A58,Data_Template!$A$6:$BA$16,COLUMNS($A:AQ)+6,0)=0,"",VLOOKUP($A58,Data_Template!$A$6:$BA$16,COLUMNS($A:AQ)+6,0))</f>
        <v/>
      </c>
      <c r="AX58" s="42" t="str">
        <f>IF(VLOOKUP($A58,Data_Template!$A$6:$BA$16,COLUMNS($A:AR)+6,0)=0,"",VLOOKUP($A58,Data_Template!$A$6:$BA$16,COLUMNS($A:AR)+6,0))</f>
        <v/>
      </c>
      <c r="AY58" s="42"/>
      <c r="AZ58" s="42"/>
      <c r="BA58" s="42"/>
      <c r="BB58" s="50"/>
      <c r="BC58" s="42"/>
      <c r="BD58" s="42"/>
      <c r="BE58" s="42"/>
      <c r="BF58" s="42"/>
      <c r="BG58" s="42"/>
      <c r="BH58" s="42"/>
      <c r="BI58" s="42"/>
      <c r="BJ58" s="42"/>
      <c r="BL58" s="42"/>
      <c r="BM58" s="42"/>
      <c r="BN58" s="42"/>
      <c r="BO58" s="42"/>
      <c r="BP58" s="42"/>
      <c r="BQ58" s="42"/>
      <c r="BR58" s="42"/>
      <c r="BS58" s="42"/>
      <c r="BT58" s="42"/>
      <c r="BU58" s="42"/>
      <c r="BV58" s="42"/>
      <c r="BW58" s="42"/>
      <c r="BX58" s="42"/>
    </row>
    <row r="59" spans="1:76" s="51" customFormat="1" ht="76.5" x14ac:dyDescent="0.2">
      <c r="A59" s="246" t="str">
        <f>Classes!J11</f>
        <v>IFMA_C_31010004</v>
      </c>
      <c r="B59" s="246" t="str">
        <f>Classes!P11</f>
        <v>Innenraum</v>
      </c>
      <c r="C59" s="37"/>
      <c r="D59" s="42" t="s">
        <v>884</v>
      </c>
      <c r="E59" s="41"/>
      <c r="G59" s="246" t="str">
        <f>IF(VLOOKUP($A59,Data_Template!$A$6:$BA$16,COLUMNS($A:A)+6,0)=0,"",VLOOKUP($A59,Data_Template!$A$6:$BA$16,COLUMNS($A:A)+6,0))</f>
        <v>x</v>
      </c>
      <c r="H59" s="42" t="str">
        <f>IF(VLOOKUP($A59,Data_Template!$A$6:$BA$16,COLUMNS($A:B)+6,0)=0,"",VLOOKUP($A59,Data_Template!$A$6:$BA$16,COLUMNS($A:B)+6,0))</f>
        <v>x</v>
      </c>
      <c r="I59" s="42" t="str">
        <f>IF(VLOOKUP($A59,Data_Template!$A$6:$BA$16,COLUMNS($A:C)+6,0)=0,"",VLOOKUP($A59,Data_Template!$A$6:$BA$16,COLUMNS($A:C)+6,0))</f>
        <v>["2.1.1_NF", "2.1.1.1_HNF", "2.1.1.2_NNF", "2.1.2_VF", "2.1.3_FF", "2.1.1_SU", "2.1.1.1_SUP", "2.1.1.2_SUS", "2.1.2_SD", "2.1.3_SI", "2.1.1_SU", "2.1.1.1_SUP", "2.1.1.2_SUS", "2.1.2_SCIR", "2.1.3_SI"]</v>
      </c>
      <c r="J59" s="42"/>
      <c r="K59" s="42" t="str">
        <f>IF(VLOOKUP($A59,Data_Template!$A$6:$BA$16,COLUMNS($A:E)+6,0)=0,"",VLOOKUP($A59,Data_Template!$A$6:$BA$16,COLUMNS($A:E)+6,0))</f>
        <v>x</v>
      </c>
      <c r="L59" s="42"/>
      <c r="M59" s="42" t="str">
        <f>IF(VLOOKUP($A59,Data_Template!$A$6:$BA$16,COLUMNS($A:G)+6,0)=0,"",VLOOKUP($A59,Data_Template!$A$6:$BA$16,COLUMNS($A:G)+6,0))</f>
        <v>x</v>
      </c>
      <c r="N59" s="42" t="str">
        <f>IF(VLOOKUP($A59,Data_Template!$A$6:$BA$16,COLUMNS($A:H)+6,0)=0,"",VLOOKUP($A59,Data_Template!$A$6:$BA$16,COLUMNS($A:H)+6,0))</f>
        <v>x</v>
      </c>
      <c r="O59" s="42" t="str">
        <f>IF(VLOOKUP($A59,Data_Template!$A$6:$BA$16,COLUMNS($A:I)+6,0)=0,"",VLOOKUP($A59,Data_Template!$A$6:$BA$16,COLUMNS($A:I)+6,0))</f>
        <v/>
      </c>
      <c r="P59" s="42"/>
      <c r="Q59" s="42"/>
      <c r="R59" s="42"/>
      <c r="S59" s="42"/>
      <c r="T59" s="42"/>
      <c r="U59" s="42"/>
      <c r="V59" s="42" t="str">
        <f>IF(VLOOKUP($A59,Data_Template!$A$6:$BA$16,COLUMNS($A:P)+6,0)=0,"",VLOOKUP($A59,Data_Template!$A$6:$BA$16,COLUMNS($A:P)+6,0))</f>
        <v>x</v>
      </c>
      <c r="W59" s="42"/>
      <c r="X59" s="42" t="str">
        <f>IF(VLOOKUP($A59,Data_Template!$A$6:$BA$16,COLUMNS($A:R)+6,0)=0,"",VLOOKUP($A59,Data_Template!$A$6:$BA$16,COLUMNS($A:R)+6,0))</f>
        <v>x</v>
      </c>
      <c r="Y59" s="42"/>
      <c r="Z59" s="42" t="str">
        <f>IF(VLOOKUP($A59,Data_Template!$A$6:$BA$16,COLUMNS($A:T)+6,0)=0,"",VLOOKUP($A59,Data_Template!$A$6:$BA$16,COLUMNS($A:T)+6,0))</f>
        <v>x</v>
      </c>
      <c r="AA59" s="42" t="str">
        <f>IF(VLOOKUP($A59,Data_Template!$A$6:$BA$16,COLUMNS($A:U)+6,0)=0,"",VLOOKUP($A59,Data_Template!$A$6:$BA$16,COLUMNS($A:U)+6,0))</f>
        <v>x</v>
      </c>
      <c r="AB59" s="42" t="str">
        <f>IF(VLOOKUP($A59,Data_Template!$A$6:$BA$16,COLUMNS($A:V)+6,0)=0,"",VLOOKUP($A59,Data_Template!$A$6:$BA$16,COLUMNS($A:V)+6,0))</f>
        <v>x</v>
      </c>
      <c r="AC59" s="42"/>
      <c r="AD59" s="42" t="str">
        <f>IF(VLOOKUP($A59,Data_Template!$A$6:$BA$16,COLUMNS($A:X)+6,0)=0,"",VLOOKUP($A59,Data_Template!$A$6:$BA$16,COLUMNS($A:X)+6,0))</f>
        <v>["false"]</v>
      </c>
      <c r="AE59" s="42"/>
      <c r="AF59" s="42"/>
      <c r="AG59" s="42" t="str">
        <f>IF(VLOOKUP($A59,Data_Template!$A$6:$BA$16,COLUMNS($A:AA)+6,0)=0,"",VLOOKUP($A59,Data_Template!$A$6:$BA$16,COLUMNS($A:AA)+6,0))</f>
        <v>x</v>
      </c>
      <c r="AH59" s="42"/>
      <c r="AI59" s="42"/>
      <c r="AJ59" s="42"/>
      <c r="AK59" s="42"/>
      <c r="AL59" s="42" t="str">
        <f>IF(VLOOKUP($A59,Data_Template!$A$6:$BA$16,COLUMNS($A:AF)+6,0)=0,"",VLOOKUP($A59,Data_Template!$A$6:$BA$16,COLUMNS($A:AF)+6,0))</f>
        <v>x</v>
      </c>
      <c r="AM59" s="42" t="str">
        <f>IF(VLOOKUP($A59,Data_Template!$A$6:$BA$16,COLUMNS($A:AG)+6,0)=0,"",VLOOKUP($A59,Data_Template!$A$6:$BA$16,COLUMNS($A:AG)+6,0))</f>
        <v>x</v>
      </c>
      <c r="AN59" s="42" t="str">
        <f>IF(VLOOKUP($A59,Data_Template!$A$6:$BA$16,COLUMNS($A:AH)+6,0)=0,"",VLOOKUP($A59,Data_Template!$A$6:$BA$16,COLUMNS($A:AH)+6,0))</f>
        <v>x</v>
      </c>
      <c r="AO59" s="42" t="str">
        <f>IF(VLOOKUP($A59,Data_Template!$A$6:$BA$16,COLUMNS($A:AI)+6,0)=0,"",VLOOKUP($A59,Data_Template!$A$6:$BA$16,COLUMNS($A:AI)+6,0))</f>
        <v>x</v>
      </c>
      <c r="AP59" s="42" t="str">
        <f>IF(VLOOKUP($A59,Data_Template!$A$6:$BA$16,COLUMNS($A:AJ)+6,0)=0,"",VLOOKUP($A59,Data_Template!$A$6:$BA$16,COLUMNS($A:AJ)+6,0))</f>
        <v>x</v>
      </c>
      <c r="AQ59" s="42" t="str">
        <f>IF(VLOOKUP($A59,Data_Template!$A$6:$BA$16,COLUMNS($A:AK)+6,0)=0,"",VLOOKUP($A59,Data_Template!$A$6:$BA$16,COLUMNS($A:AK)+6,0))</f>
        <v>x</v>
      </c>
      <c r="AR59" s="42" t="str">
        <f>IF(VLOOKUP($A59,Data_Template!$A$6:$BA$16,COLUMNS($A:AL)+6,0)=0,"",VLOOKUP($A59,Data_Template!$A$6:$BA$16,COLUMNS($A:AL)+6,0))</f>
        <v>x</v>
      </c>
      <c r="AS59" s="42"/>
      <c r="AT59" s="42" t="str">
        <f>IF(VLOOKUP($A59,Data_Template!$A$6:$BA$16,COLUMNS($A:AN)+6,0)=0,"",VLOOKUP($A59,Data_Template!$A$6:$BA$16,COLUMNS($A:AN)+6,0))</f>
        <v/>
      </c>
      <c r="AU59" s="42" t="str">
        <f>IF(VLOOKUP($A59,Data_Template!$A$6:$BA$16,COLUMNS($A:AO)+6,0)=0,"",VLOOKUP($A59,Data_Template!$A$6:$BA$16,COLUMNS($A:AO)+6,0))</f>
        <v/>
      </c>
      <c r="AV59" s="42" t="str">
        <f>IF(VLOOKUP($A59,Data_Template!$A$6:$BA$16,COLUMNS($A:AP)+6,0)=0,"",VLOOKUP($A59,Data_Template!$A$6:$BA$16,COLUMNS($A:AP)+6,0))</f>
        <v>x</v>
      </c>
      <c r="AW59" s="42" t="str">
        <f>IF(VLOOKUP($A59,Data_Template!$A$6:$BA$16,COLUMNS($A:AQ)+6,0)=0,"",VLOOKUP($A59,Data_Template!$A$6:$BA$16,COLUMNS($A:AQ)+6,0))</f>
        <v>x</v>
      </c>
      <c r="AX59" s="42"/>
      <c r="AY59" s="42" t="str">
        <f>IF(VLOOKUP($A59,Data_Template!$A$6:$BA$16,COLUMNS($A:AS)+6,0)=0,"",VLOOKUP($A59,Data_Template!$A$6:$BA$16,COLUMNS($A:AS)+6,0))</f>
        <v>x</v>
      </c>
      <c r="AZ59" s="42"/>
      <c r="BA59" s="42"/>
      <c r="BB59" s="50"/>
      <c r="BC59" s="42"/>
      <c r="BD59" s="42"/>
      <c r="BE59" s="42"/>
      <c r="BF59" s="42"/>
      <c r="BG59" s="42"/>
      <c r="BH59" s="42"/>
      <c r="BI59" s="42"/>
      <c r="BJ59" s="42"/>
      <c r="BL59" s="42"/>
      <c r="BM59" s="42"/>
      <c r="BN59" s="42"/>
      <c r="BO59" s="42"/>
      <c r="BP59" s="42"/>
      <c r="BQ59" s="42"/>
      <c r="BR59" s="42"/>
      <c r="BS59" s="42"/>
      <c r="BT59" s="42"/>
      <c r="BU59" s="42"/>
      <c r="BV59" s="42"/>
      <c r="BW59" s="42"/>
      <c r="BX59" s="42"/>
    </row>
    <row r="60" spans="1:76" s="51" customFormat="1" ht="14.25" x14ac:dyDescent="0.2">
      <c r="A60" s="246" t="str">
        <f>Classes!J12</f>
        <v>IFMA_C_31010005</v>
      </c>
      <c r="B60" s="246" t="str">
        <f>Classes!P12</f>
        <v>Aussenraum</v>
      </c>
      <c r="C60" s="37"/>
      <c r="D60" s="42" t="s">
        <v>884</v>
      </c>
      <c r="E60" s="41"/>
      <c r="G60" s="246"/>
      <c r="H60" s="42"/>
      <c r="I60" s="42"/>
      <c r="J60" s="42" t="str">
        <f>IF(VLOOKUP($A60,Data_Template!$A$6:$BA$16,COLUMNS($A:D)+6,0)=0,"",VLOOKUP($A60,Data_Template!$A$6:$BA$16,COLUMNS($A:D)+6,0))</f>
        <v/>
      </c>
      <c r="K60" s="42" t="str">
        <f>IF(VLOOKUP($A60,Data_Template!$A$6:$BA$16,COLUMNS($A:E)+6,0)=0,"",VLOOKUP($A60,Data_Template!$A$6:$BA$16,COLUMNS($A:E)+6,0))</f>
        <v/>
      </c>
      <c r="L60" s="42" t="str">
        <f>IF(VLOOKUP($A60,Data_Template!$A$6:$BA$16,COLUMNS($A:F)+6,0)=0,"",VLOOKUP($A60,Data_Template!$A$6:$BA$16,COLUMNS($A:F)+6,0))</f>
        <v/>
      </c>
      <c r="M60" s="42"/>
      <c r="N60" s="42"/>
      <c r="O60" s="42" t="str">
        <f>IF(VLOOKUP($A60,Data_Template!$A$6:$BA$16,COLUMNS($A:I)+6,0)=0,"",VLOOKUP($A60,Data_Template!$A$6:$BA$16,COLUMNS($A:I)+6,0))</f>
        <v/>
      </c>
      <c r="P60" s="42"/>
      <c r="Q60" s="42"/>
      <c r="R60" s="42" t="str">
        <f>IF(VLOOKUP($A60,Data_Template!$A$6:$BA$16,COLUMNS($A:L)+6,0)=0,"",VLOOKUP($A60,Data_Template!$A$6:$BA$16,COLUMNS($A:L)+6,0))</f>
        <v/>
      </c>
      <c r="S60" s="42" t="str">
        <f>IF(VLOOKUP($A60,Data_Template!$A$6:$BA$16,COLUMNS($A:M)+6,0)=0,"",VLOOKUP($A60,Data_Template!$A$6:$BA$16,COLUMNS($A:M)+6,0))</f>
        <v/>
      </c>
      <c r="T60" s="42" t="str">
        <f>IF(VLOOKUP($A60,Data_Template!$A$6:$BA$16,COLUMNS($A:N)+6,0)=0,"",VLOOKUP($A60,Data_Template!$A$6:$BA$16,COLUMNS($A:N)+6,0))</f>
        <v/>
      </c>
      <c r="U60" s="42" t="str">
        <f>IF(VLOOKUP($A60,Data_Template!$A$6:$BA$16,COLUMNS($A:O)+6,0)=0,"",VLOOKUP($A60,Data_Template!$A$6:$BA$16,COLUMNS($A:O)+6,0))</f>
        <v/>
      </c>
      <c r="V60" s="42" t="str">
        <f>IF(VLOOKUP($A60,Data_Template!$A$6:$BA$16,COLUMNS($A:P)+6,0)=0,"",VLOOKUP($A60,Data_Template!$A$6:$BA$16,COLUMNS($A:P)+6,0))</f>
        <v/>
      </c>
      <c r="W60" s="42" t="str">
        <f>IF(VLOOKUP($A60,Data_Template!$A$6:$BA$16,COLUMNS($A:Q)+6,0)=0,"",VLOOKUP($A60,Data_Template!$A$6:$BA$16,COLUMNS($A:Q)+6,0))</f>
        <v/>
      </c>
      <c r="X60" s="42" t="str">
        <f>IF(VLOOKUP($A60,Data_Template!$A$6:$BA$16,COLUMNS($A:R)+6,0)=0,"",VLOOKUP($A60,Data_Template!$A$6:$BA$16,COLUMNS($A:R)+6,0))</f>
        <v/>
      </c>
      <c r="Y60" s="42"/>
      <c r="Z60" s="42" t="str">
        <f>IF(VLOOKUP($A60,Data_Template!$A$6:$BA$16,COLUMNS($A:T)+6,0)=0,"",VLOOKUP($A60,Data_Template!$A$6:$BA$16,COLUMNS($A:T)+6,0))</f>
        <v/>
      </c>
      <c r="AA60" s="42" t="str">
        <f>IF(VLOOKUP($A60,Data_Template!$A$6:$BA$16,COLUMNS($A:U)+6,0)=0,"",VLOOKUP($A60,Data_Template!$A$6:$BA$16,COLUMNS($A:U)+6,0))</f>
        <v/>
      </c>
      <c r="AB60" s="42" t="str">
        <f>IF(VLOOKUP($A60,Data_Template!$A$6:$BA$16,COLUMNS($A:V)+6,0)=0,"",VLOOKUP($A60,Data_Template!$A$6:$BA$16,COLUMNS($A:V)+6,0))</f>
        <v/>
      </c>
      <c r="AC60" s="42"/>
      <c r="AD60" s="42"/>
      <c r="AE60" s="42"/>
      <c r="AF60" s="42" t="str">
        <f>IF(VLOOKUP($A60,Data_Template!$A$6:$BA$16,COLUMNS($A:Z)+6,0)=0,"",VLOOKUP($A60,Data_Template!$A$6:$BA$16,COLUMNS($A:Z)+6,0))</f>
        <v/>
      </c>
      <c r="AG60" s="42"/>
      <c r="AH60" s="42"/>
      <c r="AI60" s="42"/>
      <c r="AJ60" s="42" t="str">
        <f>IF(VLOOKUP($A60,Data_Template!$A$6:$BA$16,COLUMNS($A:AD)+6,0)=0,"",VLOOKUP($A60,Data_Template!$A$6:$BA$16,COLUMNS($A:AD)+6,0))</f>
        <v/>
      </c>
      <c r="AK60" s="42" t="str">
        <f>IF(VLOOKUP($A60,Data_Template!$A$6:$BA$16,COLUMNS($A:AE)+6,0)=0,"",VLOOKUP($A60,Data_Template!$A$6:$BA$16,COLUMNS($A:AE)+6,0))</f>
        <v/>
      </c>
      <c r="AL60" s="42" t="str">
        <f>IF(VLOOKUP($A60,Data_Template!$A$6:$BA$16,COLUMNS($A:AF)+6,0)=0,"",VLOOKUP($A60,Data_Template!$A$6:$BA$16,COLUMNS($A:AF)+6,0))</f>
        <v/>
      </c>
      <c r="AM60" s="42" t="str">
        <f>IF(VLOOKUP($A60,Data_Template!$A$6:$BA$16,COLUMNS($A:AG)+6,0)=0,"",VLOOKUP($A60,Data_Template!$A$6:$BA$16,COLUMNS($A:AG)+6,0))</f>
        <v/>
      </c>
      <c r="AN60" s="42" t="str">
        <f>IF(VLOOKUP($A60,Data_Template!$A$6:$BA$16,COLUMNS($A:AH)+6,0)=0,"",VLOOKUP($A60,Data_Template!$A$6:$BA$16,COLUMNS($A:AH)+6,0))</f>
        <v/>
      </c>
      <c r="AO60" s="42" t="str">
        <f>IF(VLOOKUP($A60,Data_Template!$A$6:$BA$16,COLUMNS($A:AI)+6,0)=0,"",VLOOKUP($A60,Data_Template!$A$6:$BA$16,COLUMNS($A:AI)+6,0))</f>
        <v/>
      </c>
      <c r="AP60" s="42" t="str">
        <f>IF(VLOOKUP($A60,Data_Template!$A$6:$BA$16,COLUMNS($A:AJ)+6,0)=0,"",VLOOKUP($A60,Data_Template!$A$6:$BA$16,COLUMNS($A:AJ)+6,0))</f>
        <v/>
      </c>
      <c r="AQ60" s="42" t="str">
        <f>IF(VLOOKUP($A60,Data_Template!$A$6:$BA$16,COLUMNS($A:AK)+6,0)=0,"",VLOOKUP($A60,Data_Template!$A$6:$BA$16,COLUMNS($A:AK)+6,0))</f>
        <v/>
      </c>
      <c r="AR60" s="42" t="str">
        <f>IF(VLOOKUP($A60,Data_Template!$A$6:$BA$16,COLUMNS($A:AL)+6,0)=0,"",VLOOKUP($A60,Data_Template!$A$6:$BA$16,COLUMNS($A:AL)+6,0))</f>
        <v/>
      </c>
      <c r="AS60" s="42" t="str">
        <f>IF(VLOOKUP($A60,Data_Template!$A$6:$BA$16,COLUMNS($A:AM)+6,0)=0,"",VLOOKUP($A60,Data_Template!$A$6:$BA$16,COLUMNS($A:AM)+6,0))</f>
        <v/>
      </c>
      <c r="AT60" s="42" t="str">
        <f>IF(VLOOKUP($A60,Data_Template!$A$6:$BA$16,COLUMNS($A:AN)+6,0)=0,"",VLOOKUP($A60,Data_Template!$A$6:$BA$16,COLUMNS($A:AN)+6,0))</f>
        <v/>
      </c>
      <c r="AU60" s="42" t="str">
        <f>IF(VLOOKUP($A60,Data_Template!$A$6:$BA$16,COLUMNS($A:AO)+6,0)=0,"",VLOOKUP($A60,Data_Template!$A$6:$BA$16,COLUMNS($A:AO)+6,0))</f>
        <v/>
      </c>
      <c r="AV60" s="42"/>
      <c r="AW60" s="42" t="str">
        <f>IF(VLOOKUP($A60,Data_Template!$A$6:$BA$16,COLUMNS($A:AQ)+6,0)=0,"",VLOOKUP($A60,Data_Template!$A$6:$BA$16,COLUMNS($A:AQ)+6,0))</f>
        <v/>
      </c>
      <c r="AX60" s="42" t="str">
        <f>IF(VLOOKUP($A60,Data_Template!$A$6:$BA$16,COLUMNS($A:AR)+6,0)=0,"",VLOOKUP($A60,Data_Template!$A$6:$BA$16,COLUMNS($A:AR)+6,0))</f>
        <v/>
      </c>
      <c r="AY60" s="42" t="str">
        <f>IF(VLOOKUP($A60,Data_Template!$A$6:$BA$16,COLUMNS($A:AS)+6,0)=0,"",VLOOKUP($A60,Data_Template!$A$6:$BA$16,COLUMNS($A:AS)+6,0))</f>
        <v/>
      </c>
      <c r="AZ60" s="42" t="str">
        <f>IF(VLOOKUP($A60,Data_Template!$A$6:$BA$16,COLUMNS($A:AT)+6,0)=0,"",VLOOKUP($A60,Data_Template!$A$6:$BA$16,COLUMNS($A:AT)+6,0))</f>
        <v/>
      </c>
      <c r="BA60" s="42"/>
      <c r="BB60" s="50"/>
      <c r="BC60" s="42"/>
      <c r="BD60" s="42"/>
      <c r="BE60" s="42"/>
      <c r="BF60" s="42"/>
      <c r="BG60" s="42"/>
      <c r="BH60" s="42"/>
      <c r="BI60" s="42"/>
      <c r="BJ60" s="42"/>
      <c r="BL60" s="42"/>
      <c r="BM60" s="42"/>
      <c r="BN60" s="42"/>
      <c r="BO60" s="42"/>
      <c r="BP60" s="42"/>
      <c r="BQ60" s="42"/>
      <c r="BR60" s="42"/>
      <c r="BS60" s="42"/>
      <c r="BT60" s="42"/>
      <c r="BU60" s="42"/>
      <c r="BV60" s="42"/>
      <c r="BW60" s="42"/>
      <c r="BX60" s="42"/>
    </row>
    <row r="61" spans="1:76" s="51" customFormat="1" ht="14.25" x14ac:dyDescent="0.2">
      <c r="A61" s="246" t="str">
        <f>Classes!J13</f>
        <v>IFMA_C_31010006</v>
      </c>
      <c r="B61" s="246" t="str">
        <f>Classes!P13</f>
        <v>Einzelparkplatz</v>
      </c>
      <c r="C61" s="37"/>
      <c r="D61" s="42" t="s">
        <v>884</v>
      </c>
      <c r="E61" s="41"/>
      <c r="G61" s="42"/>
      <c r="H61" s="42"/>
      <c r="I61" s="42" t="str">
        <f>IF(VLOOKUP($A61,Data_Template!$A$6:$BA$16,COLUMNS($A:C)+6,0)=0,"",VLOOKUP($A61,Data_Template!$A$6:$BA$16,COLUMNS($A:C)+6,0))</f>
        <v/>
      </c>
      <c r="J61" s="42" t="str">
        <f>IF(VLOOKUP($A61,Data_Template!$A$6:$BA$16,COLUMNS($A:D)+6,0)=0,"",VLOOKUP($A61,Data_Template!$A$6:$BA$16,COLUMNS($A:D)+6,0))</f>
        <v/>
      </c>
      <c r="K61" s="42" t="str">
        <f>IF(VLOOKUP($A61,Data_Template!$A$6:$BA$16,COLUMNS($A:E)+6,0)=0,"",VLOOKUP($A61,Data_Template!$A$6:$BA$16,COLUMNS($A:E)+6,0))</f>
        <v/>
      </c>
      <c r="L61" s="42" t="str">
        <f>IF(VLOOKUP($A61,Data_Template!$A$6:$BA$16,COLUMNS($A:F)+6,0)=0,"",VLOOKUP($A61,Data_Template!$A$6:$BA$16,COLUMNS($A:F)+6,0))</f>
        <v/>
      </c>
      <c r="M61" s="42"/>
      <c r="N61" s="42"/>
      <c r="O61" s="42" t="str">
        <f>IF(VLOOKUP($A61,Data_Template!$A$6:$BA$16,COLUMNS($A:I)+6,0)=0,"",VLOOKUP($A61,Data_Template!$A$6:$BA$16,COLUMNS($A:I)+6,0))</f>
        <v/>
      </c>
      <c r="P61" s="42"/>
      <c r="Q61" s="42"/>
      <c r="R61" s="42" t="str">
        <f>IF(VLOOKUP($A61,Data_Template!$A$6:$BA$16,COLUMNS($A:L)+6,0)=0,"",VLOOKUP($A61,Data_Template!$A$6:$BA$16,COLUMNS($A:L)+6,0))</f>
        <v/>
      </c>
      <c r="S61" s="42" t="str">
        <f>IF(VLOOKUP($A61,Data_Template!$A$6:$BA$16,COLUMNS($A:M)+6,0)=0,"",VLOOKUP($A61,Data_Template!$A$6:$BA$16,COLUMNS($A:M)+6,0))</f>
        <v/>
      </c>
      <c r="T61" s="42" t="str">
        <f>IF(VLOOKUP($A61,Data_Template!$A$6:$BA$16,COLUMNS($A:N)+6,0)=0,"",VLOOKUP($A61,Data_Template!$A$6:$BA$16,COLUMNS($A:N)+6,0))</f>
        <v/>
      </c>
      <c r="U61" s="42" t="str">
        <f>IF(VLOOKUP($A61,Data_Template!$A$6:$BA$16,COLUMNS($A:O)+6,0)=0,"",VLOOKUP($A61,Data_Template!$A$6:$BA$16,COLUMNS($A:O)+6,0))</f>
        <v/>
      </c>
      <c r="V61" s="42" t="str">
        <f>IF(VLOOKUP($A61,Data_Template!$A$6:$BA$16,COLUMNS($A:P)+6,0)=0,"",VLOOKUP($A61,Data_Template!$A$6:$BA$16,COLUMNS($A:P)+6,0))</f>
        <v/>
      </c>
      <c r="W61" s="42" t="str">
        <f>IF(VLOOKUP($A61,Data_Template!$A$6:$BA$16,COLUMNS($A:Q)+6,0)=0,"",VLOOKUP($A61,Data_Template!$A$6:$BA$16,COLUMNS($A:Q)+6,0))</f>
        <v/>
      </c>
      <c r="X61" s="42" t="str">
        <f>IF(VLOOKUP($A61,Data_Template!$A$6:$BA$16,COLUMNS($A:R)+6,0)=0,"",VLOOKUP($A61,Data_Template!$A$6:$BA$16,COLUMNS($A:R)+6,0))</f>
        <v/>
      </c>
      <c r="Y61" s="42"/>
      <c r="Z61" s="42" t="str">
        <f>IF(VLOOKUP($A61,Data_Template!$A$6:$BA$16,COLUMNS($A:T)+6,0)=0,"",VLOOKUP($A61,Data_Template!$A$6:$BA$16,COLUMNS($A:T)+6,0))</f>
        <v/>
      </c>
      <c r="AA61" s="42" t="str">
        <f>IF(VLOOKUP($A61,Data_Template!$A$6:$BA$16,COLUMNS($A:U)+6,0)=0,"",VLOOKUP($A61,Data_Template!$A$6:$BA$16,COLUMNS($A:U)+6,0))</f>
        <v/>
      </c>
      <c r="AB61" s="42" t="str">
        <f>IF(VLOOKUP($A61,Data_Template!$A$6:$BA$16,COLUMNS($A:V)+6,0)=0,"",VLOOKUP($A61,Data_Template!$A$6:$BA$16,COLUMNS($A:V)+6,0))</f>
        <v/>
      </c>
      <c r="AC61" s="42"/>
      <c r="AD61" s="42"/>
      <c r="AE61" s="42"/>
      <c r="AF61" s="42" t="str">
        <f>IF(VLOOKUP($A61,Data_Template!$A$6:$BA$16,COLUMNS($A:Z)+6,0)=0,"",VLOOKUP($A61,Data_Template!$A$6:$BA$16,COLUMNS($A:Z)+6,0))</f>
        <v/>
      </c>
      <c r="AG61" s="42" t="str">
        <f>IF(VLOOKUP($A61,Data_Template!$A$6:$BA$16,COLUMNS($A:AA)+6,0)=0,"",VLOOKUP($A61,Data_Template!$A$6:$BA$16,COLUMNS($A:AA)+6,0))</f>
        <v/>
      </c>
      <c r="AH61" s="42" t="str">
        <f>IF(VLOOKUP($A61,Data_Template!$A$6:$BA$16,COLUMNS($A:AB)+6,0)=0,"",VLOOKUP($A61,Data_Template!$A$6:$BA$16,COLUMNS($A:AB)+6,0))</f>
        <v/>
      </c>
      <c r="AI61" s="42" t="str">
        <f>IF(VLOOKUP($A61,Data_Template!$A$6:$BA$16,COLUMNS($A:AC)+6,0)=0,"",VLOOKUP($A61,Data_Template!$A$6:$BA$16,COLUMNS($A:AC)+6,0))</f>
        <v/>
      </c>
      <c r="AJ61" s="42" t="str">
        <f>IF(VLOOKUP($A61,Data_Template!$A$6:$BA$16,COLUMNS($A:AD)+6,0)=0,"",VLOOKUP($A61,Data_Template!$A$6:$BA$16,COLUMNS($A:AD)+6,0))</f>
        <v/>
      </c>
      <c r="AK61" s="42" t="str">
        <f>IF(VLOOKUP($A61,Data_Template!$A$6:$BA$16,COLUMNS($A:AE)+6,0)=0,"",VLOOKUP($A61,Data_Template!$A$6:$BA$16,COLUMNS($A:AE)+6,0))</f>
        <v/>
      </c>
      <c r="AL61" s="42" t="str">
        <f>IF(VLOOKUP($A61,Data_Template!$A$6:$BA$16,COLUMNS($A:AF)+6,0)=0,"",VLOOKUP($A61,Data_Template!$A$6:$BA$16,COLUMNS($A:AF)+6,0))</f>
        <v/>
      </c>
      <c r="AM61" s="42" t="str">
        <f>IF(VLOOKUP($A61,Data_Template!$A$6:$BA$16,COLUMNS($A:AG)+6,0)=0,"",VLOOKUP($A61,Data_Template!$A$6:$BA$16,COLUMNS($A:AG)+6,0))</f>
        <v/>
      </c>
      <c r="AN61" s="42" t="str">
        <f>IF(VLOOKUP($A61,Data_Template!$A$6:$BA$16,COLUMNS($A:AH)+6,0)=0,"",VLOOKUP($A61,Data_Template!$A$6:$BA$16,COLUMNS($A:AH)+6,0))</f>
        <v/>
      </c>
      <c r="AO61" s="42" t="str">
        <f>IF(VLOOKUP($A61,Data_Template!$A$6:$BA$16,COLUMNS($A:AI)+6,0)=0,"",VLOOKUP($A61,Data_Template!$A$6:$BA$16,COLUMNS($A:AI)+6,0))</f>
        <v/>
      </c>
      <c r="AP61" s="42" t="str">
        <f>IF(VLOOKUP($A61,Data_Template!$A$6:$BA$16,COLUMNS($A:AJ)+6,0)=0,"",VLOOKUP($A61,Data_Template!$A$6:$BA$16,COLUMNS($A:AJ)+6,0))</f>
        <v/>
      </c>
      <c r="AQ61" s="42" t="str">
        <f>IF(VLOOKUP($A61,Data_Template!$A$6:$BA$16,COLUMNS($A:AK)+6,0)=0,"",VLOOKUP($A61,Data_Template!$A$6:$BA$16,COLUMNS($A:AK)+6,0))</f>
        <v/>
      </c>
      <c r="AR61" s="42" t="str">
        <f>IF(VLOOKUP($A61,Data_Template!$A$6:$BA$16,COLUMNS($A:AL)+6,0)=0,"",VLOOKUP($A61,Data_Template!$A$6:$BA$16,COLUMNS($A:AL)+6,0))</f>
        <v/>
      </c>
      <c r="AS61" s="42" t="str">
        <f>IF(VLOOKUP($A61,Data_Template!$A$6:$BA$16,COLUMNS($A:AM)+6,0)=0,"",VLOOKUP($A61,Data_Template!$A$6:$BA$16,COLUMNS($A:AM)+6,0))</f>
        <v/>
      </c>
      <c r="AT61" s="42"/>
      <c r="AU61" s="42" t="str">
        <f>IF(VLOOKUP($A61,Data_Template!$A$6:$BA$16,COLUMNS($A:AO)+6,0)=0,"",VLOOKUP($A61,Data_Template!$A$6:$BA$16,COLUMNS($A:AO)+6,0))</f>
        <v/>
      </c>
      <c r="AV61" s="42" t="str">
        <f>IF(VLOOKUP($A61,Data_Template!$A$6:$BA$16,COLUMNS($A:AP)+6,0)=0,"",VLOOKUP($A61,Data_Template!$A$6:$BA$16,COLUMNS($A:AP)+6,0))</f>
        <v/>
      </c>
      <c r="AW61" s="42" t="str">
        <f>IF(VLOOKUP($A61,Data_Template!$A$6:$BA$16,COLUMNS($A:AQ)+6,0)=0,"",VLOOKUP($A61,Data_Template!$A$6:$BA$16,COLUMNS($A:AQ)+6,0))</f>
        <v/>
      </c>
      <c r="AX61" s="42" t="str">
        <f>IF(VLOOKUP($A61,Data_Template!$A$6:$BA$16,COLUMNS($A:AR)+6,0)=0,"",VLOOKUP($A61,Data_Template!$A$6:$BA$16,COLUMNS($A:AR)+6,0))</f>
        <v/>
      </c>
      <c r="AY61" s="42"/>
      <c r="AZ61" s="42" t="str">
        <f>IF(VLOOKUP($A61,Data_Template!$A$6:$BA$16,COLUMNS($A:AT)+6,0)=0,"",VLOOKUP($A61,Data_Template!$A$6:$BA$16,COLUMNS($A:AT)+6,0))</f>
        <v/>
      </c>
      <c r="BA61" s="42"/>
      <c r="BB61" s="50"/>
      <c r="BC61" s="42"/>
      <c r="BD61" s="42"/>
      <c r="BE61" s="42"/>
      <c r="BF61" s="42"/>
      <c r="BG61" s="42"/>
      <c r="BH61" s="42"/>
      <c r="BI61" s="42"/>
      <c r="BJ61" s="42"/>
      <c r="BL61" s="42"/>
      <c r="BM61" s="42"/>
      <c r="BN61" s="42"/>
      <c r="BO61" s="42"/>
      <c r="BP61" s="42"/>
      <c r="BQ61" s="42"/>
      <c r="BR61" s="42"/>
      <c r="BS61" s="42"/>
      <c r="BT61" s="42"/>
      <c r="BU61" s="42"/>
      <c r="BV61" s="42"/>
      <c r="BW61" s="42"/>
      <c r="BX61" s="42"/>
    </row>
    <row r="62" spans="1:76" s="51" customFormat="1" ht="14.25" x14ac:dyDescent="0.2">
      <c r="A62" s="246" t="str">
        <f>Classes!J14</f>
        <v>IFMA_C_31010007</v>
      </c>
      <c r="B62" s="246" t="str">
        <f>Classes!P14</f>
        <v>Vermietbare Fläche</v>
      </c>
      <c r="C62" s="37"/>
      <c r="D62" s="42" t="s">
        <v>884</v>
      </c>
      <c r="E62" s="41"/>
      <c r="G62" s="42"/>
      <c r="H62" s="42"/>
      <c r="I62" s="42" t="str">
        <f>IF(VLOOKUP($A62,Data_Template!$A$6:$BA$16,COLUMNS($A:C)+6,0)=0,"",VLOOKUP($A62,Data_Template!$A$6:$BA$16,COLUMNS($A:C)+6,0))</f>
        <v/>
      </c>
      <c r="J62" s="42" t="str">
        <f>IF(VLOOKUP($A62,Data_Template!$A$6:$BA$16,COLUMNS($A:D)+6,0)=0,"",VLOOKUP($A62,Data_Template!$A$6:$BA$16,COLUMNS($A:D)+6,0))</f>
        <v/>
      </c>
      <c r="K62" s="42" t="str">
        <f>IF(VLOOKUP($A62,Data_Template!$A$6:$BA$16,COLUMNS($A:E)+6,0)=0,"",VLOOKUP($A62,Data_Template!$A$6:$BA$16,COLUMNS($A:E)+6,0))</f>
        <v/>
      </c>
      <c r="L62" s="42" t="str">
        <f>IF(VLOOKUP($A62,Data_Template!$A$6:$BA$16,COLUMNS($A:F)+6,0)=0,"",VLOOKUP($A62,Data_Template!$A$6:$BA$16,COLUMNS($A:F)+6,0))</f>
        <v/>
      </c>
      <c r="M62" s="42"/>
      <c r="N62" s="42" t="str">
        <f>IF(VLOOKUP($A62,Data_Template!$A$6:$BA$16,COLUMNS($A:H)+6,0)=0,"",VLOOKUP($A62,Data_Template!$A$6:$BA$16,COLUMNS($A:H)+6,0))</f>
        <v/>
      </c>
      <c r="O62" s="42"/>
      <c r="P62" s="42"/>
      <c r="Q62" s="42" t="str">
        <f>IF(VLOOKUP($A62,Data_Template!$A$6:$BA$16,COLUMNS($A:K)+6,0)=0,"",VLOOKUP($A62,Data_Template!$A$6:$BA$16,COLUMNS($A:K)+6,0))</f>
        <v/>
      </c>
      <c r="R62" s="42" t="str">
        <f>IF(VLOOKUP($A62,Data_Template!$A$6:$BA$16,COLUMNS($A:L)+6,0)=0,"",VLOOKUP($A62,Data_Template!$A$6:$BA$16,COLUMNS($A:L)+6,0))</f>
        <v/>
      </c>
      <c r="S62" s="42" t="str">
        <f>IF(VLOOKUP($A62,Data_Template!$A$6:$BA$16,COLUMNS($A:M)+6,0)=0,"",VLOOKUP($A62,Data_Template!$A$6:$BA$16,COLUMNS($A:M)+6,0))</f>
        <v/>
      </c>
      <c r="T62" s="42" t="str">
        <f>IF(VLOOKUP($A62,Data_Template!$A$6:$BA$16,COLUMNS($A:N)+6,0)=0,"",VLOOKUP($A62,Data_Template!$A$6:$BA$16,COLUMNS($A:N)+6,0))</f>
        <v/>
      </c>
      <c r="U62" s="42" t="str">
        <f>IF(VLOOKUP($A62,Data_Template!$A$6:$BA$16,COLUMNS($A:O)+6,0)=0,"",VLOOKUP($A62,Data_Template!$A$6:$BA$16,COLUMNS($A:O)+6,0))</f>
        <v/>
      </c>
      <c r="V62" s="42" t="str">
        <f>IF(VLOOKUP($A62,Data_Template!$A$6:$BA$16,COLUMNS($A:P)+6,0)=0,"",VLOOKUP($A62,Data_Template!$A$6:$BA$16,COLUMNS($A:P)+6,0))</f>
        <v/>
      </c>
      <c r="W62" s="42" t="str">
        <f>IF(VLOOKUP($A62,Data_Template!$A$6:$BA$16,COLUMNS($A:Q)+6,0)=0,"",VLOOKUP($A62,Data_Template!$A$6:$BA$16,COLUMNS($A:Q)+6,0))</f>
        <v/>
      </c>
      <c r="X62" s="42" t="str">
        <f>IF(VLOOKUP($A62,Data_Template!$A$6:$BA$16,COLUMNS($A:R)+6,0)=0,"",VLOOKUP($A62,Data_Template!$A$6:$BA$16,COLUMNS($A:R)+6,0))</f>
        <v/>
      </c>
      <c r="Y62" s="42"/>
      <c r="Z62" s="42" t="str">
        <f>IF(VLOOKUP($A62,Data_Template!$A$6:$BA$16,COLUMNS($A:T)+6,0)=0,"",VLOOKUP($A62,Data_Template!$A$6:$BA$16,COLUMNS($A:T)+6,0))</f>
        <v/>
      </c>
      <c r="AA62" s="42" t="str">
        <f>IF(VLOOKUP($A62,Data_Template!$A$6:$BA$16,COLUMNS($A:U)+6,0)=0,"",VLOOKUP($A62,Data_Template!$A$6:$BA$16,COLUMNS($A:U)+6,0))</f>
        <v/>
      </c>
      <c r="AB62" s="42" t="str">
        <f>IF(VLOOKUP($A62,Data_Template!$A$6:$BA$16,COLUMNS($A:V)+6,0)=0,"",VLOOKUP($A62,Data_Template!$A$6:$BA$16,COLUMNS($A:V)+6,0))</f>
        <v/>
      </c>
      <c r="AC62" s="42"/>
      <c r="AD62" s="42" t="str">
        <f>IF(VLOOKUP($A62,Data_Template!$A$6:$BA$16,COLUMNS($A:X)+6,0)=0,"",VLOOKUP($A62,Data_Template!$A$6:$BA$16,COLUMNS($A:X)+6,0))</f>
        <v/>
      </c>
      <c r="AE62" s="42" t="str">
        <f>IF(VLOOKUP($A62,Data_Template!$A$6:$BA$16,COLUMNS($A:Y)+6,0)=0,"",VLOOKUP($A62,Data_Template!$A$6:$BA$16,COLUMNS($A:Y)+6,0))</f>
        <v/>
      </c>
      <c r="AF62" s="42" t="str">
        <f>IF(VLOOKUP($A62,Data_Template!$A$6:$BA$16,COLUMNS($A:Z)+6,0)=0,"",VLOOKUP($A62,Data_Template!$A$6:$BA$16,COLUMNS($A:Z)+6,0))</f>
        <v/>
      </c>
      <c r="AG62" s="42"/>
      <c r="AH62" s="42"/>
      <c r="AI62" s="42" t="str">
        <f>IF(VLOOKUP($A62,Data_Template!$A$6:$BA$16,COLUMNS($A:AC)+6,0)=0,"",VLOOKUP($A62,Data_Template!$A$6:$BA$16,COLUMNS($A:AC)+6,0))</f>
        <v/>
      </c>
      <c r="AJ62" s="42" t="str">
        <f>IF(VLOOKUP($A62,Data_Template!$A$6:$BA$16,COLUMNS($A:AD)+6,0)=0,"",VLOOKUP($A62,Data_Template!$A$6:$BA$16,COLUMNS($A:AD)+6,0))</f>
        <v/>
      </c>
      <c r="AK62" s="42" t="str">
        <f>IF(VLOOKUP($A62,Data_Template!$A$6:$BA$16,COLUMNS($A:AE)+6,0)=0,"",VLOOKUP($A62,Data_Template!$A$6:$BA$16,COLUMNS($A:AE)+6,0))</f>
        <v/>
      </c>
      <c r="AL62" s="42" t="str">
        <f>IF(VLOOKUP($A62,Data_Template!$A$6:$BA$16,COLUMNS($A:AF)+6,0)=0,"",VLOOKUP($A62,Data_Template!$A$6:$BA$16,COLUMNS($A:AF)+6,0))</f>
        <v/>
      </c>
      <c r="AM62" s="42" t="str">
        <f>IF(VLOOKUP($A62,Data_Template!$A$6:$BA$16,COLUMNS($A:AG)+6,0)=0,"",VLOOKUP($A62,Data_Template!$A$6:$BA$16,COLUMNS($A:AG)+6,0))</f>
        <v/>
      </c>
      <c r="AN62" s="42" t="str">
        <f>IF(VLOOKUP($A62,Data_Template!$A$6:$BA$16,COLUMNS($A:AH)+6,0)=0,"",VLOOKUP($A62,Data_Template!$A$6:$BA$16,COLUMNS($A:AH)+6,0))</f>
        <v/>
      </c>
      <c r="AO62" s="42" t="str">
        <f>IF(VLOOKUP($A62,Data_Template!$A$6:$BA$16,COLUMNS($A:AI)+6,0)=0,"",VLOOKUP($A62,Data_Template!$A$6:$BA$16,COLUMNS($A:AI)+6,0))</f>
        <v/>
      </c>
      <c r="AP62" s="42" t="str">
        <f>IF(VLOOKUP($A62,Data_Template!$A$6:$BA$16,COLUMNS($A:AJ)+6,0)=0,"",VLOOKUP($A62,Data_Template!$A$6:$BA$16,COLUMNS($A:AJ)+6,0))</f>
        <v/>
      </c>
      <c r="AQ62" s="42" t="str">
        <f>IF(VLOOKUP($A62,Data_Template!$A$6:$BA$16,COLUMNS($A:AK)+6,0)=0,"",VLOOKUP($A62,Data_Template!$A$6:$BA$16,COLUMNS($A:AK)+6,0))</f>
        <v/>
      </c>
      <c r="AR62" s="42" t="str">
        <f>IF(VLOOKUP($A62,Data_Template!$A$6:$BA$16,COLUMNS($A:AL)+6,0)=0,"",VLOOKUP($A62,Data_Template!$A$6:$BA$16,COLUMNS($A:AL)+6,0))</f>
        <v/>
      </c>
      <c r="AS62" s="42" t="str">
        <f>IF(VLOOKUP($A62,Data_Template!$A$6:$BA$16,COLUMNS($A:AM)+6,0)=0,"",VLOOKUP($A62,Data_Template!$A$6:$BA$16,COLUMNS($A:AM)+6,0))</f>
        <v/>
      </c>
      <c r="AT62" s="42"/>
      <c r="AU62" s="42" t="str">
        <f>IF(VLOOKUP($A62,Data_Template!$A$6:$BA$16,COLUMNS($A:AO)+6,0)=0,"",VLOOKUP($A62,Data_Template!$A$6:$BA$16,COLUMNS($A:AO)+6,0))</f>
        <v/>
      </c>
      <c r="AV62" s="42"/>
      <c r="AW62" s="42" t="str">
        <f>IF(VLOOKUP($A62,Data_Template!$A$6:$BA$16,COLUMNS($A:AQ)+6,0)=0,"",VLOOKUP($A62,Data_Template!$A$6:$BA$16,COLUMNS($A:AQ)+6,0))</f>
        <v/>
      </c>
      <c r="AX62" s="42" t="str">
        <f>IF(VLOOKUP($A62,Data_Template!$A$6:$BA$16,COLUMNS($A:AR)+6,0)=0,"",VLOOKUP($A62,Data_Template!$A$6:$BA$16,COLUMNS($A:AR)+6,0))</f>
        <v/>
      </c>
      <c r="AY62" s="42" t="str">
        <f>IF(VLOOKUP($A62,Data_Template!$A$6:$BA$16,COLUMNS($A:AS)+6,0)=0,"",VLOOKUP($A62,Data_Template!$A$6:$BA$16,COLUMNS($A:AS)+6,0))</f>
        <v/>
      </c>
      <c r="AZ62" s="42" t="str">
        <f>IF(VLOOKUP($A62,Data_Template!$A$6:$BA$16,COLUMNS($A:AT)+6,0)=0,"",VLOOKUP($A62,Data_Template!$A$6:$BA$16,COLUMNS($A:AT)+6,0))</f>
        <v/>
      </c>
      <c r="BA62" s="42"/>
      <c r="BB62" s="50"/>
      <c r="BC62" s="42"/>
      <c r="BD62" s="42"/>
      <c r="BE62" s="42"/>
      <c r="BF62" s="42"/>
      <c r="BG62" s="42"/>
      <c r="BH62" s="42"/>
      <c r="BI62" s="42"/>
      <c r="BJ62" s="42"/>
      <c r="BL62" s="42"/>
      <c r="BM62" s="42"/>
      <c r="BN62" s="42"/>
      <c r="BO62" s="42"/>
      <c r="BP62" s="42"/>
      <c r="BQ62" s="42"/>
      <c r="BR62" s="42"/>
      <c r="BS62" s="42"/>
      <c r="BT62" s="42"/>
      <c r="BU62" s="42"/>
      <c r="BV62" s="42"/>
      <c r="BW62" s="42"/>
      <c r="BX62" s="42"/>
    </row>
    <row r="63" spans="1:76" s="51" customFormat="1" ht="14.25" x14ac:dyDescent="0.2">
      <c r="A63" s="246" t="str">
        <f>Classes!J15</f>
        <v>IFMA_C_31010008</v>
      </c>
      <c r="B63" s="246" t="str">
        <f>Classes!P15</f>
        <v>Nutzungseinheit</v>
      </c>
      <c r="C63" s="37"/>
      <c r="D63" s="42" t="s">
        <v>884</v>
      </c>
      <c r="E63" s="41"/>
      <c r="G63" s="42" t="str">
        <f>IF(VLOOKUP($A63,Data_Template!$A$6:$BA$16,COLUMNS($A:A)+6,0)=0,"",VLOOKUP($A63,Data_Template!$A$6:$BA$16,COLUMNS($A:A)+6,0))</f>
        <v>x</v>
      </c>
      <c r="H63" s="42"/>
      <c r="I63" s="42" t="str">
        <f>IF(VLOOKUP($A63,Data_Template!$A$6:$BA$16,COLUMNS($A:C)+6,0)=0,"",VLOOKUP($A63,Data_Template!$A$6:$BA$16,COLUMNS($A:C)+6,0))</f>
        <v/>
      </c>
      <c r="J63" s="42" t="str">
        <f>IF(VLOOKUP($A63,Data_Template!$A$6:$BA$16,COLUMNS($A:D)+6,0)=0,"",VLOOKUP($A63,Data_Template!$A$6:$BA$16,COLUMNS($A:D)+6,0))</f>
        <v/>
      </c>
      <c r="K63" s="42" t="str">
        <f>IF(VLOOKUP($A63,Data_Template!$A$6:$BA$16,COLUMNS($A:E)+6,0)=0,"",VLOOKUP($A63,Data_Template!$A$6:$BA$16,COLUMNS($A:E)+6,0))</f>
        <v/>
      </c>
      <c r="L63" s="42" t="str">
        <f>IF(VLOOKUP($A63,Data_Template!$A$6:$BA$16,COLUMNS($A:F)+6,0)=0,"",VLOOKUP($A63,Data_Template!$A$6:$BA$16,COLUMNS($A:F)+6,0))</f>
        <v/>
      </c>
      <c r="M63" s="42"/>
      <c r="N63" s="42" t="str">
        <f>IF(VLOOKUP($A63,Data_Template!$A$6:$BA$16,COLUMNS($A:H)+6,0)=0,"",VLOOKUP($A63,Data_Template!$A$6:$BA$16,COLUMNS($A:H)+6,0))</f>
        <v/>
      </c>
      <c r="O63" s="42"/>
      <c r="P63" s="42"/>
      <c r="Q63" s="42"/>
      <c r="R63" s="42" t="str">
        <f>IF(VLOOKUP($A63,Data_Template!$A$6:$BA$16,COLUMNS($A:L)+6,0)=0,"",VLOOKUP($A63,Data_Template!$A$6:$BA$16,COLUMNS($A:L)+6,0))</f>
        <v/>
      </c>
      <c r="S63" s="42" t="str">
        <f>IF(VLOOKUP($A63,Data_Template!$A$6:$BA$16,COLUMNS($A:M)+6,0)=0,"",VLOOKUP($A63,Data_Template!$A$6:$BA$16,COLUMNS($A:M)+6,0))</f>
        <v/>
      </c>
      <c r="T63" s="42" t="str">
        <f>IF(VLOOKUP($A63,Data_Template!$A$6:$BA$16,COLUMNS($A:N)+6,0)=0,"",VLOOKUP($A63,Data_Template!$A$6:$BA$16,COLUMNS($A:N)+6,0))</f>
        <v/>
      </c>
      <c r="U63" s="42" t="str">
        <f>IF(VLOOKUP($A63,Data_Template!$A$6:$BA$16,COLUMNS($A:O)+6,0)=0,"",VLOOKUP($A63,Data_Template!$A$6:$BA$16,COLUMNS($A:O)+6,0))</f>
        <v/>
      </c>
      <c r="V63" s="42" t="str">
        <f>IF(VLOOKUP($A63,Data_Template!$A$6:$BA$16,COLUMNS($A:P)+6,0)=0,"",VLOOKUP($A63,Data_Template!$A$6:$BA$16,COLUMNS($A:P)+6,0))</f>
        <v/>
      </c>
      <c r="W63" s="42" t="str">
        <f>IF(VLOOKUP($A63,Data_Template!$A$6:$BA$16,COLUMNS($A:Q)+6,0)=0,"",VLOOKUP($A63,Data_Template!$A$6:$BA$16,COLUMNS($A:Q)+6,0))</f>
        <v/>
      </c>
      <c r="X63" s="42" t="str">
        <f>IF(VLOOKUP($A63,Data_Template!$A$6:$BA$16,COLUMNS($A:R)+6,0)=0,"",VLOOKUP($A63,Data_Template!$A$6:$BA$16,COLUMNS($A:R)+6,0))</f>
        <v/>
      </c>
      <c r="Y63" s="42"/>
      <c r="Z63" s="42" t="str">
        <f>IF(VLOOKUP($A63,Data_Template!$A$6:$BA$16,COLUMNS($A:T)+6,0)=0,"",VLOOKUP($A63,Data_Template!$A$6:$BA$16,COLUMNS($A:T)+6,0))</f>
        <v/>
      </c>
      <c r="AA63" s="42" t="str">
        <f>IF(VLOOKUP($A63,Data_Template!$A$6:$BA$16,COLUMNS($A:U)+6,0)=0,"",VLOOKUP($A63,Data_Template!$A$6:$BA$16,COLUMNS($A:U)+6,0))</f>
        <v/>
      </c>
      <c r="AB63" s="42" t="str">
        <f>IF(VLOOKUP($A63,Data_Template!$A$6:$BA$16,COLUMNS($A:V)+6,0)=0,"",VLOOKUP($A63,Data_Template!$A$6:$BA$16,COLUMNS($A:V)+6,0))</f>
        <v/>
      </c>
      <c r="AC63" s="42"/>
      <c r="AD63" s="42" t="str">
        <f>IF(VLOOKUP($A63,Data_Template!$A$6:$BA$16,COLUMNS($A:X)+6,0)=0,"",VLOOKUP($A63,Data_Template!$A$6:$BA$16,COLUMNS($A:X)+6,0))</f>
        <v/>
      </c>
      <c r="AE63" s="42" t="str">
        <f>IF(VLOOKUP($A63,Data_Template!$A$6:$BA$16,COLUMNS($A:Y)+6,0)=0,"",VLOOKUP($A63,Data_Template!$A$6:$BA$16,COLUMNS($A:Y)+6,0))</f>
        <v/>
      </c>
      <c r="AF63" s="42" t="str">
        <f>IF(VLOOKUP($A63,Data_Template!$A$6:$BA$16,COLUMNS($A:Z)+6,0)=0,"",VLOOKUP($A63,Data_Template!$A$6:$BA$16,COLUMNS($A:Z)+6,0))</f>
        <v/>
      </c>
      <c r="AG63" s="42"/>
      <c r="AH63" s="42"/>
      <c r="AI63" s="42" t="str">
        <f>IF(VLOOKUP($A63,Data_Template!$A$6:$BA$16,COLUMNS($A:AC)+6,0)=0,"",VLOOKUP($A63,Data_Template!$A$6:$BA$16,COLUMNS($A:AC)+6,0))</f>
        <v/>
      </c>
      <c r="AJ63" s="42" t="str">
        <f>IF(VLOOKUP($A63,Data_Template!$A$6:$BA$16,COLUMNS($A:AD)+6,0)=0,"",VLOOKUP($A63,Data_Template!$A$6:$BA$16,COLUMNS($A:AD)+6,0))</f>
        <v/>
      </c>
      <c r="AK63" s="42" t="str">
        <f>IF(VLOOKUP($A63,Data_Template!$A$6:$BA$16,COLUMNS($A:AE)+6,0)=0,"",VLOOKUP($A63,Data_Template!$A$6:$BA$16,COLUMNS($A:AE)+6,0))</f>
        <v/>
      </c>
      <c r="AL63" s="42" t="str">
        <f>IF(VLOOKUP($A63,Data_Template!$A$6:$BA$16,COLUMNS($A:AF)+6,0)=0,"",VLOOKUP($A63,Data_Template!$A$6:$BA$16,COLUMNS($A:AF)+6,0))</f>
        <v/>
      </c>
      <c r="AM63" s="42" t="str">
        <f>IF(VLOOKUP($A63,Data_Template!$A$6:$BA$16,COLUMNS($A:AG)+6,0)=0,"",VLOOKUP($A63,Data_Template!$A$6:$BA$16,COLUMNS($A:AG)+6,0))</f>
        <v/>
      </c>
      <c r="AN63" s="42" t="str">
        <f>IF(VLOOKUP($A63,Data_Template!$A$6:$BA$16,COLUMNS($A:AH)+6,0)=0,"",VLOOKUP($A63,Data_Template!$A$6:$BA$16,COLUMNS($A:AH)+6,0))</f>
        <v/>
      </c>
      <c r="AO63" s="42" t="str">
        <f>IF(VLOOKUP($A63,Data_Template!$A$6:$BA$16,COLUMNS($A:AI)+6,0)=0,"",VLOOKUP($A63,Data_Template!$A$6:$BA$16,COLUMNS($A:AI)+6,0))</f>
        <v/>
      </c>
      <c r="AP63" s="42" t="str">
        <f>IF(VLOOKUP($A63,Data_Template!$A$6:$BA$16,COLUMNS($A:AJ)+6,0)=0,"",VLOOKUP($A63,Data_Template!$A$6:$BA$16,COLUMNS($A:AJ)+6,0))</f>
        <v/>
      </c>
      <c r="AQ63" s="42" t="str">
        <f>IF(VLOOKUP($A63,Data_Template!$A$6:$BA$16,COLUMNS($A:AK)+6,0)=0,"",VLOOKUP($A63,Data_Template!$A$6:$BA$16,COLUMNS($A:AK)+6,0))</f>
        <v/>
      </c>
      <c r="AR63" s="42" t="str">
        <f>IF(VLOOKUP($A63,Data_Template!$A$6:$BA$16,COLUMNS($A:AL)+6,0)=0,"",VLOOKUP($A63,Data_Template!$A$6:$BA$16,COLUMNS($A:AL)+6,0))</f>
        <v/>
      </c>
      <c r="AS63" s="42" t="str">
        <f>IF(VLOOKUP($A63,Data_Template!$A$6:$BA$16,COLUMNS($A:AM)+6,0)=0,"",VLOOKUP($A63,Data_Template!$A$6:$BA$16,COLUMNS($A:AM)+6,0))</f>
        <v/>
      </c>
      <c r="AT63" s="42" t="str">
        <f>IF(VLOOKUP($A63,Data_Template!$A$6:$BA$16,COLUMNS($A:AN)+6,0)=0,"",VLOOKUP($A63,Data_Template!$A$6:$BA$16,COLUMNS($A:AN)+6,0))</f>
        <v/>
      </c>
      <c r="AU63" s="42" t="str">
        <f>IF(VLOOKUP($A63,Data_Template!$A$6:$BA$16,COLUMNS($A:AO)+6,0)=0,"",VLOOKUP($A63,Data_Template!$A$6:$BA$16,COLUMNS($A:AO)+6,0))</f>
        <v/>
      </c>
      <c r="AV63" s="42" t="str">
        <f>IF(VLOOKUP($A63,Data_Template!$A$6:$BA$16,COLUMNS($A:AP)+6,0)=0,"",VLOOKUP($A63,Data_Template!$A$6:$BA$16,COLUMNS($A:AP)+6,0))</f>
        <v/>
      </c>
      <c r="AW63" s="42" t="str">
        <f>IF(VLOOKUP($A63,Data_Template!$A$6:$BA$16,COLUMNS($A:AQ)+6,0)=0,"",VLOOKUP($A63,Data_Template!$A$6:$BA$16,COLUMNS($A:AQ)+6,0))</f>
        <v/>
      </c>
      <c r="AX63" s="42" t="str">
        <f>IF(VLOOKUP($A63,Data_Template!$A$6:$BA$16,COLUMNS($A:AR)+6,0)=0,"",VLOOKUP($A63,Data_Template!$A$6:$BA$16,COLUMNS($A:AR)+6,0))</f>
        <v/>
      </c>
      <c r="AY63" s="42" t="str">
        <f>IF(VLOOKUP($A63,Data_Template!$A$6:$BA$16,COLUMNS($A:AS)+6,0)=0,"",VLOOKUP($A63,Data_Template!$A$6:$BA$16,COLUMNS($A:AS)+6,0))</f>
        <v/>
      </c>
      <c r="AZ63" s="42" t="str">
        <f>IF(VLOOKUP($A63,Data_Template!$A$6:$BA$16,COLUMNS($A:AT)+6,0)=0,"",VLOOKUP($A63,Data_Template!$A$6:$BA$16,COLUMNS($A:AT)+6,0))</f>
        <v/>
      </c>
      <c r="BA63" s="42"/>
      <c r="BB63" s="50"/>
      <c r="BC63" s="42"/>
      <c r="BD63" s="42"/>
      <c r="BE63" s="42"/>
      <c r="BF63" s="42"/>
      <c r="BG63" s="42"/>
      <c r="BH63" s="42"/>
      <c r="BI63" s="42"/>
      <c r="BJ63" s="42"/>
      <c r="BL63" s="42"/>
      <c r="BM63" s="42"/>
      <c r="BN63" s="42"/>
      <c r="BO63" s="42"/>
      <c r="BP63" s="42"/>
      <c r="BQ63" s="42"/>
      <c r="BR63" s="42"/>
      <c r="BS63" s="42"/>
      <c r="BT63" s="42"/>
      <c r="BU63" s="42"/>
      <c r="BV63" s="42"/>
      <c r="BW63" s="42"/>
      <c r="BX63" s="42"/>
    </row>
    <row r="64" spans="1:76" s="51" customFormat="1" ht="14.25" x14ac:dyDescent="0.2">
      <c r="A64" s="246" t="str">
        <f>Classes!J16</f>
        <v>IFMA_C_31010009</v>
      </c>
      <c r="B64" s="246" t="str">
        <f>Classes!P16</f>
        <v>Grundstück</v>
      </c>
      <c r="C64" s="37"/>
      <c r="D64" s="42" t="s">
        <v>884</v>
      </c>
      <c r="E64" s="41"/>
      <c r="G64" s="42"/>
      <c r="H64" s="42" t="str">
        <f>IF(VLOOKUP($A64,Data_Template!$A$6:$BA$16,COLUMNS($A:B)+6,0)=0,"",VLOOKUP($A64,Data_Template!$A$6:$BA$16,COLUMNS($A:B)+6,0))</f>
        <v>x</v>
      </c>
      <c r="I64" s="42" t="str">
        <f>IF(VLOOKUP($A64,Data_Template!$A$6:$BA$16,COLUMNS($A:C)+6,0)=0,"",VLOOKUP($A64,Data_Template!$A$6:$BA$16,COLUMNS($A:C)+6,0))</f>
        <v/>
      </c>
      <c r="J64" s="42" t="str">
        <f>IF(VLOOKUP($A64,Data_Template!$A$6:$BA$16,COLUMNS($A:D)+6,0)=0,"",VLOOKUP($A64,Data_Template!$A$6:$BA$16,COLUMNS($A:D)+6,0))</f>
        <v/>
      </c>
      <c r="K64" s="42" t="str">
        <f>IF(VLOOKUP($A64,Data_Template!$A$6:$BA$16,COLUMNS($A:E)+6,0)=0,"",VLOOKUP($A64,Data_Template!$A$6:$BA$16,COLUMNS($A:E)+6,0))</f>
        <v/>
      </c>
      <c r="L64" s="42" t="str">
        <f>IF(VLOOKUP($A64,Data_Template!$A$6:$BA$16,COLUMNS($A:F)+6,0)=0,"",VLOOKUP($A64,Data_Template!$A$6:$BA$16,COLUMNS($A:F)+6,0))</f>
        <v/>
      </c>
      <c r="M64" s="42" t="str">
        <f>IF(VLOOKUP($A64,Data_Template!$A$6:$BA$16,COLUMNS($A:G)+6,0)=0,"",VLOOKUP($A64,Data_Template!$A$6:$BA$16,COLUMNS($A:G)+6,0))</f>
        <v/>
      </c>
      <c r="N64" s="42" t="str">
        <f>IF(VLOOKUP($A64,Data_Template!$A$6:$BA$16,COLUMNS($A:H)+6,0)=0,"",VLOOKUP($A64,Data_Template!$A$6:$BA$16,COLUMNS($A:H)+6,0))</f>
        <v/>
      </c>
      <c r="O64" s="42" t="str">
        <f>IF(VLOOKUP($A64,Data_Template!$A$6:$BA$16,COLUMNS($A:I)+6,0)=0,"",VLOOKUP($A64,Data_Template!$A$6:$BA$16,COLUMNS($A:I)+6,0))</f>
        <v/>
      </c>
      <c r="P64" s="42" t="str">
        <f>IF(VLOOKUP($A64,Data_Template!$A$6:$BA$16,COLUMNS($A:J)+6,0)=0,"",VLOOKUP($A64,Data_Template!$A$6:$BA$16,COLUMNS($A:J)+6,0))</f>
        <v/>
      </c>
      <c r="Q64" s="42"/>
      <c r="R64" s="42" t="str">
        <f>IF(VLOOKUP($A64,Data_Template!$A$6:$BA$16,COLUMNS($A:L)+6,0)=0,"",VLOOKUP($A64,Data_Template!$A$6:$BA$16,COLUMNS($A:L)+6,0))</f>
        <v/>
      </c>
      <c r="S64" s="42" t="str">
        <f>IF(VLOOKUP($A64,Data_Template!$A$6:$BA$16,COLUMNS($A:M)+6,0)=0,"",VLOOKUP($A64,Data_Template!$A$6:$BA$16,COLUMNS($A:M)+6,0))</f>
        <v/>
      </c>
      <c r="T64" s="42" t="str">
        <f>IF(VLOOKUP($A64,Data_Template!$A$6:$BA$16,COLUMNS($A:N)+6,0)=0,"",VLOOKUP($A64,Data_Template!$A$6:$BA$16,COLUMNS($A:N)+6,0))</f>
        <v/>
      </c>
      <c r="U64" s="42" t="str">
        <f>IF(VLOOKUP($A64,Data_Template!$A$6:$BA$16,COLUMNS($A:O)+6,0)=0,"",VLOOKUP($A64,Data_Template!$A$6:$BA$16,COLUMNS($A:O)+6,0))</f>
        <v/>
      </c>
      <c r="V64" s="42" t="str">
        <f>IF(VLOOKUP($A64,Data_Template!$A$6:$BA$16,COLUMNS($A:P)+6,0)=0,"",VLOOKUP($A64,Data_Template!$A$6:$BA$16,COLUMNS($A:P)+6,0))</f>
        <v/>
      </c>
      <c r="W64" s="42" t="str">
        <f>IF(VLOOKUP($A64,Data_Template!$A$6:$BA$16,COLUMNS($A:Q)+6,0)=0,"",VLOOKUP($A64,Data_Template!$A$6:$BA$16,COLUMNS($A:Q)+6,0))</f>
        <v/>
      </c>
      <c r="X64" s="42" t="str">
        <f>IF(VLOOKUP($A64,Data_Template!$A$6:$BA$16,COLUMNS($A:R)+6,0)=0,"",VLOOKUP($A64,Data_Template!$A$6:$BA$16,COLUMNS($A:R)+6,0))</f>
        <v/>
      </c>
      <c r="Y64" s="42" t="str">
        <f>IF(VLOOKUP($A64,Data_Template!$A$6:$BA$16,COLUMNS($A:S)+6,0)=0,"",VLOOKUP($A64,Data_Template!$A$6:$BA$16,COLUMNS($A:S)+6,0))</f>
        <v/>
      </c>
      <c r="Z64" s="42" t="str">
        <f>IF(VLOOKUP($A64,Data_Template!$A$6:$BA$16,COLUMNS($A:T)+6,0)=0,"",VLOOKUP($A64,Data_Template!$A$6:$BA$16,COLUMNS($A:T)+6,0))</f>
        <v/>
      </c>
      <c r="AA64" s="42" t="str">
        <f>IF(VLOOKUP($A64,Data_Template!$A$6:$BA$16,COLUMNS($A:U)+6,0)=0,"",VLOOKUP($A64,Data_Template!$A$6:$BA$16,COLUMNS($A:U)+6,0))</f>
        <v/>
      </c>
      <c r="AB64" s="42" t="str">
        <f>IF(VLOOKUP($A64,Data_Template!$A$6:$BA$16,COLUMNS($A:V)+6,0)=0,"",VLOOKUP($A64,Data_Template!$A$6:$BA$16,COLUMNS($A:V)+6,0))</f>
        <v/>
      </c>
      <c r="AC64" s="42" t="str">
        <f>IF(VLOOKUP($A64,Data_Template!$A$6:$BA$16,COLUMNS($A:W)+6,0)=0,"",VLOOKUP($A64,Data_Template!$A$6:$BA$16,COLUMNS($A:W)+6,0))</f>
        <v/>
      </c>
      <c r="AD64" s="42" t="str">
        <f>IF(VLOOKUP($A64,Data_Template!$A$6:$BA$16,COLUMNS($A:X)+6,0)=0,"",VLOOKUP($A64,Data_Template!$A$6:$BA$16,COLUMNS($A:X)+6,0))</f>
        <v/>
      </c>
      <c r="AE64" s="42" t="str">
        <f>IF(VLOOKUP($A64,Data_Template!$A$6:$BA$16,COLUMNS($A:Y)+6,0)=0,"",VLOOKUP($A64,Data_Template!$A$6:$BA$16,COLUMNS($A:Y)+6,0))</f>
        <v/>
      </c>
      <c r="AF64" s="42" t="str">
        <f>IF(VLOOKUP($A64,Data_Template!$A$6:$BA$16,COLUMNS($A:Z)+6,0)=0,"",VLOOKUP($A64,Data_Template!$A$6:$BA$16,COLUMNS($A:Z)+6,0))</f>
        <v/>
      </c>
      <c r="AG64" s="42" t="str">
        <f>IF(VLOOKUP($A64,Data_Template!$A$6:$BA$16,COLUMNS($A:AA)+6,0)=0,"",VLOOKUP($A64,Data_Template!$A$6:$BA$16,COLUMNS($A:AA)+6,0))</f>
        <v/>
      </c>
      <c r="AH64" s="42" t="str">
        <f>IF(VLOOKUP($A64,Data_Template!$A$6:$BA$16,COLUMNS($A:AB)+6,0)=0,"",VLOOKUP($A64,Data_Template!$A$6:$BA$16,COLUMNS($A:AB)+6,0))</f>
        <v/>
      </c>
      <c r="AI64" s="42" t="str">
        <f>IF(VLOOKUP($A64,Data_Template!$A$6:$BA$16,COLUMNS($A:AC)+6,0)=0,"",VLOOKUP($A64,Data_Template!$A$6:$BA$16,COLUMNS($A:AC)+6,0))</f>
        <v/>
      </c>
      <c r="AJ64" s="42" t="str">
        <f>IF(VLOOKUP($A64,Data_Template!$A$6:$BA$16,COLUMNS($A:AD)+6,0)=0,"",VLOOKUP($A64,Data_Template!$A$6:$BA$16,COLUMNS($A:AD)+6,0))</f>
        <v/>
      </c>
      <c r="AK64" s="42" t="str">
        <f>IF(VLOOKUP($A64,Data_Template!$A$6:$BA$16,COLUMNS($A:AE)+6,0)=0,"",VLOOKUP($A64,Data_Template!$A$6:$BA$16,COLUMNS($A:AE)+6,0))</f>
        <v/>
      </c>
      <c r="AL64" s="42" t="str">
        <f>IF(VLOOKUP($A64,Data_Template!$A$6:$BA$16,COLUMNS($A:AF)+6,0)=0,"",VLOOKUP($A64,Data_Template!$A$6:$BA$16,COLUMNS($A:AF)+6,0))</f>
        <v/>
      </c>
      <c r="AM64" s="42" t="str">
        <f>IF(VLOOKUP($A64,Data_Template!$A$6:$BA$16,COLUMNS($A:AG)+6,0)=0,"",VLOOKUP($A64,Data_Template!$A$6:$BA$16,COLUMNS($A:AG)+6,0))</f>
        <v/>
      </c>
      <c r="AN64" s="42" t="str">
        <f>IF(VLOOKUP($A64,Data_Template!$A$6:$BA$16,COLUMNS($A:AH)+6,0)=0,"",VLOOKUP($A64,Data_Template!$A$6:$BA$16,COLUMNS($A:AH)+6,0))</f>
        <v/>
      </c>
      <c r="AO64" s="42" t="str">
        <f>IF(VLOOKUP($A64,Data_Template!$A$6:$BA$16,COLUMNS($A:AI)+6,0)=0,"",VLOOKUP($A64,Data_Template!$A$6:$BA$16,COLUMNS($A:AI)+6,0))</f>
        <v/>
      </c>
      <c r="AP64" s="42" t="str">
        <f>IF(VLOOKUP($A64,Data_Template!$A$6:$BA$16,COLUMNS($A:AJ)+6,0)=0,"",VLOOKUP($A64,Data_Template!$A$6:$BA$16,COLUMNS($A:AJ)+6,0))</f>
        <v/>
      </c>
      <c r="AQ64" s="42" t="str">
        <f>IF(VLOOKUP($A64,Data_Template!$A$6:$BA$16,COLUMNS($A:AK)+6,0)=0,"",VLOOKUP($A64,Data_Template!$A$6:$BA$16,COLUMNS($A:AK)+6,0))</f>
        <v/>
      </c>
      <c r="AR64" s="42" t="str">
        <f>IF(VLOOKUP($A64,Data_Template!$A$6:$BA$16,COLUMNS($A:AL)+6,0)=0,"",VLOOKUP($A64,Data_Template!$A$6:$BA$16,COLUMNS($A:AL)+6,0))</f>
        <v/>
      </c>
      <c r="AS64" s="42" t="str">
        <f>IF(VLOOKUP($A64,Data_Template!$A$6:$BA$16,COLUMNS($A:AM)+6,0)=0,"",VLOOKUP($A64,Data_Template!$A$6:$BA$16,COLUMNS($A:AM)+6,0))</f>
        <v/>
      </c>
      <c r="AT64" s="42" t="str">
        <f>IF(VLOOKUP($A64,Data_Template!$A$6:$BA$16,COLUMNS($A:AN)+6,0)=0,"",VLOOKUP($A64,Data_Template!$A$6:$BA$16,COLUMNS($A:AN)+6,0))</f>
        <v/>
      </c>
      <c r="AU64" s="42" t="str">
        <f>IF(VLOOKUP($A64,Data_Template!$A$6:$BA$16,COLUMNS($A:AO)+6,0)=0,"",VLOOKUP($A64,Data_Template!$A$6:$BA$16,COLUMNS($A:AO)+6,0))</f>
        <v/>
      </c>
      <c r="AV64" s="42" t="str">
        <f>IF(VLOOKUP($A64,Data_Template!$A$6:$BA$16,COLUMNS($A:AP)+6,0)=0,"",VLOOKUP($A64,Data_Template!$A$6:$BA$16,COLUMNS($A:AP)+6,0))</f>
        <v/>
      </c>
      <c r="AW64" s="42" t="str">
        <f>IF(VLOOKUP($A64,Data_Template!$A$6:$BA$16,COLUMNS($A:AQ)+6,0)=0,"",VLOOKUP($A64,Data_Template!$A$6:$BA$16,COLUMNS($A:AQ)+6,0))</f>
        <v/>
      </c>
      <c r="AX64" s="42" t="str">
        <f>IF(VLOOKUP($A64,Data_Template!$A$6:$BA$16,COLUMNS($A:AR)+6,0)=0,"",VLOOKUP($A64,Data_Template!$A$6:$BA$16,COLUMNS($A:AR)+6,0))</f>
        <v/>
      </c>
      <c r="AY64" s="42" t="str">
        <f>IF(VLOOKUP($A64,Data_Template!$A$6:$BA$16,COLUMNS($A:AS)+6,0)=0,"",VLOOKUP($A64,Data_Template!$A$6:$BA$16,COLUMNS($A:AS)+6,0))</f>
        <v/>
      </c>
      <c r="AZ64" s="42" t="str">
        <f>IF(VLOOKUP($A64,Data_Template!$A$6:$BA$16,COLUMNS($A:AT)+6,0)=0,"",VLOOKUP($A64,Data_Template!$A$6:$BA$16,COLUMNS($A:AT)+6,0))</f>
        <v/>
      </c>
      <c r="BA64" s="42" t="str">
        <f>IF(VLOOKUP($A64,Data_Template!$A$6:$BA$16,COLUMNS($A:AU)+6,0)=0,"",VLOOKUP($A64,Data_Template!$A$6:$BA$16,COLUMNS($A:AU)+6,0))</f>
        <v/>
      </c>
      <c r="BB64" s="50"/>
      <c r="BC64" s="42"/>
      <c r="BD64" s="42"/>
      <c r="BE64" s="42"/>
      <c r="BF64" s="42"/>
      <c r="BG64" s="42"/>
      <c r="BH64" s="42"/>
      <c r="BI64" s="42"/>
      <c r="BJ64" s="42"/>
      <c r="BL64" s="42"/>
      <c r="BM64" s="42"/>
      <c r="BN64" s="42"/>
      <c r="BO64" s="42"/>
      <c r="BP64" s="42"/>
      <c r="BQ64" s="42"/>
      <c r="BR64" s="42"/>
      <c r="BS64" s="42"/>
      <c r="BT64" s="42"/>
      <c r="BU64" s="42"/>
      <c r="BV64" s="42"/>
      <c r="BW64" s="42"/>
      <c r="BX64" s="42"/>
    </row>
    <row r="65" spans="1:76" s="51" customFormat="1" ht="14.25" x14ac:dyDescent="0.2">
      <c r="A65" s="246" t="str">
        <f>Classes!J17</f>
        <v>IFMA_C_31010010</v>
      </c>
      <c r="B65" s="246" t="str">
        <f>Classes!P17</f>
        <v>Gebäude</v>
      </c>
      <c r="C65" s="37"/>
      <c r="D65" s="42" t="s">
        <v>884</v>
      </c>
      <c r="E65" s="41"/>
      <c r="G65" s="42"/>
      <c r="H65" s="42" t="str">
        <f>IF(VLOOKUP($A65,Data_Template!$A$6:$BA$16,COLUMNS($A:B)+6,0)=0,"",VLOOKUP($A65,Data_Template!$A$6:$BA$16,COLUMNS($A:B)+6,0))</f>
        <v>x</v>
      </c>
      <c r="I65" s="42" t="str">
        <f>IF(VLOOKUP($A65,Data_Template!$A$6:$BA$16,COLUMNS($A:C)+6,0)=0,"",VLOOKUP($A65,Data_Template!$A$6:$BA$16,COLUMNS($A:C)+6,0))</f>
        <v/>
      </c>
      <c r="J65" s="42" t="str">
        <f>IF(VLOOKUP($A65,Data_Template!$A$6:$BA$16,COLUMNS($A:D)+6,0)=0,"",VLOOKUP($A65,Data_Template!$A$6:$BA$16,COLUMNS($A:D)+6,0))</f>
        <v/>
      </c>
      <c r="K65" s="42" t="str">
        <f>IF(VLOOKUP($A65,Data_Template!$A$6:$BA$16,COLUMNS($A:E)+6,0)=0,"",VLOOKUP($A65,Data_Template!$A$6:$BA$16,COLUMNS($A:E)+6,0))</f>
        <v/>
      </c>
      <c r="L65" s="42" t="str">
        <f>IF(VLOOKUP($A65,Data_Template!$A$6:$BA$16,COLUMNS($A:F)+6,0)=0,"",VLOOKUP($A65,Data_Template!$A$6:$BA$16,COLUMNS($A:F)+6,0))</f>
        <v/>
      </c>
      <c r="M65" s="42" t="str">
        <f>IF(VLOOKUP($A65,Data_Template!$A$6:$BA$16,COLUMNS($A:G)+6,0)=0,"",VLOOKUP($A65,Data_Template!$A$6:$BA$16,COLUMNS($A:G)+6,0))</f>
        <v/>
      </c>
      <c r="N65" s="42" t="str">
        <f>IF(VLOOKUP($A65,Data_Template!$A$6:$BA$16,COLUMNS($A:H)+6,0)=0,"",VLOOKUP($A65,Data_Template!$A$6:$BA$16,COLUMNS($A:H)+6,0))</f>
        <v/>
      </c>
      <c r="O65" s="42" t="str">
        <f>IF(VLOOKUP($A65,Data_Template!$A$6:$BA$16,COLUMNS($A:I)+6,0)=0,"",VLOOKUP($A65,Data_Template!$A$6:$BA$16,COLUMNS($A:I)+6,0))</f>
        <v/>
      </c>
      <c r="P65" s="42" t="str">
        <f>IF(VLOOKUP($A65,Data_Template!$A$6:$BA$16,COLUMNS($A:J)+6,0)=0,"",VLOOKUP($A65,Data_Template!$A$6:$BA$16,COLUMNS($A:J)+6,0))</f>
        <v/>
      </c>
      <c r="Q65" s="42"/>
      <c r="R65" s="42" t="str">
        <f>IF(VLOOKUP($A65,Data_Template!$A$6:$BA$16,COLUMNS($A:L)+6,0)=0,"",VLOOKUP($A65,Data_Template!$A$6:$BA$16,COLUMNS($A:L)+6,0))</f>
        <v/>
      </c>
      <c r="S65" s="42" t="str">
        <f>IF(VLOOKUP($A65,Data_Template!$A$6:$BA$16,COLUMNS($A:M)+6,0)=0,"",VLOOKUP($A65,Data_Template!$A$6:$BA$16,COLUMNS($A:M)+6,0))</f>
        <v/>
      </c>
      <c r="T65" s="42" t="str">
        <f>IF(VLOOKUP($A65,Data_Template!$A$6:$BA$16,COLUMNS($A:N)+6,0)=0,"",VLOOKUP($A65,Data_Template!$A$6:$BA$16,COLUMNS($A:N)+6,0))</f>
        <v/>
      </c>
      <c r="U65" s="42" t="str">
        <f>IF(VLOOKUP($A65,Data_Template!$A$6:$BA$16,COLUMNS($A:O)+6,0)=0,"",VLOOKUP($A65,Data_Template!$A$6:$BA$16,COLUMNS($A:O)+6,0))</f>
        <v/>
      </c>
      <c r="V65" s="42" t="str">
        <f>IF(VLOOKUP($A65,Data_Template!$A$6:$BA$16,COLUMNS($A:P)+6,0)=0,"",VLOOKUP($A65,Data_Template!$A$6:$BA$16,COLUMNS($A:P)+6,0))</f>
        <v/>
      </c>
      <c r="W65" s="42" t="str">
        <f>IF(VLOOKUP($A65,Data_Template!$A$6:$BA$16,COLUMNS($A:Q)+6,0)=0,"",VLOOKUP($A65,Data_Template!$A$6:$BA$16,COLUMNS($A:Q)+6,0))</f>
        <v/>
      </c>
      <c r="X65" s="42" t="str">
        <f>IF(VLOOKUP($A65,Data_Template!$A$6:$BA$16,COLUMNS($A:R)+6,0)=0,"",VLOOKUP($A65,Data_Template!$A$6:$BA$16,COLUMNS($A:R)+6,0))</f>
        <v/>
      </c>
      <c r="Y65" s="42" t="str">
        <f>IF(VLOOKUP($A65,Data_Template!$A$6:$BA$16,COLUMNS($A:S)+6,0)=0,"",VLOOKUP($A65,Data_Template!$A$6:$BA$16,COLUMNS($A:S)+6,0))</f>
        <v/>
      </c>
      <c r="Z65" s="42" t="str">
        <f>IF(VLOOKUP($A65,Data_Template!$A$6:$BA$16,COLUMNS($A:T)+6,0)=0,"",VLOOKUP($A65,Data_Template!$A$6:$BA$16,COLUMNS($A:T)+6,0))</f>
        <v/>
      </c>
      <c r="AA65" s="42" t="str">
        <f>IF(VLOOKUP($A65,Data_Template!$A$6:$BA$16,COLUMNS($A:U)+6,0)=0,"",VLOOKUP($A65,Data_Template!$A$6:$BA$16,COLUMNS($A:U)+6,0))</f>
        <v/>
      </c>
      <c r="AB65" s="42" t="str">
        <f>IF(VLOOKUP($A65,Data_Template!$A$6:$BA$16,COLUMNS($A:V)+6,0)=0,"",VLOOKUP($A65,Data_Template!$A$6:$BA$16,COLUMNS($A:V)+6,0))</f>
        <v/>
      </c>
      <c r="AC65" s="42" t="str">
        <f>IF(VLOOKUP($A65,Data_Template!$A$6:$BA$16,COLUMNS($A:W)+6,0)=0,"",VLOOKUP($A65,Data_Template!$A$6:$BA$16,COLUMNS($A:W)+6,0))</f>
        <v/>
      </c>
      <c r="AD65" s="42" t="str">
        <f>IF(VLOOKUP($A65,Data_Template!$A$6:$BA$16,COLUMNS($A:X)+6,0)=0,"",VLOOKUP($A65,Data_Template!$A$6:$BA$16,COLUMNS($A:X)+6,0))</f>
        <v/>
      </c>
      <c r="AE65" s="42" t="str">
        <f>IF(VLOOKUP($A65,Data_Template!$A$6:$BA$16,COLUMNS($A:Y)+6,0)=0,"",VLOOKUP($A65,Data_Template!$A$6:$BA$16,COLUMNS($A:Y)+6,0))</f>
        <v/>
      </c>
      <c r="AF65" s="42" t="str">
        <f>IF(VLOOKUP($A65,Data_Template!$A$6:$BA$16,COLUMNS($A:Z)+6,0)=0,"",VLOOKUP($A65,Data_Template!$A$6:$BA$16,COLUMNS($A:Z)+6,0))</f>
        <v/>
      </c>
      <c r="AG65" s="42" t="str">
        <f>IF(VLOOKUP($A65,Data_Template!$A$6:$BA$16,COLUMNS($A:AA)+6,0)=0,"",VLOOKUP($A65,Data_Template!$A$6:$BA$16,COLUMNS($A:AA)+6,0))</f>
        <v/>
      </c>
      <c r="AH65" s="42" t="str">
        <f>IF(VLOOKUP($A65,Data_Template!$A$6:$BA$16,COLUMNS($A:AB)+6,0)=0,"",VLOOKUP($A65,Data_Template!$A$6:$BA$16,COLUMNS($A:AB)+6,0))</f>
        <v/>
      </c>
      <c r="AI65" s="42" t="str">
        <f>IF(VLOOKUP($A65,Data_Template!$A$6:$BA$16,COLUMNS($A:AC)+6,0)=0,"",VLOOKUP($A65,Data_Template!$A$6:$BA$16,COLUMNS($A:AC)+6,0))</f>
        <v/>
      </c>
      <c r="AJ65" s="42" t="str">
        <f>IF(VLOOKUP($A65,Data_Template!$A$6:$BA$16,COLUMNS($A:AD)+6,0)=0,"",VLOOKUP($A65,Data_Template!$A$6:$BA$16,COLUMNS($A:AD)+6,0))</f>
        <v/>
      </c>
      <c r="AK65" s="42" t="str">
        <f>IF(VLOOKUP($A65,Data_Template!$A$6:$BA$16,COLUMNS($A:AE)+6,0)=0,"",VLOOKUP($A65,Data_Template!$A$6:$BA$16,COLUMNS($A:AE)+6,0))</f>
        <v/>
      </c>
      <c r="AL65" s="42" t="str">
        <f>IF(VLOOKUP($A65,Data_Template!$A$6:$BA$16,COLUMNS($A:AF)+6,0)=0,"",VLOOKUP($A65,Data_Template!$A$6:$BA$16,COLUMNS($A:AF)+6,0))</f>
        <v/>
      </c>
      <c r="AM65" s="42" t="str">
        <f>IF(VLOOKUP($A65,Data_Template!$A$6:$BA$16,COLUMNS($A:AG)+6,0)=0,"",VLOOKUP($A65,Data_Template!$A$6:$BA$16,COLUMNS($A:AG)+6,0))</f>
        <v/>
      </c>
      <c r="AN65" s="42" t="str">
        <f>IF(VLOOKUP($A65,Data_Template!$A$6:$BA$16,COLUMNS($A:AH)+6,0)=0,"",VLOOKUP($A65,Data_Template!$A$6:$BA$16,COLUMNS($A:AH)+6,0))</f>
        <v/>
      </c>
      <c r="AO65" s="42" t="str">
        <f>IF(VLOOKUP($A65,Data_Template!$A$6:$BA$16,COLUMNS($A:AI)+6,0)=0,"",VLOOKUP($A65,Data_Template!$A$6:$BA$16,COLUMNS($A:AI)+6,0))</f>
        <v/>
      </c>
      <c r="AP65" s="42" t="str">
        <f>IF(VLOOKUP($A65,Data_Template!$A$6:$BA$16,COLUMNS($A:AJ)+6,0)=0,"",VLOOKUP($A65,Data_Template!$A$6:$BA$16,COLUMNS($A:AJ)+6,0))</f>
        <v/>
      </c>
      <c r="AQ65" s="42" t="str">
        <f>IF(VLOOKUP($A65,Data_Template!$A$6:$BA$16,COLUMNS($A:AK)+6,0)=0,"",VLOOKUP($A65,Data_Template!$A$6:$BA$16,COLUMNS($A:AK)+6,0))</f>
        <v/>
      </c>
      <c r="AR65" s="42" t="str">
        <f>IF(VLOOKUP($A65,Data_Template!$A$6:$BA$16,COLUMNS($A:AL)+6,0)=0,"",VLOOKUP($A65,Data_Template!$A$6:$BA$16,COLUMNS($A:AL)+6,0))</f>
        <v/>
      </c>
      <c r="AS65" s="42" t="str">
        <f>IF(VLOOKUP($A65,Data_Template!$A$6:$BA$16,COLUMNS($A:AM)+6,0)=0,"",VLOOKUP($A65,Data_Template!$A$6:$BA$16,COLUMNS($A:AM)+6,0))</f>
        <v/>
      </c>
      <c r="AT65" s="42" t="str">
        <f>IF(VLOOKUP($A65,Data_Template!$A$6:$BA$16,COLUMNS($A:AN)+6,0)=0,"",VLOOKUP($A65,Data_Template!$A$6:$BA$16,COLUMNS($A:AN)+6,0))</f>
        <v/>
      </c>
      <c r="AU65" s="42" t="str">
        <f>IF(VLOOKUP($A65,Data_Template!$A$6:$BA$16,COLUMNS($A:AO)+6,0)=0,"",VLOOKUP($A65,Data_Template!$A$6:$BA$16,COLUMNS($A:AO)+6,0))</f>
        <v/>
      </c>
      <c r="AV65" s="42" t="str">
        <f>IF(VLOOKUP($A65,Data_Template!$A$6:$BA$16,COLUMNS($A:AP)+6,0)=0,"",VLOOKUP($A65,Data_Template!$A$6:$BA$16,COLUMNS($A:AP)+6,0))</f>
        <v/>
      </c>
      <c r="AW65" s="42" t="str">
        <f>IF(VLOOKUP($A65,Data_Template!$A$6:$BA$16,COLUMNS($A:AQ)+6,0)=0,"",VLOOKUP($A65,Data_Template!$A$6:$BA$16,COLUMNS($A:AQ)+6,0))</f>
        <v/>
      </c>
      <c r="AX65" s="42" t="str">
        <f>IF(VLOOKUP($A65,Data_Template!$A$6:$BA$16,COLUMNS($A:AR)+6,0)=0,"",VLOOKUP($A65,Data_Template!$A$6:$BA$16,COLUMNS($A:AR)+6,0))</f>
        <v/>
      </c>
      <c r="AY65" s="42" t="str">
        <f>IF(VLOOKUP($A65,Data_Template!$A$6:$BA$16,COLUMNS($A:AS)+6,0)=0,"",VLOOKUP($A65,Data_Template!$A$6:$BA$16,COLUMNS($A:AS)+6,0))</f>
        <v/>
      </c>
      <c r="AZ65" s="42" t="str">
        <f>IF(VLOOKUP($A65,Data_Template!$A$6:$BA$16,COLUMNS($A:AT)+6,0)=0,"",VLOOKUP($A65,Data_Template!$A$6:$BA$16,COLUMNS($A:AT)+6,0))</f>
        <v/>
      </c>
      <c r="BA65" s="42" t="str">
        <f>IF(VLOOKUP($A65,Data_Template!$A$6:$BA$16,COLUMNS($A:AU)+6,0)=0,"",VLOOKUP($A65,Data_Template!$A$6:$BA$16,COLUMNS($A:AU)+6,0))</f>
        <v/>
      </c>
      <c r="BB65" s="50"/>
      <c r="BC65" s="42"/>
      <c r="BD65" s="42"/>
      <c r="BE65" s="42"/>
      <c r="BF65" s="42"/>
      <c r="BG65" s="42"/>
      <c r="BH65" s="42"/>
      <c r="BI65" s="42"/>
      <c r="BJ65" s="42"/>
      <c r="BL65" s="42"/>
      <c r="BM65" s="42"/>
      <c r="BN65" s="42"/>
      <c r="BO65" s="42"/>
      <c r="BP65" s="42"/>
      <c r="BQ65" s="42"/>
      <c r="BR65" s="42"/>
      <c r="BS65" s="42"/>
      <c r="BT65" s="42"/>
      <c r="BU65" s="42"/>
      <c r="BV65" s="42"/>
      <c r="BW65" s="42"/>
      <c r="BX65" s="42"/>
    </row>
    <row r="67" spans="1:76" s="67" customFormat="1" ht="6" customHeight="1" x14ac:dyDescent="0.25">
      <c r="A67" s="268"/>
      <c r="B67" s="269"/>
      <c r="C67" s="251"/>
      <c r="D67" s="252"/>
      <c r="E67" s="253"/>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c r="AR67" s="252"/>
      <c r="AS67" s="252"/>
      <c r="AT67" s="252"/>
      <c r="AU67" s="252"/>
      <c r="AV67" s="252"/>
      <c r="AW67" s="252"/>
      <c r="AX67" s="252"/>
      <c r="AY67" s="252"/>
      <c r="AZ67" s="252"/>
      <c r="BA67" s="252"/>
      <c r="BB67" s="251"/>
      <c r="BC67" s="254"/>
      <c r="BD67" s="251"/>
      <c r="BE67" s="251"/>
      <c r="BF67" s="251"/>
      <c r="BG67" s="251"/>
      <c r="BH67" s="251"/>
      <c r="BI67" s="251"/>
      <c r="BJ67" s="251"/>
      <c r="BK67" s="251"/>
      <c r="BL67" s="254"/>
      <c r="BM67" s="251"/>
      <c r="BN67" s="251"/>
      <c r="BO67" s="251"/>
      <c r="BP67" s="251"/>
      <c r="BQ67" s="251"/>
      <c r="BR67" s="251"/>
      <c r="BS67" s="251"/>
      <c r="BT67" s="251"/>
      <c r="BU67" s="251"/>
      <c r="BV67" s="251"/>
      <c r="BW67" s="251"/>
      <c r="BX67" s="255"/>
    </row>
    <row r="68" spans="1:76" s="67" customFormat="1" ht="18" customHeight="1" x14ac:dyDescent="0.25">
      <c r="A68" s="272" t="s">
        <v>981</v>
      </c>
      <c r="B68" s="288" t="s">
        <v>980</v>
      </c>
      <c r="C68" s="288"/>
      <c r="D68" s="288"/>
      <c r="E68" s="249"/>
      <c r="F68" s="248"/>
      <c r="G68" s="256"/>
      <c r="H68" s="256"/>
      <c r="I68" s="257" t="s">
        <v>971</v>
      </c>
      <c r="J68" s="257"/>
      <c r="K68" s="257"/>
      <c r="L68" s="257"/>
      <c r="M68" s="248"/>
      <c r="N68" s="248"/>
      <c r="O68" s="273"/>
      <c r="P68" s="273"/>
      <c r="Q68" s="257" t="s">
        <v>996</v>
      </c>
      <c r="R68" s="257"/>
      <c r="S68" s="257"/>
      <c r="T68" s="257"/>
      <c r="U68" s="257"/>
      <c r="V68" s="257"/>
      <c r="W68" s="257"/>
      <c r="X68" s="257"/>
      <c r="Y68" s="257"/>
      <c r="Z68" s="257"/>
      <c r="AA68" s="257"/>
      <c r="AB68" s="257"/>
      <c r="AC68" s="257"/>
      <c r="AD68" s="257"/>
      <c r="AE68" s="257"/>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7"/>
      <c r="BC68" s="250"/>
      <c r="BD68" s="247"/>
      <c r="BE68" s="247"/>
      <c r="BF68" s="247"/>
      <c r="BG68" s="247"/>
      <c r="BH68" s="247"/>
      <c r="BI68" s="247"/>
      <c r="BJ68" s="247"/>
      <c r="BK68" s="247"/>
      <c r="BL68" s="250"/>
      <c r="BM68" s="247"/>
      <c r="BN68" s="247"/>
      <c r="BO68" s="247"/>
      <c r="BP68" s="247"/>
      <c r="BQ68" s="247"/>
      <c r="BR68" s="247"/>
      <c r="BS68" s="247"/>
      <c r="BT68" s="247"/>
      <c r="BU68" s="247"/>
      <c r="BV68" s="247"/>
      <c r="BW68" s="247"/>
      <c r="BX68" s="258"/>
    </row>
    <row r="69" spans="1:76" s="67" customFormat="1" ht="6" customHeight="1" x14ac:dyDescent="0.25">
      <c r="A69" s="270"/>
      <c r="B69" s="271"/>
      <c r="C69" s="259"/>
      <c r="D69" s="260"/>
      <c r="E69" s="261"/>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0"/>
      <c r="AS69" s="260"/>
      <c r="AT69" s="260"/>
      <c r="AU69" s="260"/>
      <c r="AV69" s="260"/>
      <c r="AW69" s="260"/>
      <c r="AX69" s="260"/>
      <c r="AY69" s="260"/>
      <c r="AZ69" s="260"/>
      <c r="BA69" s="260"/>
      <c r="BB69" s="259"/>
      <c r="BC69" s="262"/>
      <c r="BD69" s="259"/>
      <c r="BE69" s="259"/>
      <c r="BF69" s="259"/>
      <c r="BG69" s="259"/>
      <c r="BH69" s="259"/>
      <c r="BI69" s="259"/>
      <c r="BJ69" s="259"/>
      <c r="BK69" s="259"/>
      <c r="BL69" s="262"/>
      <c r="BM69" s="259"/>
      <c r="BN69" s="259"/>
      <c r="BO69" s="259"/>
      <c r="BP69" s="259"/>
      <c r="BQ69" s="259"/>
      <c r="BR69" s="259"/>
      <c r="BS69" s="259"/>
      <c r="BT69" s="259"/>
      <c r="BU69" s="259"/>
      <c r="BV69" s="259"/>
      <c r="BW69" s="259"/>
      <c r="BX69" s="263"/>
    </row>
    <row r="70" spans="1:76" s="52" customFormat="1" ht="18" x14ac:dyDescent="0.2">
      <c r="A70" s="246" t="str">
        <f>Classes!J7</f>
        <v>IFMA_C_31010000</v>
      </c>
      <c r="B70" s="246" t="str">
        <f>Classes!P7</f>
        <v>Geschoss</v>
      </c>
      <c r="C70" s="37"/>
      <c r="D70" s="246" t="s">
        <v>884</v>
      </c>
      <c r="E70" s="41"/>
      <c r="F70" s="51"/>
      <c r="G70" s="246" t="str">
        <f>IF(VLOOKUP($A70,Data_Template!$A$6:$BA$16,COLUMNS($A:A)+6,0)=0,"",VLOOKUP($A70,Data_Template!$A$6:$BA$16,COLUMNS($A:A)+6,0))</f>
        <v>x</v>
      </c>
      <c r="H70" s="246" t="str">
        <f>IF(VLOOKUP($A70,Data_Template!$A$6:$BA$16,COLUMNS($A:B)+6,0)=0,"",VLOOKUP($A70,Data_Template!$A$6:$BA$16,COLUMNS($A:B)+6,0))</f>
        <v>x</v>
      </c>
      <c r="I70" s="246" t="str">
        <f>IF(VLOOKUP($A70,Data_Template!$A$6:$BA$16,COLUMNS($A:C)+6,0)=0,"",VLOOKUP($A70,Data_Template!$A$6:$BA$16,COLUMNS($A:C)+6,0))</f>
        <v/>
      </c>
      <c r="J70" s="246" t="str">
        <f>IF(VLOOKUP($A70,Data_Template!$A$6:$BA$16,COLUMNS($A:D)+6,0)=0,"",VLOOKUP($A70,Data_Template!$A$6:$BA$16,COLUMNS($A:D)+6,0))</f>
        <v/>
      </c>
      <c r="K70" s="246" t="str">
        <f>IF(VLOOKUP($A70,Data_Template!$A$6:$BA$16,COLUMNS($A:E)+6,0)=0,"",VLOOKUP($A70,Data_Template!$A$6:$BA$16,COLUMNS($A:E)+6,0))</f>
        <v/>
      </c>
      <c r="L70" s="246" t="str">
        <f>IF(VLOOKUP($A70,Data_Template!$A$6:$BA$16,COLUMNS($A:F)+6,0)=0,"",VLOOKUP($A70,Data_Template!$A$6:$BA$16,COLUMNS($A:F)+6,0))</f>
        <v/>
      </c>
      <c r="M70" s="246" t="str">
        <f>IF(VLOOKUP($A70,Data_Template!$A$6:$BA$16,COLUMNS($A:G)+6,0)=0,"",VLOOKUP($A70,Data_Template!$A$6:$BA$16,COLUMNS($A:G)+6,0))</f>
        <v/>
      </c>
      <c r="N70" s="246" t="str">
        <f>IF(VLOOKUP($A70,Data_Template!$A$6:$BA$16,COLUMNS($A:H)+6,0)=0,"",VLOOKUP($A70,Data_Template!$A$6:$BA$16,COLUMNS($A:H)+6,0))</f>
        <v/>
      </c>
      <c r="O70" s="246" t="str">
        <f>IF(VLOOKUP($A70,Data_Template!$A$6:$BA$16,COLUMNS($A:I)+6,0)=0,"",VLOOKUP($A70,Data_Template!$A$6:$BA$16,COLUMNS($A:I)+6,0))</f>
        <v/>
      </c>
      <c r="P70" s="246" t="str">
        <f>IF(VLOOKUP($A70,Data_Template!$A$6:$BA$16,COLUMNS($A:J)+6,0)=0,"",VLOOKUP($A70,Data_Template!$A$6:$BA$16,COLUMNS($A:J)+6,0))</f>
        <v/>
      </c>
      <c r="Q70" s="246"/>
      <c r="R70" s="246" t="str">
        <f>IF(VLOOKUP($A70,Data_Template!$A$6:$BA$16,COLUMNS($A:L)+6,0)=0,"",VLOOKUP($A70,Data_Template!$A$6:$BA$16,COLUMNS($A:L)+6,0))</f>
        <v/>
      </c>
      <c r="S70" s="246" t="str">
        <f>IF(VLOOKUP($A70,Data_Template!$A$6:$BA$16,COLUMNS($A:M)+6,0)=0,"",VLOOKUP($A70,Data_Template!$A$6:$BA$16,COLUMNS($A:M)+6,0))</f>
        <v/>
      </c>
      <c r="T70" s="246" t="str">
        <f>IF(VLOOKUP($A70,Data_Template!$A$6:$BA$16,COLUMNS($A:N)+6,0)=0,"",VLOOKUP($A70,Data_Template!$A$6:$BA$16,COLUMNS($A:N)+6,0))</f>
        <v/>
      </c>
      <c r="U70" s="246" t="str">
        <f>IF(VLOOKUP($A70,Data_Template!$A$6:$BA$16,COLUMNS($A:O)+6,0)=0,"",VLOOKUP($A70,Data_Template!$A$6:$BA$16,COLUMNS($A:O)+6,0))</f>
        <v/>
      </c>
      <c r="V70" s="246" t="str">
        <f>IF(VLOOKUP($A70,Data_Template!$A$6:$BA$16,COLUMNS($A:P)+6,0)=0,"",VLOOKUP($A70,Data_Template!$A$6:$BA$16,COLUMNS($A:P)+6,0))</f>
        <v/>
      </c>
      <c r="W70" s="246" t="str">
        <f>IF(VLOOKUP($A70,Data_Template!$A$6:$BA$16,COLUMNS($A:Q)+6,0)=0,"",VLOOKUP($A70,Data_Template!$A$6:$BA$16,COLUMNS($A:Q)+6,0))</f>
        <v/>
      </c>
      <c r="X70" s="246" t="str">
        <f>IF(VLOOKUP($A70,Data_Template!$A$6:$BA$16,COLUMNS($A:R)+6,0)=0,"",VLOOKUP($A70,Data_Template!$A$6:$BA$16,COLUMNS($A:R)+6,0))</f>
        <v/>
      </c>
      <c r="Y70" s="246" t="str">
        <f>IF(VLOOKUP($A70,Data_Template!$A$6:$BA$16,COLUMNS($A:S)+6,0)=0,"",VLOOKUP($A70,Data_Template!$A$6:$BA$16,COLUMNS($A:S)+6,0))</f>
        <v/>
      </c>
      <c r="Z70" s="246" t="str">
        <f>IF(VLOOKUP($A70,Data_Template!$A$6:$BA$16,COLUMNS($A:T)+6,0)=0,"",VLOOKUP($A70,Data_Template!$A$6:$BA$16,COLUMNS($A:T)+6,0))</f>
        <v/>
      </c>
      <c r="AA70" s="246" t="str">
        <f>IF(VLOOKUP($A70,Data_Template!$A$6:$BA$16,COLUMNS($A:U)+6,0)=0,"",VLOOKUP($A70,Data_Template!$A$6:$BA$16,COLUMNS($A:U)+6,0))</f>
        <v/>
      </c>
      <c r="AB70" s="246" t="str">
        <f>IF(VLOOKUP($A70,Data_Template!$A$6:$BA$16,COLUMNS($A:V)+6,0)=0,"",VLOOKUP($A70,Data_Template!$A$6:$BA$16,COLUMNS($A:V)+6,0))</f>
        <v/>
      </c>
      <c r="AC70" s="246" t="str">
        <f>IF(VLOOKUP($A70,Data_Template!$A$6:$BA$16,COLUMNS($A:W)+6,0)=0,"",VLOOKUP($A70,Data_Template!$A$6:$BA$16,COLUMNS($A:W)+6,0))</f>
        <v/>
      </c>
      <c r="AD70" s="246" t="str">
        <f>IF(VLOOKUP($A70,Data_Template!$A$6:$BA$16,COLUMNS($A:X)+6,0)=0,"",VLOOKUP($A70,Data_Template!$A$6:$BA$16,COLUMNS($A:X)+6,0))</f>
        <v/>
      </c>
      <c r="AE70" s="246" t="str">
        <f>IF(VLOOKUP($A70,Data_Template!$A$6:$BA$16,COLUMNS($A:Y)+6,0)=0,"",VLOOKUP($A70,Data_Template!$A$6:$BA$16,COLUMNS($A:Y)+6,0))</f>
        <v/>
      </c>
      <c r="AF70" s="246" t="str">
        <f>IF(VLOOKUP($A70,Data_Template!$A$6:$BA$16,COLUMNS($A:Z)+6,0)=0,"",VLOOKUP($A70,Data_Template!$A$6:$BA$16,COLUMNS($A:Z)+6,0))</f>
        <v/>
      </c>
      <c r="AG70" s="246" t="str">
        <f>IF(VLOOKUP($A70,Data_Template!$A$6:$BA$16,COLUMNS($A:AA)+6,0)=0,"",VLOOKUP($A70,Data_Template!$A$6:$BA$16,COLUMNS($A:AA)+6,0))</f>
        <v/>
      </c>
      <c r="AH70" s="246" t="str">
        <f>IF(VLOOKUP($A70,Data_Template!$A$6:$BA$16,COLUMNS($A:AB)+6,0)=0,"",VLOOKUP($A70,Data_Template!$A$6:$BA$16,COLUMNS($A:AB)+6,0))</f>
        <v/>
      </c>
      <c r="AI70" s="246" t="str">
        <f>IF(VLOOKUP($A70,Data_Template!$A$6:$BA$16,COLUMNS($A:AC)+6,0)=0,"",VLOOKUP($A70,Data_Template!$A$6:$BA$16,COLUMNS($A:AC)+6,0))</f>
        <v/>
      </c>
      <c r="AJ70" s="246" t="str">
        <f>IF(VLOOKUP($A70,Data_Template!$A$6:$BA$16,COLUMNS($A:AD)+6,0)=0,"",VLOOKUP($A70,Data_Template!$A$6:$BA$16,COLUMNS($A:AD)+6,0))</f>
        <v/>
      </c>
      <c r="AK70" s="246" t="str">
        <f>IF(VLOOKUP($A70,Data_Template!$A$6:$BA$16,COLUMNS($A:AE)+6,0)=0,"",VLOOKUP($A70,Data_Template!$A$6:$BA$16,COLUMNS($A:AE)+6,0))</f>
        <v/>
      </c>
      <c r="AL70" s="246" t="str">
        <f>IF(VLOOKUP($A70,Data_Template!$A$6:$BA$16,COLUMNS($A:AF)+6,0)=0,"",VLOOKUP($A70,Data_Template!$A$6:$BA$16,COLUMNS($A:AF)+6,0))</f>
        <v/>
      </c>
      <c r="AM70" s="246" t="str">
        <f>IF(VLOOKUP($A70,Data_Template!$A$6:$BA$16,COLUMNS($A:AG)+6,0)=0,"",VLOOKUP($A70,Data_Template!$A$6:$BA$16,COLUMNS($A:AG)+6,0))</f>
        <v/>
      </c>
      <c r="AN70" s="246" t="str">
        <f>IF(VLOOKUP($A70,Data_Template!$A$6:$BA$16,COLUMNS($A:AH)+6,0)=0,"",VLOOKUP($A70,Data_Template!$A$6:$BA$16,COLUMNS($A:AH)+6,0))</f>
        <v/>
      </c>
      <c r="AO70" s="246" t="str">
        <f>IF(VLOOKUP($A70,Data_Template!$A$6:$BA$16,COLUMNS($A:AI)+6,0)=0,"",VLOOKUP($A70,Data_Template!$A$6:$BA$16,COLUMNS($A:AI)+6,0))</f>
        <v/>
      </c>
      <c r="AP70" s="246" t="str">
        <f>IF(VLOOKUP($A70,Data_Template!$A$6:$BA$16,COLUMNS($A:AJ)+6,0)=0,"",VLOOKUP($A70,Data_Template!$A$6:$BA$16,COLUMNS($A:AJ)+6,0))</f>
        <v/>
      </c>
      <c r="AQ70" s="246" t="str">
        <f>IF(VLOOKUP($A70,Data_Template!$A$6:$BA$16,COLUMNS($A:AK)+6,0)=0,"",VLOOKUP($A70,Data_Template!$A$6:$BA$16,COLUMNS($A:AK)+6,0))</f>
        <v/>
      </c>
      <c r="AR70" s="246" t="str">
        <f>IF(VLOOKUP($A70,Data_Template!$A$6:$BA$16,COLUMNS($A:AL)+6,0)=0,"",VLOOKUP($A70,Data_Template!$A$6:$BA$16,COLUMNS($A:AL)+6,0))</f>
        <v/>
      </c>
      <c r="AS70" s="246" t="str">
        <f>IF(VLOOKUP($A70,Data_Template!$A$6:$BA$16,COLUMNS($A:AM)+6,0)=0,"",VLOOKUP($A70,Data_Template!$A$6:$BA$16,COLUMNS($A:AM)+6,0))</f>
        <v/>
      </c>
      <c r="AT70" s="246" t="str">
        <f>IF(VLOOKUP($A70,Data_Template!$A$6:$BA$16,COLUMNS($A:AN)+6,0)=0,"",VLOOKUP($A70,Data_Template!$A$6:$BA$16,COLUMNS($A:AN)+6,0))</f>
        <v/>
      </c>
      <c r="AU70" s="246" t="str">
        <f>IF(VLOOKUP($A70,Data_Template!$A$6:$BA$16,COLUMNS($A:AO)+6,0)=0,"",VLOOKUP($A70,Data_Template!$A$6:$BA$16,COLUMNS($A:AO)+6,0))</f>
        <v/>
      </c>
      <c r="AV70" s="246" t="str">
        <f>IF(VLOOKUP($A70,Data_Template!$A$6:$BA$16,COLUMNS($A:AP)+6,0)=0,"",VLOOKUP($A70,Data_Template!$A$6:$BA$16,COLUMNS($A:AP)+6,0))</f>
        <v/>
      </c>
      <c r="AW70" s="246" t="str">
        <f>IF(VLOOKUP($A70,Data_Template!$A$6:$BA$16,COLUMNS($A:AQ)+6,0)=0,"",VLOOKUP($A70,Data_Template!$A$6:$BA$16,COLUMNS($A:AQ)+6,0))</f>
        <v/>
      </c>
      <c r="AX70" s="246" t="str">
        <f>IF(VLOOKUP($A70,Data_Template!$A$6:$BA$16,COLUMNS($A:AR)+6,0)=0,"",VLOOKUP($A70,Data_Template!$A$6:$BA$16,COLUMNS($A:AR)+6,0))</f>
        <v/>
      </c>
      <c r="AY70" s="246" t="str">
        <f>IF(VLOOKUP($A70,Data_Template!$A$6:$BA$16,COLUMNS($A:AS)+6,0)=0,"",VLOOKUP($A70,Data_Template!$A$6:$BA$16,COLUMNS($A:AS)+6,0))</f>
        <v/>
      </c>
      <c r="AZ70" s="246" t="str">
        <f>IF(VLOOKUP($A70,Data_Template!$A$6:$BA$16,COLUMNS($A:AT)+6,0)=0,"",VLOOKUP($A70,Data_Template!$A$6:$BA$16,COLUMNS($A:AT)+6,0))</f>
        <v/>
      </c>
      <c r="BA70" s="246" t="str">
        <f>IF(VLOOKUP($A70,Data_Template!$A$6:$BA$16,COLUMNS($A:AU)+6,0)=0,"",VLOOKUP($A70,Data_Template!$A$6:$BA$16,COLUMNS($A:AU)+6,0))</f>
        <v/>
      </c>
      <c r="BB70" s="50"/>
      <c r="BC70" s="246"/>
      <c r="BD70" s="246"/>
      <c r="BE70" s="246"/>
      <c r="BF70" s="246"/>
      <c r="BG70" s="246"/>
      <c r="BH70" s="246"/>
      <c r="BI70" s="246"/>
      <c r="BJ70" s="246"/>
      <c r="BL70" s="246"/>
      <c r="BM70" s="246"/>
      <c r="BN70" s="246"/>
      <c r="BO70" s="246"/>
      <c r="BP70" s="246"/>
      <c r="BQ70" s="246"/>
      <c r="BR70" s="246"/>
      <c r="BS70" s="246"/>
      <c r="BT70" s="246"/>
      <c r="BU70" s="246"/>
      <c r="BV70" s="246"/>
      <c r="BW70" s="246"/>
      <c r="BX70" s="246"/>
    </row>
    <row r="71" spans="1:76" s="51" customFormat="1" ht="14.25" x14ac:dyDescent="0.2">
      <c r="A71" s="246" t="str">
        <f>Classes!J8</f>
        <v>IFMA_C_31010001</v>
      </c>
      <c r="B71" s="246" t="str">
        <f>Classes!P8</f>
        <v>Grundstückfläche</v>
      </c>
      <c r="C71" s="37"/>
      <c r="D71" s="42" t="s">
        <v>884</v>
      </c>
      <c r="E71" s="41"/>
      <c r="G71" s="42" t="str">
        <f>IF(VLOOKUP($A71,Data_Template!$A$6:$BA$16,COLUMNS($A:A)+6,0)=0,"",VLOOKUP($A71,Data_Template!$A$6:$BA$16,COLUMNS($A:A)+6,0))</f>
        <v/>
      </c>
      <c r="H71" s="42" t="str">
        <f>IF(VLOOKUP($A71,Data_Template!$A$6:$BA$16,COLUMNS($A:B)+6,0)=0,"",VLOOKUP($A71,Data_Template!$A$6:$BA$16,COLUMNS($A:B)+6,0))</f>
        <v/>
      </c>
      <c r="I71" s="246" t="str">
        <f>IF(VLOOKUP($A71,Data_Template!$A$6:$BA$16,COLUMNS($A:C)+6,0)=0,"",VLOOKUP($A71,Data_Template!$A$6:$BA$16,COLUMNS($A:C)+6,0))</f>
        <v>["1_GSF", "1_ST", "1_SF"]</v>
      </c>
      <c r="J71" s="42" t="str">
        <f>IF(VLOOKUP($A71,Data_Template!$A$6:$BA$16,COLUMNS($A:D)+6,0)=0,"",VLOOKUP($A71,Data_Template!$A$6:$BA$16,COLUMNS($A:D)+6,0))</f>
        <v/>
      </c>
      <c r="K71" s="42" t="str">
        <f>IF(VLOOKUP($A71,Data_Template!$A$6:$BA$16,COLUMNS($A:E)+6,0)=0,"",VLOOKUP($A71,Data_Template!$A$6:$BA$16,COLUMNS($A:E)+6,0))</f>
        <v/>
      </c>
      <c r="L71" s="42" t="str">
        <f>IF(VLOOKUP($A71,Data_Template!$A$6:$BA$16,COLUMNS($A:F)+6,0)=0,"",VLOOKUP($A71,Data_Template!$A$6:$BA$16,COLUMNS($A:F)+6,0))</f>
        <v/>
      </c>
      <c r="M71" s="42" t="str">
        <f>IF(VLOOKUP($A71,Data_Template!$A$6:$BA$16,COLUMNS($A:G)+6,0)=0,"",VLOOKUP($A71,Data_Template!$A$6:$BA$16,COLUMNS($A:G)+6,0))</f>
        <v/>
      </c>
      <c r="N71" s="42" t="str">
        <f>IF(VLOOKUP($A71,Data_Template!$A$6:$BA$16,COLUMNS($A:H)+6,0)=0,"",VLOOKUP($A71,Data_Template!$A$6:$BA$16,COLUMNS($A:H)+6,0))</f>
        <v/>
      </c>
      <c r="O71" s="42" t="str">
        <f>IF(VLOOKUP($A71,Data_Template!$A$6:$BA$16,COLUMNS($A:I)+6,0)=0,"",VLOOKUP($A71,Data_Template!$A$6:$BA$16,COLUMNS($A:I)+6,0))</f>
        <v/>
      </c>
      <c r="P71" s="42" t="str">
        <f>IF(VLOOKUP($A71,Data_Template!$A$6:$BA$16,COLUMNS($A:J)+6,0)=0,"",VLOOKUP($A71,Data_Template!$A$6:$BA$16,COLUMNS($A:J)+6,0))</f>
        <v/>
      </c>
      <c r="Q71" s="42" t="str">
        <f>IF(VLOOKUP($A71,Data_Template!$A$6:$BA$16,COLUMNS($A:K)+6,0)=0,"",VLOOKUP($A71,Data_Template!$A$6:$BA$16,COLUMNS($A:K)+6,0))</f>
        <v/>
      </c>
      <c r="R71" s="42" t="str">
        <f>IF(VLOOKUP($A71,Data_Template!$A$6:$BA$16,COLUMNS($A:L)+6,0)=0,"",VLOOKUP($A71,Data_Template!$A$6:$BA$16,COLUMNS($A:L)+6,0))</f>
        <v/>
      </c>
      <c r="S71" s="42" t="str">
        <f>IF(VLOOKUP($A71,Data_Template!$A$6:$BA$16,COLUMNS($A:M)+6,0)=0,"",VLOOKUP($A71,Data_Template!$A$6:$BA$16,COLUMNS($A:M)+6,0))</f>
        <v/>
      </c>
      <c r="T71" s="42" t="str">
        <f>IF(VLOOKUP($A71,Data_Template!$A$6:$BA$16,COLUMNS($A:N)+6,0)=0,"",VLOOKUP($A71,Data_Template!$A$6:$BA$16,COLUMNS($A:N)+6,0))</f>
        <v/>
      </c>
      <c r="U71" s="42" t="str">
        <f>IF(VLOOKUP($A71,Data_Template!$A$6:$BA$16,COLUMNS($A:O)+6,0)=0,"",VLOOKUP($A71,Data_Template!$A$6:$BA$16,COLUMNS($A:O)+6,0))</f>
        <v/>
      </c>
      <c r="V71" s="42" t="str">
        <f>IF(VLOOKUP($A71,Data_Template!$A$6:$BA$16,COLUMNS($A:P)+6,0)=0,"",VLOOKUP($A71,Data_Template!$A$6:$BA$16,COLUMNS($A:P)+6,0))</f>
        <v/>
      </c>
      <c r="W71" s="42" t="str">
        <f>IF(VLOOKUP($A71,Data_Template!$A$6:$BA$16,COLUMNS($A:Q)+6,0)=0,"",VLOOKUP($A71,Data_Template!$A$6:$BA$16,COLUMNS($A:Q)+6,0))</f>
        <v/>
      </c>
      <c r="X71" s="42" t="str">
        <f>IF(VLOOKUP($A71,Data_Template!$A$6:$BA$16,COLUMNS($A:R)+6,0)=0,"",VLOOKUP($A71,Data_Template!$A$6:$BA$16,COLUMNS($A:R)+6,0))</f>
        <v/>
      </c>
      <c r="Y71" s="42" t="str">
        <f>IF(VLOOKUP($A71,Data_Template!$A$6:$BA$16,COLUMNS($A:S)+6,0)=0,"",VLOOKUP($A71,Data_Template!$A$6:$BA$16,COLUMNS($A:S)+6,0))</f>
        <v/>
      </c>
      <c r="Z71" s="42" t="str">
        <f>IF(VLOOKUP($A71,Data_Template!$A$6:$BA$16,COLUMNS($A:T)+6,0)=0,"",VLOOKUP($A71,Data_Template!$A$6:$BA$16,COLUMNS($A:T)+6,0))</f>
        <v/>
      </c>
      <c r="AA71" s="42" t="str">
        <f>IF(VLOOKUP($A71,Data_Template!$A$6:$BA$16,COLUMNS($A:U)+6,0)=0,"",VLOOKUP($A71,Data_Template!$A$6:$BA$16,COLUMNS($A:U)+6,0))</f>
        <v/>
      </c>
      <c r="AB71" s="42" t="str">
        <f>IF(VLOOKUP($A71,Data_Template!$A$6:$BA$16,COLUMNS($A:V)+6,0)=0,"",VLOOKUP($A71,Data_Template!$A$6:$BA$16,COLUMNS($A:V)+6,0))</f>
        <v/>
      </c>
      <c r="AC71" s="42" t="str">
        <f>IF(VLOOKUP($A71,Data_Template!$A$6:$BA$16,COLUMNS($A:W)+6,0)=0,"",VLOOKUP($A71,Data_Template!$A$6:$BA$16,COLUMNS($A:W)+6,0))</f>
        <v/>
      </c>
      <c r="AD71" s="42" t="str">
        <f>IF(VLOOKUP($A71,Data_Template!$A$6:$BA$16,COLUMNS($A:X)+6,0)=0,"",VLOOKUP($A71,Data_Template!$A$6:$BA$16,COLUMNS($A:X)+6,0))</f>
        <v/>
      </c>
      <c r="AE71" s="42" t="str">
        <f>IF(VLOOKUP($A71,Data_Template!$A$6:$BA$16,COLUMNS($A:Y)+6,0)=0,"",VLOOKUP($A71,Data_Template!$A$6:$BA$16,COLUMNS($A:Y)+6,0))</f>
        <v/>
      </c>
      <c r="AF71" s="42" t="str">
        <f>IF(VLOOKUP($A71,Data_Template!$A$6:$BA$16,COLUMNS($A:Z)+6,0)=0,"",VLOOKUP($A71,Data_Template!$A$6:$BA$16,COLUMNS($A:Z)+6,0))</f>
        <v/>
      </c>
      <c r="AG71" s="42" t="str">
        <f>IF(VLOOKUP($A71,Data_Template!$A$6:$BA$16,COLUMNS($A:AA)+6,0)=0,"",VLOOKUP($A71,Data_Template!$A$6:$BA$16,COLUMNS($A:AA)+6,0))</f>
        <v/>
      </c>
      <c r="AH71" s="42" t="str">
        <f>IF(VLOOKUP($A71,Data_Template!$A$6:$BA$16,COLUMNS($A:AB)+6,0)=0,"",VLOOKUP($A71,Data_Template!$A$6:$BA$16,COLUMNS($A:AB)+6,0))</f>
        <v/>
      </c>
      <c r="AI71" s="42" t="str">
        <f>IF(VLOOKUP($A71,Data_Template!$A$6:$BA$16,COLUMNS($A:AC)+6,0)=0,"",VLOOKUP($A71,Data_Template!$A$6:$BA$16,COLUMNS($A:AC)+6,0))</f>
        <v/>
      </c>
      <c r="AJ71" s="42" t="str">
        <f>IF(VLOOKUP($A71,Data_Template!$A$6:$BA$16,COLUMNS($A:AD)+6,0)=0,"",VLOOKUP($A71,Data_Template!$A$6:$BA$16,COLUMNS($A:AD)+6,0))</f>
        <v/>
      </c>
      <c r="AK71" s="42" t="str">
        <f>IF(VLOOKUP($A71,Data_Template!$A$6:$BA$16,COLUMNS($A:AE)+6,0)=0,"",VLOOKUP($A71,Data_Template!$A$6:$BA$16,COLUMNS($A:AE)+6,0))</f>
        <v/>
      </c>
      <c r="AL71" s="42" t="str">
        <f>IF(VLOOKUP($A71,Data_Template!$A$6:$BA$16,COLUMNS($A:AF)+6,0)=0,"",VLOOKUP($A71,Data_Template!$A$6:$BA$16,COLUMNS($A:AF)+6,0))</f>
        <v/>
      </c>
      <c r="AM71" s="42" t="str">
        <f>IF(VLOOKUP($A71,Data_Template!$A$6:$BA$16,COLUMNS($A:AG)+6,0)=0,"",VLOOKUP($A71,Data_Template!$A$6:$BA$16,COLUMNS($A:AG)+6,0))</f>
        <v/>
      </c>
      <c r="AN71" s="42" t="str">
        <f>IF(VLOOKUP($A71,Data_Template!$A$6:$BA$16,COLUMNS($A:AH)+6,0)=0,"",VLOOKUP($A71,Data_Template!$A$6:$BA$16,COLUMNS($A:AH)+6,0))</f>
        <v/>
      </c>
      <c r="AO71" s="42" t="str">
        <f>IF(VLOOKUP($A71,Data_Template!$A$6:$BA$16,COLUMNS($A:AI)+6,0)=0,"",VLOOKUP($A71,Data_Template!$A$6:$BA$16,COLUMNS($A:AI)+6,0))</f>
        <v/>
      </c>
      <c r="AP71" s="42" t="str">
        <f>IF(VLOOKUP($A71,Data_Template!$A$6:$BA$16,COLUMNS($A:AJ)+6,0)=0,"",VLOOKUP($A71,Data_Template!$A$6:$BA$16,COLUMNS($A:AJ)+6,0))</f>
        <v/>
      </c>
      <c r="AQ71" s="42" t="str">
        <f>IF(VLOOKUP($A71,Data_Template!$A$6:$BA$16,COLUMNS($A:AK)+6,0)=0,"",VLOOKUP($A71,Data_Template!$A$6:$BA$16,COLUMNS($A:AK)+6,0))</f>
        <v/>
      </c>
      <c r="AR71" s="42" t="str">
        <f>IF(VLOOKUP($A71,Data_Template!$A$6:$BA$16,COLUMNS($A:AL)+6,0)=0,"",VLOOKUP($A71,Data_Template!$A$6:$BA$16,COLUMNS($A:AL)+6,0))</f>
        <v/>
      </c>
      <c r="AS71" s="42" t="str">
        <f>IF(VLOOKUP($A71,Data_Template!$A$6:$BA$16,COLUMNS($A:AM)+6,0)=0,"",VLOOKUP($A71,Data_Template!$A$6:$BA$16,COLUMNS($A:AM)+6,0))</f>
        <v/>
      </c>
      <c r="AT71" s="42" t="str">
        <f>IF(VLOOKUP($A71,Data_Template!$A$6:$BA$16,COLUMNS($A:AN)+6,0)=0,"",VLOOKUP($A71,Data_Template!$A$6:$BA$16,COLUMNS($A:AN)+6,0))</f>
        <v>x</v>
      </c>
      <c r="AU71" s="42" t="str">
        <f>IF(VLOOKUP($A71,Data_Template!$A$6:$BA$16,COLUMNS($A:AO)+6,0)=0,"",VLOOKUP($A71,Data_Template!$A$6:$BA$16,COLUMNS($A:AO)+6,0))</f>
        <v/>
      </c>
      <c r="AV71" s="42" t="str">
        <f>IF(VLOOKUP($A71,Data_Template!$A$6:$BA$16,COLUMNS($A:AP)+6,0)=0,"",VLOOKUP($A71,Data_Template!$A$6:$BA$16,COLUMNS($A:AP)+6,0))</f>
        <v/>
      </c>
      <c r="AW71" s="42" t="str">
        <f>IF(VLOOKUP($A71,Data_Template!$A$6:$BA$16,COLUMNS($A:AQ)+6,0)=0,"",VLOOKUP($A71,Data_Template!$A$6:$BA$16,COLUMNS($A:AQ)+6,0))</f>
        <v/>
      </c>
      <c r="AX71" s="42" t="str">
        <f>IF(VLOOKUP($A71,Data_Template!$A$6:$BA$16,COLUMNS($A:AR)+6,0)=0,"",VLOOKUP($A71,Data_Template!$A$6:$BA$16,COLUMNS($A:AR)+6,0))</f>
        <v/>
      </c>
      <c r="AY71" s="42" t="str">
        <f>IF(VLOOKUP($A71,Data_Template!$A$6:$BA$16,COLUMNS($A:AS)+6,0)=0,"",VLOOKUP($A71,Data_Template!$A$6:$BA$16,COLUMNS($A:AS)+6,0))</f>
        <v/>
      </c>
      <c r="AZ71" s="42" t="str">
        <f>IF(VLOOKUP($A71,Data_Template!$A$6:$BA$16,COLUMNS($A:AT)+6,0)=0,"",VLOOKUP($A71,Data_Template!$A$6:$BA$16,COLUMNS($A:AT)+6,0))</f>
        <v/>
      </c>
      <c r="BA71" s="42" t="str">
        <f>IF(VLOOKUP($A71,Data_Template!$A$6:$BA$16,COLUMNS($A:AU)+6,0)=0,"",VLOOKUP($A71,Data_Template!$A$6:$BA$16,COLUMNS($A:AU)+6,0))</f>
        <v/>
      </c>
      <c r="BB71" s="50"/>
      <c r="BC71" s="42"/>
      <c r="BD71" s="42"/>
      <c r="BE71" s="42"/>
      <c r="BF71" s="42"/>
      <c r="BG71" s="42"/>
      <c r="BH71" s="42"/>
      <c r="BI71" s="42"/>
      <c r="BJ71" s="42"/>
      <c r="BL71" s="42"/>
      <c r="BM71" s="42"/>
      <c r="BN71" s="42"/>
      <c r="BO71" s="42"/>
      <c r="BP71" s="42"/>
      <c r="BQ71" s="42"/>
      <c r="BR71" s="42"/>
      <c r="BS71" s="42"/>
      <c r="BT71" s="42"/>
      <c r="BU71" s="42"/>
      <c r="BV71" s="42"/>
      <c r="BW71" s="42"/>
      <c r="BX71" s="42"/>
    </row>
    <row r="72" spans="1:76" s="51" customFormat="1" ht="51" x14ac:dyDescent="0.2">
      <c r="A72" s="246" t="str">
        <f>Classes!J9</f>
        <v>IFMA_C_31010002</v>
      </c>
      <c r="B72" s="246" t="str">
        <f>Classes!P9</f>
        <v>Umgebungsfläche</v>
      </c>
      <c r="C72" s="37"/>
      <c r="D72" s="42" t="s">
        <v>884</v>
      </c>
      <c r="E72" s="41"/>
      <c r="G72" s="42" t="str">
        <f>IF(VLOOKUP($A72,Data_Template!$A$6:$BA$16,COLUMNS($A:A)+6,0)=0,"",VLOOKUP($A72,Data_Template!$A$6:$BA$16,COLUMNS($A:A)+6,0))</f>
        <v>x</v>
      </c>
      <c r="H72" s="42" t="str">
        <f>IF(VLOOKUP($A72,Data_Template!$A$6:$BA$16,COLUMNS($A:B)+6,0)=0,"",VLOOKUP($A72,Data_Template!$A$6:$BA$16,COLUMNS($A:B)+6,0))</f>
        <v>x</v>
      </c>
      <c r="I72" s="246" t="str">
        <f>IF(VLOOKUP($A72,Data_Template!$A$6:$BA$16,COLUMNS($A:C)+6,0)=0,"",VLOOKUP($A72,Data_Template!$A$6:$BA$16,COLUMNS($A:C)+6,0))</f>
        <v>["1.2_UF", "1.2.1_BUF", "1.2.2_UUF", "1.2_SA", "1.2.1_SAA", "1.2.2_SAN",  "1.2_SLE", "1.2.1_SLES", "1.2.2_SLEN"]</v>
      </c>
      <c r="J72" s="42" t="str">
        <f>IF(VLOOKUP($A72,Data_Template!$A$6:$BA$16,COLUMNS($A:D)+6,0)=0,"",VLOOKUP($A72,Data_Template!$A$6:$BA$16,COLUMNS($A:D)+6,0))</f>
        <v>["NONE", "BUF10", "SAA10", "SLES10"]</v>
      </c>
      <c r="K72" s="42" t="str">
        <f>IF(VLOOKUP($A72,Data_Template!$A$6:$BA$16,COLUMNS($A:E)+6,0)=0,"",VLOOKUP($A72,Data_Template!$A$6:$BA$16,COLUMNS($A:E)+6,0))</f>
        <v/>
      </c>
      <c r="L72" s="42" t="str">
        <f>IF(VLOOKUP($A72,Data_Template!$A$6:$BA$16,COLUMNS($A:F)+6,0)=0,"",VLOOKUP($A72,Data_Template!$A$6:$BA$16,COLUMNS($A:F)+6,0))</f>
        <v>["NONE", "10.1_aussenliegende Fahrzeugabstellflächen"]</v>
      </c>
      <c r="M72" s="42"/>
      <c r="N72" s="42"/>
      <c r="O72" s="42" t="str">
        <f>IF(VLOOKUP($A72,Data_Template!$A$6:$BA$16,COLUMNS($A:I)+6,0)=0,"",VLOOKUP($A72,Data_Template!$A$6:$BA$16,COLUMNS($A:I)+6,0))</f>
        <v/>
      </c>
      <c r="P72" s="42"/>
      <c r="Q72" s="42" t="str">
        <f>IF(VLOOKUP($A72,Data_Template!$A$6:$BA$16,COLUMNS($A:K)+6,0)=0,"",VLOOKUP($A72,Data_Template!$A$6:$BA$16,COLUMNS($A:K)+6,0))</f>
        <v/>
      </c>
      <c r="R72" s="42" t="str">
        <f>IF(VLOOKUP($A72,Data_Template!$A$6:$BA$16,COLUMNS($A:L)+6,0)=0,"",VLOOKUP($A72,Data_Template!$A$6:$BA$16,COLUMNS($A:L)+6,0))</f>
        <v/>
      </c>
      <c r="S72" s="42" t="str">
        <f>IF(VLOOKUP($A72,Data_Template!$A$6:$BA$16,COLUMNS($A:M)+6,0)=0,"",VLOOKUP($A72,Data_Template!$A$6:$BA$16,COLUMNS($A:M)+6,0))</f>
        <v/>
      </c>
      <c r="T72" s="42" t="str">
        <f>IF(VLOOKUP($A72,Data_Template!$A$6:$BA$16,COLUMNS($A:N)+6,0)=0,"",VLOOKUP($A72,Data_Template!$A$6:$BA$16,COLUMNS($A:N)+6,0))</f>
        <v/>
      </c>
      <c r="U72" s="42" t="str">
        <f>IF(VLOOKUP($A72,Data_Template!$A$6:$BA$16,COLUMNS($A:O)+6,0)=0,"",VLOOKUP($A72,Data_Template!$A$6:$BA$16,COLUMNS($A:O)+6,0))</f>
        <v/>
      </c>
      <c r="V72" s="42" t="str">
        <f>IF(VLOOKUP($A72,Data_Template!$A$6:$BA$16,COLUMNS($A:P)+6,0)=0,"",VLOOKUP($A72,Data_Template!$A$6:$BA$16,COLUMNS($A:P)+6,0))</f>
        <v/>
      </c>
      <c r="W72" s="42" t="str">
        <f>IF(VLOOKUP($A72,Data_Template!$A$6:$BA$16,COLUMNS($A:Q)+6,0)=0,"",VLOOKUP($A72,Data_Template!$A$6:$BA$16,COLUMNS($A:Q)+6,0))</f>
        <v/>
      </c>
      <c r="X72" s="42" t="str">
        <f>IF(VLOOKUP($A72,Data_Template!$A$6:$BA$16,COLUMNS($A:R)+6,0)=0,"",VLOOKUP($A72,Data_Template!$A$6:$BA$16,COLUMNS($A:R)+6,0))</f>
        <v/>
      </c>
      <c r="Y72" s="42"/>
      <c r="Z72" s="42" t="str">
        <f>IF(VLOOKUP($A72,Data_Template!$A$6:$BA$16,COLUMNS($A:T)+6,0)=0,"",VLOOKUP($A72,Data_Template!$A$6:$BA$16,COLUMNS($A:T)+6,0))</f>
        <v/>
      </c>
      <c r="AA72" s="42" t="str">
        <f>IF(VLOOKUP($A72,Data_Template!$A$6:$BA$16,COLUMNS($A:U)+6,0)=0,"",VLOOKUP($A72,Data_Template!$A$6:$BA$16,COLUMNS($A:U)+6,0))</f>
        <v/>
      </c>
      <c r="AB72" s="42" t="str">
        <f>IF(VLOOKUP($A72,Data_Template!$A$6:$BA$16,COLUMNS($A:V)+6,0)=0,"",VLOOKUP($A72,Data_Template!$A$6:$BA$16,COLUMNS($A:V)+6,0))</f>
        <v/>
      </c>
      <c r="AC72" s="42" t="str">
        <f>IF(VLOOKUP($A72,Data_Template!$A$6:$BA$16,COLUMNS($A:W)+6,0)=0,"",VLOOKUP($A72,Data_Template!$A$6:$BA$16,COLUMNS($A:W)+6,0))</f>
        <v/>
      </c>
      <c r="AD72" s="42" t="str">
        <f>IF(VLOOKUP($A72,Data_Template!$A$6:$BA$16,COLUMNS($A:X)+6,0)=0,"",VLOOKUP($A72,Data_Template!$A$6:$BA$16,COLUMNS($A:X)+6,0))</f>
        <v>["true"]</v>
      </c>
      <c r="AE72" s="42"/>
      <c r="AF72" s="42" t="str">
        <f>IF(VLOOKUP($A72,Data_Template!$A$6:$BA$16,COLUMNS($A:Z)+6,0)=0,"",VLOOKUP($A72,Data_Template!$A$6:$BA$16,COLUMNS($A:Z)+6,0))</f>
        <v/>
      </c>
      <c r="AG72" s="42" t="str">
        <f>IF(VLOOKUP($A72,Data_Template!$A$6:$BA$16,COLUMNS($A:AA)+6,0)=0,"",VLOOKUP($A72,Data_Template!$A$6:$BA$16,COLUMNS($A:AA)+6,0))</f>
        <v/>
      </c>
      <c r="AH72" s="42" t="str">
        <f>IF(VLOOKUP($A72,Data_Template!$A$6:$BA$16,COLUMNS($A:AB)+6,0)=0,"",VLOOKUP($A72,Data_Template!$A$6:$BA$16,COLUMNS($A:AB)+6,0))</f>
        <v/>
      </c>
      <c r="AI72" s="42" t="str">
        <f>IF(VLOOKUP($A72,Data_Template!$A$6:$BA$16,COLUMNS($A:AC)+6,0)=0,"",VLOOKUP($A72,Data_Template!$A$6:$BA$16,COLUMNS($A:AC)+6,0))</f>
        <v>x</v>
      </c>
      <c r="AJ72" s="42" t="str">
        <f>IF(VLOOKUP($A72,Data_Template!$A$6:$BA$16,COLUMNS($A:AD)+6,0)=0,"",VLOOKUP($A72,Data_Template!$A$6:$BA$16,COLUMNS($A:AD)+6,0))</f>
        <v/>
      </c>
      <c r="AK72" s="42" t="str">
        <f>IF(VLOOKUP($A72,Data_Template!$A$6:$BA$16,COLUMNS($A:AE)+6,0)=0,"",VLOOKUP($A72,Data_Template!$A$6:$BA$16,COLUMNS($A:AE)+6,0))</f>
        <v/>
      </c>
      <c r="AL72" s="42" t="str">
        <f>IF(VLOOKUP($A72,Data_Template!$A$6:$BA$16,COLUMNS($A:AF)+6,0)=0,"",VLOOKUP($A72,Data_Template!$A$6:$BA$16,COLUMNS($A:AF)+6,0))</f>
        <v/>
      </c>
      <c r="AM72" s="42" t="str">
        <f>IF(VLOOKUP($A72,Data_Template!$A$6:$BA$16,COLUMNS($A:AG)+6,0)=0,"",VLOOKUP($A72,Data_Template!$A$6:$BA$16,COLUMNS($A:AG)+6,0))</f>
        <v/>
      </c>
      <c r="AN72" s="42" t="str">
        <f>IF(VLOOKUP($A72,Data_Template!$A$6:$BA$16,COLUMNS($A:AH)+6,0)=0,"",VLOOKUP($A72,Data_Template!$A$6:$BA$16,COLUMNS($A:AH)+6,0))</f>
        <v/>
      </c>
      <c r="AO72" s="42" t="str">
        <f>IF(VLOOKUP($A72,Data_Template!$A$6:$BA$16,COLUMNS($A:AI)+6,0)=0,"",VLOOKUP($A72,Data_Template!$A$6:$BA$16,COLUMNS($A:AI)+6,0))</f>
        <v/>
      </c>
      <c r="AP72" s="42" t="str">
        <f>IF(VLOOKUP($A72,Data_Template!$A$6:$BA$16,COLUMNS($A:AJ)+6,0)=0,"",VLOOKUP($A72,Data_Template!$A$6:$BA$16,COLUMNS($A:AJ)+6,0))</f>
        <v/>
      </c>
      <c r="AQ72" s="42" t="str">
        <f>IF(VLOOKUP($A72,Data_Template!$A$6:$BA$16,COLUMNS($A:AK)+6,0)=0,"",VLOOKUP($A72,Data_Template!$A$6:$BA$16,COLUMNS($A:AK)+6,0))</f>
        <v/>
      </c>
      <c r="AR72" s="42" t="str">
        <f>IF(VLOOKUP($A72,Data_Template!$A$6:$BA$16,COLUMNS($A:AL)+6,0)=0,"",VLOOKUP($A72,Data_Template!$A$6:$BA$16,COLUMNS($A:AL)+6,0))</f>
        <v/>
      </c>
      <c r="AS72" s="42" t="str">
        <f>IF(VLOOKUP($A72,Data_Template!$A$6:$BA$16,COLUMNS($A:AM)+6,0)=0,"",VLOOKUP($A72,Data_Template!$A$6:$BA$16,COLUMNS($A:AM)+6,0))</f>
        <v/>
      </c>
      <c r="AT72" s="42" t="str">
        <f>IF(VLOOKUP($A72,Data_Template!$A$6:$BA$16,COLUMNS($A:AN)+6,0)=0,"",VLOOKUP($A72,Data_Template!$A$6:$BA$16,COLUMNS($A:AN)+6,0))</f>
        <v>x</v>
      </c>
      <c r="AU72" s="42" t="str">
        <f>IF(VLOOKUP($A72,Data_Template!$A$6:$BA$16,COLUMNS($A:AO)+6,0)=0,"",VLOOKUP($A72,Data_Template!$A$6:$BA$16,COLUMNS($A:AO)+6,0))</f>
        <v/>
      </c>
      <c r="AV72" s="42" t="str">
        <f>IF(VLOOKUP($A72,Data_Template!$A$6:$BA$16,COLUMNS($A:AP)+6,0)=0,"",VLOOKUP($A72,Data_Template!$A$6:$BA$16,COLUMNS($A:AP)+6,0))</f>
        <v/>
      </c>
      <c r="AW72" s="42" t="str">
        <f>IF(VLOOKUP($A72,Data_Template!$A$6:$BA$16,COLUMNS($A:AQ)+6,0)=0,"",VLOOKUP($A72,Data_Template!$A$6:$BA$16,COLUMNS($A:AQ)+6,0))</f>
        <v/>
      </c>
      <c r="AX72" s="42" t="str">
        <f>IF(VLOOKUP($A72,Data_Template!$A$6:$BA$16,COLUMNS($A:AR)+6,0)=0,"",VLOOKUP($A72,Data_Template!$A$6:$BA$16,COLUMNS($A:AR)+6,0))</f>
        <v/>
      </c>
      <c r="AY72" s="42" t="str">
        <f>IF(VLOOKUP($A72,Data_Template!$A$6:$BA$16,COLUMNS($A:AS)+6,0)=0,"",VLOOKUP($A72,Data_Template!$A$6:$BA$16,COLUMNS($A:AS)+6,0))</f>
        <v/>
      </c>
      <c r="AZ72" s="42" t="str">
        <f>IF(VLOOKUP($A72,Data_Template!$A$6:$BA$16,COLUMNS($A:AT)+6,0)=0,"",VLOOKUP($A72,Data_Template!$A$6:$BA$16,COLUMNS($A:AT)+6,0))</f>
        <v/>
      </c>
      <c r="BA72" s="42"/>
      <c r="BB72" s="50"/>
      <c r="BC72" s="42"/>
      <c r="BD72" s="42"/>
      <c r="BE72" s="42"/>
      <c r="BF72" s="42"/>
      <c r="BG72" s="42"/>
      <c r="BH72" s="42"/>
      <c r="BI72" s="42"/>
      <c r="BJ72" s="42"/>
      <c r="BL72" s="42"/>
      <c r="BM72" s="42"/>
      <c r="BN72" s="42"/>
      <c r="BO72" s="42"/>
      <c r="BP72" s="42"/>
      <c r="BQ72" s="42"/>
      <c r="BR72" s="42"/>
      <c r="BS72" s="42"/>
      <c r="BT72" s="42"/>
      <c r="BU72" s="42"/>
      <c r="BV72" s="42"/>
      <c r="BW72" s="42"/>
      <c r="BX72" s="42"/>
    </row>
    <row r="73" spans="1:76" s="51" customFormat="1" ht="51" x14ac:dyDescent="0.2">
      <c r="A73" s="246" t="str">
        <f>Classes!J10</f>
        <v>IFMA_C_31010003</v>
      </c>
      <c r="B73" s="246" t="str">
        <f>Classes!P10</f>
        <v>Geschossvolumen</v>
      </c>
      <c r="C73" s="37"/>
      <c r="D73" s="42" t="s">
        <v>884</v>
      </c>
      <c r="E73" s="41"/>
      <c r="G73" s="42" t="str">
        <f>IF(VLOOKUP($A73,Data_Template!$A$6:$BA$16,COLUMNS($A:A)+6,0)=0,"",VLOOKUP($A73,Data_Template!$A$6:$BA$16,COLUMNS($A:A)+6,0))</f>
        <v/>
      </c>
      <c r="H73" s="42" t="str">
        <f>IF(VLOOKUP($A73,Data_Template!$A$6:$BA$16,COLUMNS($A:B)+6,0)=0,"",VLOOKUP($A73,Data_Template!$A$6:$BA$16,COLUMNS($A:B)+6,0))</f>
        <v/>
      </c>
      <c r="I73" s="246" t="str">
        <f>IF(VLOOKUP($A73,Data_Template!$A$6:$BA$16,COLUMNS($A:C)+6,0)=0,"",VLOOKUP($A73,Data_Template!$A$6:$BA$16,COLUMNS($A:C)+6,0))</f>
        <v>["2_GF", "3_AGF", "5_GV", "ROOF_DACH", "2_SP", "3_SEP", "5_VB", "ROOF_TOIT", "2_SP", "3_SPE", "5_VE", "ROOF_TETTO"]</v>
      </c>
      <c r="J73" s="42" t="str">
        <f>IF(VLOOKUP($A73,Data_Template!$A$6:$BA$16,COLUMNS($A:D)+6,0)=0,"",VLOOKUP($A73,Data_Template!$A$6:$BA$16,COLUMNS($A:D)+6,0))</f>
        <v/>
      </c>
      <c r="K73" s="42" t="str">
        <f>IF(VLOOKUP($A73,Data_Template!$A$6:$BA$16,COLUMNS($A:E)+6,0)=0,"",VLOOKUP($A73,Data_Template!$A$6:$BA$16,COLUMNS($A:E)+6,0))</f>
        <v/>
      </c>
      <c r="L73" s="42" t="str">
        <f>IF(VLOOKUP($A73,Data_Template!$A$6:$BA$16,COLUMNS($A:F)+6,0)=0,"",VLOOKUP($A73,Data_Template!$A$6:$BA$16,COLUMNS($A:F)+6,0))</f>
        <v/>
      </c>
      <c r="M73" s="42"/>
      <c r="N73" s="42" t="str">
        <f>IF(VLOOKUP($A73,Data_Template!$A$6:$BA$16,COLUMNS($A:H)+6,0)=0,"",VLOOKUP($A73,Data_Template!$A$6:$BA$16,COLUMNS($A:H)+6,0))</f>
        <v/>
      </c>
      <c r="O73" s="42" t="str">
        <f>IF(VLOOKUP($A73,Data_Template!$A$6:$BA$16,COLUMNS($A:I)+6,0)=0,"",VLOOKUP($A73,Data_Template!$A$6:$BA$16,COLUMNS($A:I)+6,0))</f>
        <v/>
      </c>
      <c r="P73" s="42" t="str">
        <f>IF(VLOOKUP($A73,Data_Template!$A$6:$BA$16,COLUMNS($A:J)+6,0)=0,"",VLOOKUP($A73,Data_Template!$A$6:$BA$16,COLUMNS($A:J)+6,0))</f>
        <v/>
      </c>
      <c r="Q73" s="42" t="str">
        <f>IF(VLOOKUP($A73,Data_Template!$A$6:$BA$16,COLUMNS($A:K)+6,0)=0,"",VLOOKUP($A73,Data_Template!$A$6:$BA$16,COLUMNS($A:K)+6,0))</f>
        <v/>
      </c>
      <c r="R73" s="42" t="str">
        <f>IF(VLOOKUP($A73,Data_Template!$A$6:$BA$16,COLUMNS($A:L)+6,0)=0,"",VLOOKUP($A73,Data_Template!$A$6:$BA$16,COLUMNS($A:L)+6,0))</f>
        <v/>
      </c>
      <c r="S73" s="42" t="str">
        <f>IF(VLOOKUP($A73,Data_Template!$A$6:$BA$16,COLUMNS($A:M)+6,0)=0,"",VLOOKUP($A73,Data_Template!$A$6:$BA$16,COLUMNS($A:M)+6,0))</f>
        <v/>
      </c>
      <c r="T73" s="42" t="str">
        <f>IF(VLOOKUP($A73,Data_Template!$A$6:$BA$16,COLUMNS($A:N)+6,0)=0,"",VLOOKUP($A73,Data_Template!$A$6:$BA$16,COLUMNS($A:N)+6,0))</f>
        <v/>
      </c>
      <c r="U73" s="42" t="str">
        <f>IF(VLOOKUP($A73,Data_Template!$A$6:$BA$16,COLUMNS($A:O)+6,0)=0,"",VLOOKUP($A73,Data_Template!$A$6:$BA$16,COLUMNS($A:O)+6,0))</f>
        <v/>
      </c>
      <c r="V73" s="42" t="str">
        <f>IF(VLOOKUP($A73,Data_Template!$A$6:$BA$16,COLUMNS($A:P)+6,0)=0,"",VLOOKUP($A73,Data_Template!$A$6:$BA$16,COLUMNS($A:P)+6,0))</f>
        <v/>
      </c>
      <c r="W73" s="42" t="str">
        <f>IF(VLOOKUP($A73,Data_Template!$A$6:$BA$16,COLUMNS($A:Q)+6,0)=0,"",VLOOKUP($A73,Data_Template!$A$6:$BA$16,COLUMNS($A:Q)+6,0))</f>
        <v/>
      </c>
      <c r="X73" s="42" t="str">
        <f>IF(VLOOKUP($A73,Data_Template!$A$6:$BA$16,COLUMNS($A:R)+6,0)=0,"",VLOOKUP($A73,Data_Template!$A$6:$BA$16,COLUMNS($A:R)+6,0))</f>
        <v/>
      </c>
      <c r="Y73" s="42"/>
      <c r="Z73" s="42" t="str">
        <f>IF(VLOOKUP($A73,Data_Template!$A$6:$BA$16,COLUMNS($A:T)+6,0)=0,"",VLOOKUP($A73,Data_Template!$A$6:$BA$16,COLUMNS($A:T)+6,0))</f>
        <v/>
      </c>
      <c r="AA73" s="42" t="str">
        <f>IF(VLOOKUP($A73,Data_Template!$A$6:$BA$16,COLUMNS($A:U)+6,0)=0,"",VLOOKUP($A73,Data_Template!$A$6:$BA$16,COLUMNS($A:U)+6,0))</f>
        <v/>
      </c>
      <c r="AB73" s="42" t="str">
        <f>IF(VLOOKUP($A73,Data_Template!$A$6:$BA$16,COLUMNS($A:V)+6,0)=0,"",VLOOKUP($A73,Data_Template!$A$6:$BA$16,COLUMNS($A:V)+6,0))</f>
        <v/>
      </c>
      <c r="AC73" s="42" t="str">
        <f>IF(VLOOKUP($A73,Data_Template!$A$6:$BA$16,COLUMNS($A:W)+6,0)=0,"",VLOOKUP($A73,Data_Template!$A$6:$BA$16,COLUMNS($A:W)+6,0))</f>
        <v/>
      </c>
      <c r="AD73" s="42"/>
      <c r="AE73" s="42" t="str">
        <f>IF(VLOOKUP($A73,Data_Template!$A$6:$BA$16,COLUMNS($A:Y)+6,0)=0,"",VLOOKUP($A73,Data_Template!$A$6:$BA$16,COLUMNS($A:Y)+6,0))</f>
        <v/>
      </c>
      <c r="AF73" s="42" t="str">
        <f>IF(VLOOKUP($A73,Data_Template!$A$6:$BA$16,COLUMNS($A:Z)+6,0)=0,"",VLOOKUP($A73,Data_Template!$A$6:$BA$16,COLUMNS($A:Z)+6,0))</f>
        <v/>
      </c>
      <c r="AG73" s="42" t="str">
        <f>IF(VLOOKUP($A73,Data_Template!$A$6:$BA$16,COLUMNS($A:AA)+6,0)=0,"",VLOOKUP($A73,Data_Template!$A$6:$BA$16,COLUMNS($A:AA)+6,0))</f>
        <v/>
      </c>
      <c r="AH73" s="42" t="str">
        <f>IF(VLOOKUP($A73,Data_Template!$A$6:$BA$16,COLUMNS($A:AB)+6,0)=0,"",VLOOKUP($A73,Data_Template!$A$6:$BA$16,COLUMNS($A:AB)+6,0))</f>
        <v/>
      </c>
      <c r="AI73" s="42" t="str">
        <f>IF(VLOOKUP($A73,Data_Template!$A$6:$BA$16,COLUMNS($A:AC)+6,0)=0,"",VLOOKUP($A73,Data_Template!$A$6:$BA$16,COLUMNS($A:AC)+6,0))</f>
        <v/>
      </c>
      <c r="AJ73" s="42" t="str">
        <f>IF(VLOOKUP($A73,Data_Template!$A$6:$BA$16,COLUMNS($A:AD)+6,0)=0,"",VLOOKUP($A73,Data_Template!$A$6:$BA$16,COLUMNS($A:AD)+6,0))</f>
        <v/>
      </c>
      <c r="AK73" s="42" t="str">
        <f>IF(VLOOKUP($A73,Data_Template!$A$6:$BA$16,COLUMNS($A:AE)+6,0)=0,"",VLOOKUP($A73,Data_Template!$A$6:$BA$16,COLUMNS($A:AE)+6,0))</f>
        <v/>
      </c>
      <c r="AL73" s="42" t="str">
        <f>IF(VLOOKUP($A73,Data_Template!$A$6:$BA$16,COLUMNS($A:AF)+6,0)=0,"",VLOOKUP($A73,Data_Template!$A$6:$BA$16,COLUMNS($A:AF)+6,0))</f>
        <v/>
      </c>
      <c r="AM73" s="42" t="str">
        <f>IF(VLOOKUP($A73,Data_Template!$A$6:$BA$16,COLUMNS($A:AG)+6,0)=0,"",VLOOKUP($A73,Data_Template!$A$6:$BA$16,COLUMNS($A:AG)+6,0))</f>
        <v/>
      </c>
      <c r="AN73" s="42" t="str">
        <f>IF(VLOOKUP($A73,Data_Template!$A$6:$BA$16,COLUMNS($A:AH)+6,0)=0,"",VLOOKUP($A73,Data_Template!$A$6:$BA$16,COLUMNS($A:AH)+6,0))</f>
        <v/>
      </c>
      <c r="AO73" s="42" t="str">
        <f>IF(VLOOKUP($A73,Data_Template!$A$6:$BA$16,COLUMNS($A:AI)+6,0)=0,"",VLOOKUP($A73,Data_Template!$A$6:$BA$16,COLUMNS($A:AI)+6,0))</f>
        <v/>
      </c>
      <c r="AP73" s="42" t="str">
        <f>IF(VLOOKUP($A73,Data_Template!$A$6:$BA$16,COLUMNS($A:AJ)+6,0)=0,"",VLOOKUP($A73,Data_Template!$A$6:$BA$16,COLUMNS($A:AJ)+6,0))</f>
        <v/>
      </c>
      <c r="AQ73" s="42" t="str">
        <f>IF(VLOOKUP($A73,Data_Template!$A$6:$BA$16,COLUMNS($A:AK)+6,0)=0,"",VLOOKUP($A73,Data_Template!$A$6:$BA$16,COLUMNS($A:AK)+6,0))</f>
        <v/>
      </c>
      <c r="AR73" s="42" t="str">
        <f>IF(VLOOKUP($A73,Data_Template!$A$6:$BA$16,COLUMNS($A:AL)+6,0)=0,"",VLOOKUP($A73,Data_Template!$A$6:$BA$16,COLUMNS($A:AL)+6,0))</f>
        <v/>
      </c>
      <c r="AS73" s="42" t="str">
        <f>IF(VLOOKUP($A73,Data_Template!$A$6:$BA$16,COLUMNS($A:AM)+6,0)=0,"",VLOOKUP($A73,Data_Template!$A$6:$BA$16,COLUMNS($A:AM)+6,0))</f>
        <v/>
      </c>
      <c r="AT73" s="42" t="str">
        <f>IF(VLOOKUP($A73,Data_Template!$A$6:$BA$16,COLUMNS($A:AN)+6,0)=0,"",VLOOKUP($A73,Data_Template!$A$6:$BA$16,COLUMNS($A:AN)+6,0))</f>
        <v>x</v>
      </c>
      <c r="AU73" s="42" t="str">
        <f>IF(VLOOKUP($A73,Data_Template!$A$6:$BA$16,COLUMNS($A:AO)+6,0)=0,"",VLOOKUP($A73,Data_Template!$A$6:$BA$16,COLUMNS($A:AO)+6,0))</f>
        <v>x</v>
      </c>
      <c r="AV73" s="42" t="str">
        <f>IF(VLOOKUP($A73,Data_Template!$A$6:$BA$16,COLUMNS($A:AP)+6,0)=0,"",VLOOKUP($A73,Data_Template!$A$6:$BA$16,COLUMNS($A:AP)+6,0))</f>
        <v/>
      </c>
      <c r="AW73" s="42" t="str">
        <f>IF(VLOOKUP($A73,Data_Template!$A$6:$BA$16,COLUMNS($A:AQ)+6,0)=0,"",VLOOKUP($A73,Data_Template!$A$6:$BA$16,COLUMNS($A:AQ)+6,0))</f>
        <v/>
      </c>
      <c r="AX73" s="42" t="str">
        <f>IF(VLOOKUP($A73,Data_Template!$A$6:$BA$16,COLUMNS($A:AR)+6,0)=0,"",VLOOKUP($A73,Data_Template!$A$6:$BA$16,COLUMNS($A:AR)+6,0))</f>
        <v/>
      </c>
      <c r="AY73" s="42" t="str">
        <f>IF(VLOOKUP($A73,Data_Template!$A$6:$BA$16,COLUMNS($A:AS)+6,0)=0,"",VLOOKUP($A73,Data_Template!$A$6:$BA$16,COLUMNS($A:AS)+6,0))</f>
        <v>x</v>
      </c>
      <c r="AZ73" s="42"/>
      <c r="BA73" s="42"/>
      <c r="BB73" s="50"/>
      <c r="BC73" s="42"/>
      <c r="BD73" s="42"/>
      <c r="BE73" s="42"/>
      <c r="BF73" s="42"/>
      <c r="BG73" s="42"/>
      <c r="BH73" s="42"/>
      <c r="BI73" s="42"/>
      <c r="BJ73" s="42"/>
      <c r="BL73" s="42"/>
      <c r="BM73" s="42"/>
      <c r="BN73" s="42"/>
      <c r="BO73" s="42"/>
      <c r="BP73" s="42"/>
      <c r="BQ73" s="42"/>
      <c r="BR73" s="42"/>
      <c r="BS73" s="42"/>
      <c r="BT73" s="42"/>
      <c r="BU73" s="42"/>
      <c r="BV73" s="42"/>
      <c r="BW73" s="42"/>
      <c r="BX73" s="42"/>
    </row>
    <row r="74" spans="1:76" s="51" customFormat="1" ht="89.25" x14ac:dyDescent="0.2">
      <c r="A74" s="246" t="str">
        <f>Classes!J11</f>
        <v>IFMA_C_31010004</v>
      </c>
      <c r="B74" s="246" t="str">
        <f>Classes!P11</f>
        <v>Innenraum</v>
      </c>
      <c r="C74" s="37"/>
      <c r="D74" s="42" t="s">
        <v>884</v>
      </c>
      <c r="E74" s="41"/>
      <c r="G74" s="246" t="str">
        <f>IF(VLOOKUP($A74,Data_Template!$A$6:$BA$16,COLUMNS($A:A)+6,0)=0,"",VLOOKUP($A74,Data_Template!$A$6:$BA$16,COLUMNS($A:A)+6,0))</f>
        <v>x</v>
      </c>
      <c r="H74" s="42" t="str">
        <f>IF(VLOOKUP($A74,Data_Template!$A$6:$BA$16,COLUMNS($A:B)+6,0)=0,"",VLOOKUP($A74,Data_Template!$A$6:$BA$16,COLUMNS($A:B)+6,0))</f>
        <v>x</v>
      </c>
      <c r="I74" s="42" t="str">
        <f>IF(VLOOKUP($A74,Data_Template!$A$6:$BA$16,COLUMNS($A:C)+6,0)=0,"",VLOOKUP($A74,Data_Template!$A$6:$BA$16,COLUMNS($A:C)+6,0))</f>
        <v>["2.1.1_NF", "2.1.1.1_HNF", "2.1.1.2_NNF", "2.1.2_VF", "2.1.3_FF", "2.1.1_SU", "2.1.1.1_SUP", "2.1.1.2_SUS", "2.1.2_SD", "2.1.3_SI", "2.1.1_SU", "2.1.1.1_SUP", "2.1.1.2_SUS", "2.1.2_SCIR", "2.1.3_SI"]</v>
      </c>
      <c r="J74" s="42" t="str">
        <f>IF(VLOOKUP($A74,Data_Template!$A$6:$BA$16,COLUMNS($A:D)+6,0)=0,"",VLOOKUP($A74,Data_Template!$A$6:$BA$16,COLUMNS($A:D)+6,0))</f>
        <v>["HNF1", "HNF2", "HNF3", "HNF4", "HNF5", "HNF6", "NNF7", "FF8", "VF9", "SUP1", "SUP2", "SUP3", "SUP4", "SUP5", "SUP6", "SUS7", "SI8", "SD9", "SUP1", "SUP2", "SUP3", "SUP4", "SUP5", "SUP6", "SUS7", "SI8", "SCIR9"]</v>
      </c>
      <c r="K74" s="42" t="str">
        <f>IF(VLOOKUP($A74,Data_Template!$A$6:$BA$16,COLUMNS($A:E)+6,0)=0,"",VLOOKUP($A74,Data_Template!$A$6:$BA$16,COLUMNS($A:E)+6,0))</f>
        <v>x</v>
      </c>
      <c r="L74" s="42" t="str">
        <f>IF(VLOOKUP($A74,Data_Template!$A$6:$BA$16,COLUMNS($A:F)+6,0)=0,"",VLOOKUP($A74,Data_Template!$A$6:$BA$16,COLUMNS($A:F)+6,0))</f>
        <v>x</v>
      </c>
      <c r="M74" s="42" t="str">
        <f>IF(VLOOKUP($A74,Data_Template!$A$6:$BA$16,COLUMNS($A:G)+6,0)=0,"",VLOOKUP($A74,Data_Template!$A$6:$BA$16,COLUMNS($A:G)+6,0))</f>
        <v>x</v>
      </c>
      <c r="N74" s="42" t="str">
        <f>IF(VLOOKUP($A74,Data_Template!$A$6:$BA$16,COLUMNS($A:H)+6,0)=0,"",VLOOKUP($A74,Data_Template!$A$6:$BA$16,COLUMNS($A:H)+6,0))</f>
        <v>x</v>
      </c>
      <c r="O74" s="42" t="str">
        <f>IF(VLOOKUP($A74,Data_Template!$A$6:$BA$16,COLUMNS($A:I)+6,0)=0,"",VLOOKUP($A74,Data_Template!$A$6:$BA$16,COLUMNS($A:I)+6,0))</f>
        <v/>
      </c>
      <c r="P74" s="42" t="str">
        <f>IF(VLOOKUP($A74,Data_Template!$A$6:$BA$16,COLUMNS($A:J)+6,0)=0,"",VLOOKUP($A74,Data_Template!$A$6:$BA$16,COLUMNS($A:J)+6,0))</f>
        <v>x</v>
      </c>
      <c r="Q74" s="42" t="str">
        <f>IF(VLOOKUP($A74,Data_Template!$A$6:$BA$16,COLUMNS($A:K)+6,0)=0,"",VLOOKUP($A74,Data_Template!$A$6:$BA$16,COLUMNS($A:K)+6,0))</f>
        <v>x</v>
      </c>
      <c r="R74" s="42" t="str">
        <f>IF(VLOOKUP($A74,Data_Template!$A$6:$BA$16,COLUMNS($A:L)+6,0)=0,"",VLOOKUP($A74,Data_Template!$A$6:$BA$16,COLUMNS($A:L)+6,0))</f>
        <v>x</v>
      </c>
      <c r="S74" s="42" t="str">
        <f>IF(VLOOKUP($A74,Data_Template!$A$6:$BA$16,COLUMNS($A:M)+6,0)=0,"",VLOOKUP($A74,Data_Template!$A$6:$BA$16,COLUMNS($A:M)+6,0))</f>
        <v>x</v>
      </c>
      <c r="T74" s="42" t="str">
        <f>IF(VLOOKUP($A74,Data_Template!$A$6:$BA$16,COLUMNS($A:N)+6,0)=0,"",VLOOKUP($A74,Data_Template!$A$6:$BA$16,COLUMNS($A:N)+6,0))</f>
        <v>x</v>
      </c>
      <c r="U74" s="42" t="str">
        <f>IF(VLOOKUP($A74,Data_Template!$A$6:$BA$16,COLUMNS($A:O)+6,0)=0,"",VLOOKUP($A74,Data_Template!$A$6:$BA$16,COLUMNS($A:O)+6,0))</f>
        <v>x</v>
      </c>
      <c r="V74" s="42"/>
      <c r="W74" s="42" t="str">
        <f>IF(VLOOKUP($A74,Data_Template!$A$6:$BA$16,COLUMNS($A:Q)+6,0)=0,"",VLOOKUP($A74,Data_Template!$A$6:$BA$16,COLUMNS($A:Q)+6,0))</f>
        <v>x</v>
      </c>
      <c r="X74" s="42" t="str">
        <f>IF(VLOOKUP($A74,Data_Template!$A$6:$BA$16,COLUMNS($A:R)+6,0)=0,"",VLOOKUP($A74,Data_Template!$A$6:$BA$16,COLUMNS($A:R)+6,0))</f>
        <v>x</v>
      </c>
      <c r="Y74" s="42"/>
      <c r="Z74" s="42" t="str">
        <f>IF(VLOOKUP($A74,Data_Template!$A$6:$BA$16,COLUMNS($A:T)+6,0)=0,"",VLOOKUP($A74,Data_Template!$A$6:$BA$16,COLUMNS($A:T)+6,0))</f>
        <v>x</v>
      </c>
      <c r="AA74" s="42" t="str">
        <f>IF(VLOOKUP($A74,Data_Template!$A$6:$BA$16,COLUMNS($A:U)+6,0)=0,"",VLOOKUP($A74,Data_Template!$A$6:$BA$16,COLUMNS($A:U)+6,0))</f>
        <v>x</v>
      </c>
      <c r="AB74" s="42" t="str">
        <f>IF(VLOOKUP($A74,Data_Template!$A$6:$BA$16,COLUMNS($A:V)+6,0)=0,"",VLOOKUP($A74,Data_Template!$A$6:$BA$16,COLUMNS($A:V)+6,0))</f>
        <v>x</v>
      </c>
      <c r="AC74" s="42"/>
      <c r="AD74" s="42" t="str">
        <f>IF(VLOOKUP($A74,Data_Template!$A$6:$BA$16,COLUMNS($A:X)+6,0)=0,"",VLOOKUP($A74,Data_Template!$A$6:$BA$16,COLUMNS($A:X)+6,0))</f>
        <v>["false"]</v>
      </c>
      <c r="AE74" s="42"/>
      <c r="AF74" s="42" t="str">
        <f>IF(VLOOKUP($A74,Data_Template!$A$6:$BA$16,COLUMNS($A:Z)+6,0)=0,"",VLOOKUP($A74,Data_Template!$A$6:$BA$16,COLUMNS($A:Z)+6,0))</f>
        <v>x</v>
      </c>
      <c r="AG74" s="42" t="str">
        <f>IF(VLOOKUP($A74,Data_Template!$A$6:$BA$16,COLUMNS($A:AA)+6,0)=0,"",VLOOKUP($A74,Data_Template!$A$6:$BA$16,COLUMNS($A:AA)+6,0))</f>
        <v>x</v>
      </c>
      <c r="AH74" s="42"/>
      <c r="AI74" s="42" t="str">
        <f>IF(VLOOKUP($A74,Data_Template!$A$6:$BA$16,COLUMNS($A:AC)+6,0)=0,"",VLOOKUP($A74,Data_Template!$A$6:$BA$16,COLUMNS($A:AC)+6,0))</f>
        <v>x</v>
      </c>
      <c r="AJ74" s="42" t="str">
        <f>IF(VLOOKUP($A74,Data_Template!$A$6:$BA$16,COLUMNS($A:AD)+6,0)=0,"",VLOOKUP($A74,Data_Template!$A$6:$BA$16,COLUMNS($A:AD)+6,0))</f>
        <v>x</v>
      </c>
      <c r="AK74" s="42" t="str">
        <f>IF(VLOOKUP($A74,Data_Template!$A$6:$BA$16,COLUMNS($A:AE)+6,0)=0,"",VLOOKUP($A74,Data_Template!$A$6:$BA$16,COLUMNS($A:AE)+6,0))</f>
        <v>x</v>
      </c>
      <c r="AL74" s="42" t="str">
        <f>IF(VLOOKUP($A74,Data_Template!$A$6:$BA$16,COLUMNS($A:AF)+6,0)=0,"",VLOOKUP($A74,Data_Template!$A$6:$BA$16,COLUMNS($A:AF)+6,0))</f>
        <v>x</v>
      </c>
      <c r="AM74" s="42" t="str">
        <f>IF(VLOOKUP($A74,Data_Template!$A$6:$BA$16,COLUMNS($A:AG)+6,0)=0,"",VLOOKUP($A74,Data_Template!$A$6:$BA$16,COLUMNS($A:AG)+6,0))</f>
        <v>x</v>
      </c>
      <c r="AN74" s="42" t="str">
        <f>IF(VLOOKUP($A74,Data_Template!$A$6:$BA$16,COLUMNS($A:AH)+6,0)=0,"",VLOOKUP($A74,Data_Template!$A$6:$BA$16,COLUMNS($A:AH)+6,0))</f>
        <v>x</v>
      </c>
      <c r="AO74" s="42" t="str">
        <f>IF(VLOOKUP($A74,Data_Template!$A$6:$BA$16,COLUMNS($A:AI)+6,0)=0,"",VLOOKUP($A74,Data_Template!$A$6:$BA$16,COLUMNS($A:AI)+6,0))</f>
        <v>x</v>
      </c>
      <c r="AP74" s="42" t="str">
        <f>IF(VLOOKUP($A74,Data_Template!$A$6:$BA$16,COLUMNS($A:AJ)+6,0)=0,"",VLOOKUP($A74,Data_Template!$A$6:$BA$16,COLUMNS($A:AJ)+6,0))</f>
        <v>x</v>
      </c>
      <c r="AQ74" s="42" t="str">
        <f>IF(VLOOKUP($A74,Data_Template!$A$6:$BA$16,COLUMNS($A:AK)+6,0)=0,"",VLOOKUP($A74,Data_Template!$A$6:$BA$16,COLUMNS($A:AK)+6,0))</f>
        <v>x</v>
      </c>
      <c r="AR74" s="42" t="str">
        <f>IF(VLOOKUP($A74,Data_Template!$A$6:$BA$16,COLUMNS($A:AL)+6,0)=0,"",VLOOKUP($A74,Data_Template!$A$6:$BA$16,COLUMNS($A:AL)+6,0))</f>
        <v>x</v>
      </c>
      <c r="AS74" s="42" t="str">
        <f>IF(VLOOKUP($A74,Data_Template!$A$6:$BA$16,COLUMNS($A:AM)+6,0)=0,"",VLOOKUP($A74,Data_Template!$A$6:$BA$16,COLUMNS($A:AM)+6,0))</f>
        <v>x</v>
      </c>
      <c r="AT74" s="42" t="str">
        <f>IF(VLOOKUP($A74,Data_Template!$A$6:$BA$16,COLUMNS($A:AN)+6,0)=0,"",VLOOKUP($A74,Data_Template!$A$6:$BA$16,COLUMNS($A:AN)+6,0))</f>
        <v/>
      </c>
      <c r="AU74" s="42" t="str">
        <f>IF(VLOOKUP($A74,Data_Template!$A$6:$BA$16,COLUMNS($A:AO)+6,0)=0,"",VLOOKUP($A74,Data_Template!$A$6:$BA$16,COLUMNS($A:AO)+6,0))</f>
        <v/>
      </c>
      <c r="AV74" s="42" t="str">
        <f>IF(VLOOKUP($A74,Data_Template!$A$6:$BA$16,COLUMNS($A:AP)+6,0)=0,"",VLOOKUP($A74,Data_Template!$A$6:$BA$16,COLUMNS($A:AP)+6,0))</f>
        <v>x</v>
      </c>
      <c r="AW74" s="42" t="str">
        <f>IF(VLOOKUP($A74,Data_Template!$A$6:$BA$16,COLUMNS($A:AQ)+6,0)=0,"",VLOOKUP($A74,Data_Template!$A$6:$BA$16,COLUMNS($A:AQ)+6,0))</f>
        <v>x</v>
      </c>
      <c r="AX74" s="42" t="str">
        <f>IF(VLOOKUP($A74,Data_Template!$A$6:$BA$16,COLUMNS($A:AR)+6,0)=0,"",VLOOKUP($A74,Data_Template!$A$6:$BA$16,COLUMNS($A:AR)+6,0))</f>
        <v>x</v>
      </c>
      <c r="AY74" s="42" t="str">
        <f>IF(VLOOKUP($A74,Data_Template!$A$6:$BA$16,COLUMNS($A:AS)+6,0)=0,"",VLOOKUP($A74,Data_Template!$A$6:$BA$16,COLUMNS($A:AS)+6,0))</f>
        <v>x</v>
      </c>
      <c r="AZ74" s="42"/>
      <c r="BA74" s="42"/>
      <c r="BB74" s="50"/>
      <c r="BC74" s="42"/>
      <c r="BD74" s="42"/>
      <c r="BE74" s="42"/>
      <c r="BF74" s="42"/>
      <c r="BG74" s="42"/>
      <c r="BH74" s="42"/>
      <c r="BI74" s="42"/>
      <c r="BJ74" s="42"/>
      <c r="BL74" s="42"/>
      <c r="BM74" s="42"/>
      <c r="BN74" s="42"/>
      <c r="BO74" s="42"/>
      <c r="BP74" s="42"/>
      <c r="BQ74" s="42"/>
      <c r="BR74" s="42"/>
      <c r="BS74" s="42"/>
      <c r="BT74" s="42"/>
      <c r="BU74" s="42"/>
      <c r="BV74" s="42"/>
      <c r="BW74" s="42"/>
      <c r="BX74" s="42"/>
    </row>
    <row r="75" spans="1:76" s="51" customFormat="1" ht="63.75" x14ac:dyDescent="0.2">
      <c r="A75" s="246" t="str">
        <f>Classes!J12</f>
        <v>IFMA_C_31010005</v>
      </c>
      <c r="B75" s="246" t="str">
        <f>Classes!P12</f>
        <v>Aussenraum</v>
      </c>
      <c r="C75" s="37"/>
      <c r="D75" s="42" t="s">
        <v>884</v>
      </c>
      <c r="E75" s="41"/>
      <c r="G75" s="42" t="str">
        <f>IF(VLOOKUP($A75,Data_Template!$A$6:$BA$16,COLUMNS($A:A)+6,0)=0,"",VLOOKUP($A75,Data_Template!$A$6:$BA$16,COLUMNS($A:A)+6,0))</f>
        <v>x</v>
      </c>
      <c r="H75" s="42" t="str">
        <f>IF(VLOOKUP($A75,Data_Template!$A$6:$BA$16,COLUMNS($A:B)+6,0)=0,"",VLOOKUP($A75,Data_Template!$A$6:$BA$16,COLUMNS($A:B)+6,0))</f>
        <v>x</v>
      </c>
      <c r="I75" s="246" t="str">
        <f>IF(VLOOKUP($A75,Data_Template!$A$6:$BA$16,COLUMNS($A:C)+6,0)=0,"",VLOOKUP($A75,Data_Template!$A$6:$BA$16,COLUMNS($A:C)+6,0))</f>
        <v>["3.1_ANGF", "3.1.1_ANF", "3.1.2_AVF", "3.1.3_AFF", "3.1_SEN", "3.1.1_SEU", "3.1.2_SED", "3.1.3_SEI", "3.1_SNE", "3.1.1_SUE", "3.1.2_SCIRE", "3.1.3_SIE"]</v>
      </c>
      <c r="J75" s="42" t="str">
        <f>IF(VLOOKUP($A75,Data_Template!$A$6:$BA$16,COLUMNS($A:D)+6,0)=0,"",VLOOKUP($A75,Data_Template!$A$6:$BA$16,COLUMNS($A:D)+6,0))</f>
        <v/>
      </c>
      <c r="K75" s="42" t="str">
        <f>IF(VLOOKUP($A75,Data_Template!$A$6:$BA$16,COLUMNS($A:E)+6,0)=0,"",VLOOKUP($A75,Data_Template!$A$6:$BA$16,COLUMNS($A:E)+6,0))</f>
        <v/>
      </c>
      <c r="L75" s="42" t="str">
        <f>IF(VLOOKUP($A75,Data_Template!$A$6:$BA$16,COLUMNS($A:F)+6,0)=0,"",VLOOKUP($A75,Data_Template!$A$6:$BA$16,COLUMNS($A:F)+6,0))</f>
        <v/>
      </c>
      <c r="M75" s="42" t="str">
        <f>IF(VLOOKUP($A75,Data_Template!$A$6:$BA$16,COLUMNS($A:G)+6,0)=0,"",VLOOKUP($A75,Data_Template!$A$6:$BA$16,COLUMNS($A:G)+6,0))</f>
        <v>x</v>
      </c>
      <c r="N75" s="42" t="str">
        <f>IF(VLOOKUP($A75,Data_Template!$A$6:$BA$16,COLUMNS($A:H)+6,0)=0,"",VLOOKUP($A75,Data_Template!$A$6:$BA$16,COLUMNS($A:H)+6,0))</f>
        <v>x</v>
      </c>
      <c r="O75" s="42" t="str">
        <f>IF(VLOOKUP($A75,Data_Template!$A$6:$BA$16,COLUMNS($A:I)+6,0)=0,"",VLOOKUP($A75,Data_Template!$A$6:$BA$16,COLUMNS($A:I)+6,0))</f>
        <v/>
      </c>
      <c r="P75" s="42" t="str">
        <f>IF(VLOOKUP($A75,Data_Template!$A$6:$BA$16,COLUMNS($A:J)+6,0)=0,"",VLOOKUP($A75,Data_Template!$A$6:$BA$16,COLUMNS($A:J)+6,0))</f>
        <v>x</v>
      </c>
      <c r="Q75" s="42" t="str">
        <f>IF(VLOOKUP($A75,Data_Template!$A$6:$BA$16,COLUMNS($A:K)+6,0)=0,"",VLOOKUP($A75,Data_Template!$A$6:$BA$16,COLUMNS($A:K)+6,0))</f>
        <v>x</v>
      </c>
      <c r="R75" s="42" t="str">
        <f>IF(VLOOKUP($A75,Data_Template!$A$6:$BA$16,COLUMNS($A:L)+6,0)=0,"",VLOOKUP($A75,Data_Template!$A$6:$BA$16,COLUMNS($A:L)+6,0))</f>
        <v/>
      </c>
      <c r="S75" s="42" t="str">
        <f>IF(VLOOKUP($A75,Data_Template!$A$6:$BA$16,COLUMNS($A:M)+6,0)=0,"",VLOOKUP($A75,Data_Template!$A$6:$BA$16,COLUMNS($A:M)+6,0))</f>
        <v/>
      </c>
      <c r="T75" s="42" t="str">
        <f>IF(VLOOKUP($A75,Data_Template!$A$6:$BA$16,COLUMNS($A:N)+6,0)=0,"",VLOOKUP($A75,Data_Template!$A$6:$BA$16,COLUMNS($A:N)+6,0))</f>
        <v/>
      </c>
      <c r="U75" s="42" t="str">
        <f>IF(VLOOKUP($A75,Data_Template!$A$6:$BA$16,COLUMNS($A:O)+6,0)=0,"",VLOOKUP($A75,Data_Template!$A$6:$BA$16,COLUMNS($A:O)+6,0))</f>
        <v/>
      </c>
      <c r="V75" s="42" t="str">
        <f>IF(VLOOKUP($A75,Data_Template!$A$6:$BA$16,COLUMNS($A:P)+6,0)=0,"",VLOOKUP($A75,Data_Template!$A$6:$BA$16,COLUMNS($A:P)+6,0))</f>
        <v/>
      </c>
      <c r="W75" s="42" t="str">
        <f>IF(VLOOKUP($A75,Data_Template!$A$6:$BA$16,COLUMNS($A:Q)+6,0)=0,"",VLOOKUP($A75,Data_Template!$A$6:$BA$16,COLUMNS($A:Q)+6,0))</f>
        <v/>
      </c>
      <c r="X75" s="42" t="str">
        <f>IF(VLOOKUP($A75,Data_Template!$A$6:$BA$16,COLUMNS($A:R)+6,0)=0,"",VLOOKUP($A75,Data_Template!$A$6:$BA$16,COLUMNS($A:R)+6,0))</f>
        <v/>
      </c>
      <c r="Y75" s="42"/>
      <c r="Z75" s="42" t="str">
        <f>IF(VLOOKUP($A75,Data_Template!$A$6:$BA$16,COLUMNS($A:T)+6,0)=0,"",VLOOKUP($A75,Data_Template!$A$6:$BA$16,COLUMNS($A:T)+6,0))</f>
        <v/>
      </c>
      <c r="AA75" s="42" t="str">
        <f>IF(VLOOKUP($A75,Data_Template!$A$6:$BA$16,COLUMNS($A:U)+6,0)=0,"",VLOOKUP($A75,Data_Template!$A$6:$BA$16,COLUMNS($A:U)+6,0))</f>
        <v/>
      </c>
      <c r="AB75" s="42" t="str">
        <f>IF(VLOOKUP($A75,Data_Template!$A$6:$BA$16,COLUMNS($A:V)+6,0)=0,"",VLOOKUP($A75,Data_Template!$A$6:$BA$16,COLUMNS($A:V)+6,0))</f>
        <v/>
      </c>
      <c r="AC75" s="42"/>
      <c r="AD75" s="42" t="str">
        <f>IF(VLOOKUP($A75,Data_Template!$A$6:$BA$16,COLUMNS($A:X)+6,0)=0,"",VLOOKUP($A75,Data_Template!$A$6:$BA$16,COLUMNS($A:X)+6,0))</f>
        <v>["true"]</v>
      </c>
      <c r="AE75" s="42"/>
      <c r="AF75" s="42" t="str">
        <f>IF(VLOOKUP($A75,Data_Template!$A$6:$BA$16,COLUMNS($A:Z)+6,0)=0,"",VLOOKUP($A75,Data_Template!$A$6:$BA$16,COLUMNS($A:Z)+6,0))</f>
        <v/>
      </c>
      <c r="AG75" s="42" t="str">
        <f>IF(VLOOKUP($A75,Data_Template!$A$6:$BA$16,COLUMNS($A:AA)+6,0)=0,"",VLOOKUP($A75,Data_Template!$A$6:$BA$16,COLUMNS($A:AA)+6,0))</f>
        <v>x</v>
      </c>
      <c r="AH75" s="42"/>
      <c r="AI75" s="42" t="str">
        <f>IF(VLOOKUP($A75,Data_Template!$A$6:$BA$16,COLUMNS($A:AC)+6,0)=0,"",VLOOKUP($A75,Data_Template!$A$6:$BA$16,COLUMNS($A:AC)+6,0))</f>
        <v>x</v>
      </c>
      <c r="AJ75" s="42" t="str">
        <f>IF(VLOOKUP($A75,Data_Template!$A$6:$BA$16,COLUMNS($A:AD)+6,0)=0,"",VLOOKUP($A75,Data_Template!$A$6:$BA$16,COLUMNS($A:AD)+6,0))</f>
        <v/>
      </c>
      <c r="AK75" s="42" t="str">
        <f>IF(VLOOKUP($A75,Data_Template!$A$6:$BA$16,COLUMNS($A:AE)+6,0)=0,"",VLOOKUP($A75,Data_Template!$A$6:$BA$16,COLUMNS($A:AE)+6,0))</f>
        <v/>
      </c>
      <c r="AL75" s="42" t="str">
        <f>IF(VLOOKUP($A75,Data_Template!$A$6:$BA$16,COLUMNS($A:AF)+6,0)=0,"",VLOOKUP($A75,Data_Template!$A$6:$BA$16,COLUMNS($A:AF)+6,0))</f>
        <v/>
      </c>
      <c r="AM75" s="42" t="str">
        <f>IF(VLOOKUP($A75,Data_Template!$A$6:$BA$16,COLUMNS($A:AG)+6,0)=0,"",VLOOKUP($A75,Data_Template!$A$6:$BA$16,COLUMNS($A:AG)+6,0))</f>
        <v/>
      </c>
      <c r="AN75" s="42" t="str">
        <f>IF(VLOOKUP($A75,Data_Template!$A$6:$BA$16,COLUMNS($A:AH)+6,0)=0,"",VLOOKUP($A75,Data_Template!$A$6:$BA$16,COLUMNS($A:AH)+6,0))</f>
        <v/>
      </c>
      <c r="AO75" s="42" t="str">
        <f>IF(VLOOKUP($A75,Data_Template!$A$6:$BA$16,COLUMNS($A:AI)+6,0)=0,"",VLOOKUP($A75,Data_Template!$A$6:$BA$16,COLUMNS($A:AI)+6,0))</f>
        <v/>
      </c>
      <c r="AP75" s="42" t="str">
        <f>IF(VLOOKUP($A75,Data_Template!$A$6:$BA$16,COLUMNS($A:AJ)+6,0)=0,"",VLOOKUP($A75,Data_Template!$A$6:$BA$16,COLUMNS($A:AJ)+6,0))</f>
        <v/>
      </c>
      <c r="AQ75" s="42" t="str">
        <f>IF(VLOOKUP($A75,Data_Template!$A$6:$BA$16,COLUMNS($A:AK)+6,0)=0,"",VLOOKUP($A75,Data_Template!$A$6:$BA$16,COLUMNS($A:AK)+6,0))</f>
        <v/>
      </c>
      <c r="AR75" s="42" t="str">
        <f>IF(VLOOKUP($A75,Data_Template!$A$6:$BA$16,COLUMNS($A:AL)+6,0)=0,"",VLOOKUP($A75,Data_Template!$A$6:$BA$16,COLUMNS($A:AL)+6,0))</f>
        <v/>
      </c>
      <c r="AS75" s="42" t="str">
        <f>IF(VLOOKUP($A75,Data_Template!$A$6:$BA$16,COLUMNS($A:AM)+6,0)=0,"",VLOOKUP($A75,Data_Template!$A$6:$BA$16,COLUMNS($A:AM)+6,0))</f>
        <v/>
      </c>
      <c r="AT75" s="42" t="str">
        <f>IF(VLOOKUP($A75,Data_Template!$A$6:$BA$16,COLUMNS($A:AN)+6,0)=0,"",VLOOKUP($A75,Data_Template!$A$6:$BA$16,COLUMNS($A:AN)+6,0))</f>
        <v/>
      </c>
      <c r="AU75" s="42" t="str">
        <f>IF(VLOOKUP($A75,Data_Template!$A$6:$BA$16,COLUMNS($A:AO)+6,0)=0,"",VLOOKUP($A75,Data_Template!$A$6:$BA$16,COLUMNS($A:AO)+6,0))</f>
        <v/>
      </c>
      <c r="AV75" s="42" t="str">
        <f>IF(VLOOKUP($A75,Data_Template!$A$6:$BA$16,COLUMNS($A:AP)+6,0)=0,"",VLOOKUP($A75,Data_Template!$A$6:$BA$16,COLUMNS($A:AP)+6,0))</f>
        <v>x</v>
      </c>
      <c r="AW75" s="42" t="str">
        <f>IF(VLOOKUP($A75,Data_Template!$A$6:$BA$16,COLUMNS($A:AQ)+6,0)=0,"",VLOOKUP($A75,Data_Template!$A$6:$BA$16,COLUMNS($A:AQ)+6,0))</f>
        <v/>
      </c>
      <c r="AX75" s="42" t="str">
        <f>IF(VLOOKUP($A75,Data_Template!$A$6:$BA$16,COLUMNS($A:AR)+6,0)=0,"",VLOOKUP($A75,Data_Template!$A$6:$BA$16,COLUMNS($A:AR)+6,0))</f>
        <v/>
      </c>
      <c r="AY75" s="42" t="str">
        <f>IF(VLOOKUP($A75,Data_Template!$A$6:$BA$16,COLUMNS($A:AS)+6,0)=0,"",VLOOKUP($A75,Data_Template!$A$6:$BA$16,COLUMNS($A:AS)+6,0))</f>
        <v/>
      </c>
      <c r="AZ75" s="42" t="str">
        <f>IF(VLOOKUP($A75,Data_Template!$A$6:$BA$16,COLUMNS($A:AT)+6,0)=0,"",VLOOKUP($A75,Data_Template!$A$6:$BA$16,COLUMNS($A:AT)+6,0))</f>
        <v/>
      </c>
      <c r="BA75" s="42"/>
      <c r="BB75" s="50"/>
      <c r="BC75" s="42"/>
      <c r="BD75" s="42"/>
      <c r="BE75" s="42"/>
      <c r="BF75" s="42"/>
      <c r="BG75" s="42"/>
      <c r="BH75" s="42"/>
      <c r="BI75" s="42"/>
      <c r="BJ75" s="42"/>
      <c r="BL75" s="42"/>
      <c r="BM75" s="42"/>
      <c r="BN75" s="42"/>
      <c r="BO75" s="42"/>
      <c r="BP75" s="42"/>
      <c r="BQ75" s="42"/>
      <c r="BR75" s="42"/>
      <c r="BS75" s="42"/>
      <c r="BT75" s="42"/>
      <c r="BU75" s="42"/>
      <c r="BV75" s="42"/>
      <c r="BW75" s="42"/>
      <c r="BX75" s="42"/>
    </row>
    <row r="76" spans="1:76" s="51" customFormat="1" ht="14.25" x14ac:dyDescent="0.2">
      <c r="A76" s="246" t="str">
        <f>Classes!J13</f>
        <v>IFMA_C_31010006</v>
      </c>
      <c r="B76" s="246" t="str">
        <f>Classes!P13</f>
        <v>Einzelparkplatz</v>
      </c>
      <c r="C76" s="37"/>
      <c r="D76" s="42" t="s">
        <v>884</v>
      </c>
      <c r="E76" s="41"/>
      <c r="G76" s="42" t="str">
        <f>IF(VLOOKUP($A76,Data_Template!$A$6:$BA$16,COLUMNS($A:A)+6,0)=0,"",VLOOKUP($A76,Data_Template!$A$6:$BA$16,COLUMNS($A:A)+6,0))</f>
        <v>x</v>
      </c>
      <c r="H76" s="42"/>
      <c r="I76" s="42" t="str">
        <f>IF(VLOOKUP($A76,Data_Template!$A$6:$BA$16,COLUMNS($A:C)+6,0)=0,"",VLOOKUP($A76,Data_Template!$A$6:$BA$16,COLUMNS($A:C)+6,0))</f>
        <v/>
      </c>
      <c r="J76" s="42" t="str">
        <f>IF(VLOOKUP($A76,Data_Template!$A$6:$BA$16,COLUMNS($A:D)+6,0)=0,"",VLOOKUP($A76,Data_Template!$A$6:$BA$16,COLUMNS($A:D)+6,0))</f>
        <v/>
      </c>
      <c r="K76" s="42" t="str">
        <f>IF(VLOOKUP($A76,Data_Template!$A$6:$BA$16,COLUMNS($A:E)+6,0)=0,"",VLOOKUP($A76,Data_Template!$A$6:$BA$16,COLUMNS($A:E)+6,0))</f>
        <v/>
      </c>
      <c r="L76" s="42" t="str">
        <f>IF(VLOOKUP($A76,Data_Template!$A$6:$BA$16,COLUMNS($A:F)+6,0)=0,"",VLOOKUP($A76,Data_Template!$A$6:$BA$16,COLUMNS($A:F)+6,0))</f>
        <v/>
      </c>
      <c r="M76" s="42"/>
      <c r="N76" s="42"/>
      <c r="O76" s="42" t="str">
        <f>IF(VLOOKUP($A76,Data_Template!$A$6:$BA$16,COLUMNS($A:I)+6,0)=0,"",VLOOKUP($A76,Data_Template!$A$6:$BA$16,COLUMNS($A:I)+6,0))</f>
        <v/>
      </c>
      <c r="P76" s="42"/>
      <c r="Q76" s="42"/>
      <c r="R76" s="42" t="str">
        <f>IF(VLOOKUP($A76,Data_Template!$A$6:$BA$16,COLUMNS($A:L)+6,0)=0,"",VLOOKUP($A76,Data_Template!$A$6:$BA$16,COLUMNS($A:L)+6,0))</f>
        <v/>
      </c>
      <c r="S76" s="42" t="str">
        <f>IF(VLOOKUP($A76,Data_Template!$A$6:$BA$16,COLUMNS($A:M)+6,0)=0,"",VLOOKUP($A76,Data_Template!$A$6:$BA$16,COLUMNS($A:M)+6,0))</f>
        <v/>
      </c>
      <c r="T76" s="42" t="str">
        <f>IF(VLOOKUP($A76,Data_Template!$A$6:$BA$16,COLUMNS($A:N)+6,0)=0,"",VLOOKUP($A76,Data_Template!$A$6:$BA$16,COLUMNS($A:N)+6,0))</f>
        <v/>
      </c>
      <c r="U76" s="42" t="str">
        <f>IF(VLOOKUP($A76,Data_Template!$A$6:$BA$16,COLUMNS($A:O)+6,0)=0,"",VLOOKUP($A76,Data_Template!$A$6:$BA$16,COLUMNS($A:O)+6,0))</f>
        <v/>
      </c>
      <c r="V76" s="42" t="str">
        <f>IF(VLOOKUP($A76,Data_Template!$A$6:$BA$16,COLUMNS($A:P)+6,0)=0,"",VLOOKUP($A76,Data_Template!$A$6:$BA$16,COLUMNS($A:P)+6,0))</f>
        <v/>
      </c>
      <c r="W76" s="42" t="str">
        <f>IF(VLOOKUP($A76,Data_Template!$A$6:$BA$16,COLUMNS($A:Q)+6,0)=0,"",VLOOKUP($A76,Data_Template!$A$6:$BA$16,COLUMNS($A:Q)+6,0))</f>
        <v/>
      </c>
      <c r="X76" s="42" t="str">
        <f>IF(VLOOKUP($A76,Data_Template!$A$6:$BA$16,COLUMNS($A:R)+6,0)=0,"",VLOOKUP($A76,Data_Template!$A$6:$BA$16,COLUMNS($A:R)+6,0))</f>
        <v/>
      </c>
      <c r="Y76" s="42"/>
      <c r="Z76" s="42" t="str">
        <f>IF(VLOOKUP($A76,Data_Template!$A$6:$BA$16,COLUMNS($A:T)+6,0)=0,"",VLOOKUP($A76,Data_Template!$A$6:$BA$16,COLUMNS($A:T)+6,0))</f>
        <v/>
      </c>
      <c r="AA76" s="42" t="str">
        <f>IF(VLOOKUP($A76,Data_Template!$A$6:$BA$16,COLUMNS($A:U)+6,0)=0,"",VLOOKUP($A76,Data_Template!$A$6:$BA$16,COLUMNS($A:U)+6,0))</f>
        <v/>
      </c>
      <c r="AB76" s="42" t="str">
        <f>IF(VLOOKUP($A76,Data_Template!$A$6:$BA$16,COLUMNS($A:V)+6,0)=0,"",VLOOKUP($A76,Data_Template!$A$6:$BA$16,COLUMNS($A:V)+6,0))</f>
        <v/>
      </c>
      <c r="AC76" s="42"/>
      <c r="AD76" s="42"/>
      <c r="AE76" s="42"/>
      <c r="AF76" s="42" t="str">
        <f>IF(VLOOKUP($A76,Data_Template!$A$6:$BA$16,COLUMNS($A:Z)+6,0)=0,"",VLOOKUP($A76,Data_Template!$A$6:$BA$16,COLUMNS($A:Z)+6,0))</f>
        <v/>
      </c>
      <c r="AG76" s="42" t="str">
        <f>IF(VLOOKUP($A76,Data_Template!$A$6:$BA$16,COLUMNS($A:AA)+6,0)=0,"",VLOOKUP($A76,Data_Template!$A$6:$BA$16,COLUMNS($A:AA)+6,0))</f>
        <v/>
      </c>
      <c r="AH76" s="42" t="str">
        <f>IF(VLOOKUP($A76,Data_Template!$A$6:$BA$16,COLUMNS($A:AB)+6,0)=0,"",VLOOKUP($A76,Data_Template!$A$6:$BA$16,COLUMNS($A:AB)+6,0))</f>
        <v/>
      </c>
      <c r="AI76" s="42" t="str">
        <f>IF(VLOOKUP($A76,Data_Template!$A$6:$BA$16,COLUMNS($A:AC)+6,0)=0,"",VLOOKUP($A76,Data_Template!$A$6:$BA$16,COLUMNS($A:AC)+6,0))</f>
        <v/>
      </c>
      <c r="AJ76" s="42" t="str">
        <f>IF(VLOOKUP($A76,Data_Template!$A$6:$BA$16,COLUMNS($A:AD)+6,0)=0,"",VLOOKUP($A76,Data_Template!$A$6:$BA$16,COLUMNS($A:AD)+6,0))</f>
        <v/>
      </c>
      <c r="AK76" s="42" t="str">
        <f>IF(VLOOKUP($A76,Data_Template!$A$6:$BA$16,COLUMNS($A:AE)+6,0)=0,"",VLOOKUP($A76,Data_Template!$A$6:$BA$16,COLUMNS($A:AE)+6,0))</f>
        <v/>
      </c>
      <c r="AL76" s="42" t="str">
        <f>IF(VLOOKUP($A76,Data_Template!$A$6:$BA$16,COLUMNS($A:AF)+6,0)=0,"",VLOOKUP($A76,Data_Template!$A$6:$BA$16,COLUMNS($A:AF)+6,0))</f>
        <v/>
      </c>
      <c r="AM76" s="42" t="str">
        <f>IF(VLOOKUP($A76,Data_Template!$A$6:$BA$16,COLUMNS($A:AG)+6,0)=0,"",VLOOKUP($A76,Data_Template!$A$6:$BA$16,COLUMNS($A:AG)+6,0))</f>
        <v/>
      </c>
      <c r="AN76" s="42" t="str">
        <f>IF(VLOOKUP($A76,Data_Template!$A$6:$BA$16,COLUMNS($A:AH)+6,0)=0,"",VLOOKUP($A76,Data_Template!$A$6:$BA$16,COLUMNS($A:AH)+6,0))</f>
        <v/>
      </c>
      <c r="AO76" s="42" t="str">
        <f>IF(VLOOKUP($A76,Data_Template!$A$6:$BA$16,COLUMNS($A:AI)+6,0)=0,"",VLOOKUP($A76,Data_Template!$A$6:$BA$16,COLUMNS($A:AI)+6,0))</f>
        <v/>
      </c>
      <c r="AP76" s="42" t="str">
        <f>IF(VLOOKUP($A76,Data_Template!$A$6:$BA$16,COLUMNS($A:AJ)+6,0)=0,"",VLOOKUP($A76,Data_Template!$A$6:$BA$16,COLUMNS($A:AJ)+6,0))</f>
        <v/>
      </c>
      <c r="AQ76" s="42" t="str">
        <f>IF(VLOOKUP($A76,Data_Template!$A$6:$BA$16,COLUMNS($A:AK)+6,0)=0,"",VLOOKUP($A76,Data_Template!$A$6:$BA$16,COLUMNS($A:AK)+6,0))</f>
        <v/>
      </c>
      <c r="AR76" s="42" t="str">
        <f>IF(VLOOKUP($A76,Data_Template!$A$6:$BA$16,COLUMNS($A:AL)+6,0)=0,"",VLOOKUP($A76,Data_Template!$A$6:$BA$16,COLUMNS($A:AL)+6,0))</f>
        <v/>
      </c>
      <c r="AS76" s="42" t="str">
        <f>IF(VLOOKUP($A76,Data_Template!$A$6:$BA$16,COLUMNS($A:AM)+6,0)=0,"",VLOOKUP($A76,Data_Template!$A$6:$BA$16,COLUMNS($A:AM)+6,0))</f>
        <v/>
      </c>
      <c r="AT76" s="42" t="str">
        <f>IF(VLOOKUP($A76,Data_Template!$A$6:$BA$16,COLUMNS($A:AN)+6,0)=0,"",VLOOKUP($A76,Data_Template!$A$6:$BA$16,COLUMNS($A:AN)+6,0))</f>
        <v>x</v>
      </c>
      <c r="AU76" s="42" t="str">
        <f>IF(VLOOKUP($A76,Data_Template!$A$6:$BA$16,COLUMNS($A:AO)+6,0)=0,"",VLOOKUP($A76,Data_Template!$A$6:$BA$16,COLUMNS($A:AO)+6,0))</f>
        <v/>
      </c>
      <c r="AV76" s="42" t="str">
        <f>IF(VLOOKUP($A76,Data_Template!$A$6:$BA$16,COLUMNS($A:AP)+6,0)=0,"",VLOOKUP($A76,Data_Template!$A$6:$BA$16,COLUMNS($A:AP)+6,0))</f>
        <v/>
      </c>
      <c r="AW76" s="42" t="str">
        <f>IF(VLOOKUP($A76,Data_Template!$A$6:$BA$16,COLUMNS($A:AQ)+6,0)=0,"",VLOOKUP($A76,Data_Template!$A$6:$BA$16,COLUMNS($A:AQ)+6,0))</f>
        <v/>
      </c>
      <c r="AX76" s="42" t="str">
        <f>IF(VLOOKUP($A76,Data_Template!$A$6:$BA$16,COLUMNS($A:AR)+6,0)=0,"",VLOOKUP($A76,Data_Template!$A$6:$BA$16,COLUMNS($A:AR)+6,0))</f>
        <v/>
      </c>
      <c r="AY76" s="42" t="str">
        <f>IF(VLOOKUP($A76,Data_Template!$A$6:$BA$16,COLUMNS($A:AS)+6,0)=0,"",VLOOKUP($A76,Data_Template!$A$6:$BA$16,COLUMNS($A:AS)+6,0))</f>
        <v>x</v>
      </c>
      <c r="AZ76" s="42" t="str">
        <f>IF(VLOOKUP($A76,Data_Template!$A$6:$BA$16,COLUMNS($A:AT)+6,0)=0,"",VLOOKUP($A76,Data_Template!$A$6:$BA$16,COLUMNS($A:AT)+6,0))</f>
        <v/>
      </c>
      <c r="BA76" s="42"/>
      <c r="BB76" s="50"/>
      <c r="BC76" s="42"/>
      <c r="BD76" s="42"/>
      <c r="BE76" s="42"/>
      <c r="BF76" s="42"/>
      <c r="BG76" s="42"/>
      <c r="BH76" s="42"/>
      <c r="BI76" s="42"/>
      <c r="BJ76" s="42"/>
      <c r="BL76" s="42"/>
      <c r="BM76" s="42"/>
      <c r="BN76" s="42"/>
      <c r="BO76" s="42"/>
      <c r="BP76" s="42"/>
      <c r="BQ76" s="42"/>
      <c r="BR76" s="42"/>
      <c r="BS76" s="42"/>
      <c r="BT76" s="42"/>
      <c r="BU76" s="42"/>
      <c r="BV76" s="42"/>
      <c r="BW76" s="42"/>
      <c r="BX76" s="42"/>
    </row>
    <row r="77" spans="1:76" s="51" customFormat="1" ht="14.25" x14ac:dyDescent="0.2">
      <c r="A77" s="246" t="str">
        <f>Classes!J14</f>
        <v>IFMA_C_31010007</v>
      </c>
      <c r="B77" s="246" t="str">
        <f>Classes!P14</f>
        <v>Vermietbare Fläche</v>
      </c>
      <c r="C77" s="37"/>
      <c r="D77" s="42" t="s">
        <v>884</v>
      </c>
      <c r="E77" s="41"/>
      <c r="G77" s="42"/>
      <c r="H77" s="42"/>
      <c r="I77" s="42" t="str">
        <f>IF(VLOOKUP($A77,Data_Template!$A$6:$BA$16,COLUMNS($A:C)+6,0)=0,"",VLOOKUP($A77,Data_Template!$A$6:$BA$16,COLUMNS($A:C)+6,0))</f>
        <v/>
      </c>
      <c r="J77" s="42" t="str">
        <f>IF(VLOOKUP($A77,Data_Template!$A$6:$BA$16,COLUMNS($A:D)+6,0)=0,"",VLOOKUP($A77,Data_Template!$A$6:$BA$16,COLUMNS($A:D)+6,0))</f>
        <v/>
      </c>
      <c r="K77" s="42" t="str">
        <f>IF(VLOOKUP($A77,Data_Template!$A$6:$BA$16,COLUMNS($A:E)+6,0)=0,"",VLOOKUP($A77,Data_Template!$A$6:$BA$16,COLUMNS($A:E)+6,0))</f>
        <v/>
      </c>
      <c r="L77" s="42" t="str">
        <f>IF(VLOOKUP($A77,Data_Template!$A$6:$BA$16,COLUMNS($A:F)+6,0)=0,"",VLOOKUP($A77,Data_Template!$A$6:$BA$16,COLUMNS($A:F)+6,0))</f>
        <v/>
      </c>
      <c r="M77" s="42"/>
      <c r="N77" s="42" t="str">
        <f>IF(VLOOKUP($A77,Data_Template!$A$6:$BA$16,COLUMNS($A:H)+6,0)=0,"",VLOOKUP($A77,Data_Template!$A$6:$BA$16,COLUMNS($A:H)+6,0))</f>
        <v/>
      </c>
      <c r="O77" s="42"/>
      <c r="P77" s="42"/>
      <c r="Q77" s="42" t="str">
        <f>IF(VLOOKUP($A77,Data_Template!$A$6:$BA$16,COLUMNS($A:K)+6,0)=0,"",VLOOKUP($A77,Data_Template!$A$6:$BA$16,COLUMNS($A:K)+6,0))</f>
        <v/>
      </c>
      <c r="R77" s="42" t="str">
        <f>IF(VLOOKUP($A77,Data_Template!$A$6:$BA$16,COLUMNS($A:L)+6,0)=0,"",VLOOKUP($A77,Data_Template!$A$6:$BA$16,COLUMNS($A:L)+6,0))</f>
        <v/>
      </c>
      <c r="S77" s="42" t="str">
        <f>IF(VLOOKUP($A77,Data_Template!$A$6:$BA$16,COLUMNS($A:M)+6,0)=0,"",VLOOKUP($A77,Data_Template!$A$6:$BA$16,COLUMNS($A:M)+6,0))</f>
        <v/>
      </c>
      <c r="T77" s="42" t="str">
        <f>IF(VLOOKUP($A77,Data_Template!$A$6:$BA$16,COLUMNS($A:N)+6,0)=0,"",VLOOKUP($A77,Data_Template!$A$6:$BA$16,COLUMNS($A:N)+6,0))</f>
        <v/>
      </c>
      <c r="U77" s="42" t="str">
        <f>IF(VLOOKUP($A77,Data_Template!$A$6:$BA$16,COLUMNS($A:O)+6,0)=0,"",VLOOKUP($A77,Data_Template!$A$6:$BA$16,COLUMNS($A:O)+6,0))</f>
        <v/>
      </c>
      <c r="V77" s="42" t="str">
        <f>IF(VLOOKUP($A77,Data_Template!$A$6:$BA$16,COLUMNS($A:P)+6,0)=0,"",VLOOKUP($A77,Data_Template!$A$6:$BA$16,COLUMNS($A:P)+6,0))</f>
        <v/>
      </c>
      <c r="W77" s="42" t="str">
        <f>IF(VLOOKUP($A77,Data_Template!$A$6:$BA$16,COLUMNS($A:Q)+6,0)=0,"",VLOOKUP($A77,Data_Template!$A$6:$BA$16,COLUMNS($A:Q)+6,0))</f>
        <v/>
      </c>
      <c r="X77" s="42" t="str">
        <f>IF(VLOOKUP($A77,Data_Template!$A$6:$BA$16,COLUMNS($A:R)+6,0)=0,"",VLOOKUP($A77,Data_Template!$A$6:$BA$16,COLUMNS($A:R)+6,0))</f>
        <v/>
      </c>
      <c r="Y77" s="42"/>
      <c r="Z77" s="42" t="str">
        <f>IF(VLOOKUP($A77,Data_Template!$A$6:$BA$16,COLUMNS($A:T)+6,0)=0,"",VLOOKUP($A77,Data_Template!$A$6:$BA$16,COLUMNS($A:T)+6,0))</f>
        <v/>
      </c>
      <c r="AA77" s="42" t="str">
        <f>IF(VLOOKUP($A77,Data_Template!$A$6:$BA$16,COLUMNS($A:U)+6,0)=0,"",VLOOKUP($A77,Data_Template!$A$6:$BA$16,COLUMNS($A:U)+6,0))</f>
        <v/>
      </c>
      <c r="AB77" s="42" t="str">
        <f>IF(VLOOKUP($A77,Data_Template!$A$6:$BA$16,COLUMNS($A:V)+6,0)=0,"",VLOOKUP($A77,Data_Template!$A$6:$BA$16,COLUMNS($A:V)+6,0))</f>
        <v/>
      </c>
      <c r="AC77" s="42"/>
      <c r="AD77" s="42" t="str">
        <f>IF(VLOOKUP($A77,Data_Template!$A$6:$BA$16,COLUMNS($A:X)+6,0)=0,"",VLOOKUP($A77,Data_Template!$A$6:$BA$16,COLUMNS($A:X)+6,0))</f>
        <v/>
      </c>
      <c r="AE77" s="42" t="str">
        <f>IF(VLOOKUP($A77,Data_Template!$A$6:$BA$16,COLUMNS($A:Y)+6,0)=0,"",VLOOKUP($A77,Data_Template!$A$6:$BA$16,COLUMNS($A:Y)+6,0))</f>
        <v/>
      </c>
      <c r="AF77" s="42" t="str">
        <f>IF(VLOOKUP($A77,Data_Template!$A$6:$BA$16,COLUMNS($A:Z)+6,0)=0,"",VLOOKUP($A77,Data_Template!$A$6:$BA$16,COLUMNS($A:Z)+6,0))</f>
        <v/>
      </c>
      <c r="AG77" s="42"/>
      <c r="AH77" s="42"/>
      <c r="AI77" s="42" t="str">
        <f>IF(VLOOKUP($A77,Data_Template!$A$6:$BA$16,COLUMNS($A:AC)+6,0)=0,"",VLOOKUP($A77,Data_Template!$A$6:$BA$16,COLUMNS($A:AC)+6,0))</f>
        <v/>
      </c>
      <c r="AJ77" s="42" t="str">
        <f>IF(VLOOKUP($A77,Data_Template!$A$6:$BA$16,COLUMNS($A:AD)+6,0)=0,"",VLOOKUP($A77,Data_Template!$A$6:$BA$16,COLUMNS($A:AD)+6,0))</f>
        <v/>
      </c>
      <c r="AK77" s="42" t="str">
        <f>IF(VLOOKUP($A77,Data_Template!$A$6:$BA$16,COLUMNS($A:AE)+6,0)=0,"",VLOOKUP($A77,Data_Template!$A$6:$BA$16,COLUMNS($A:AE)+6,0))</f>
        <v/>
      </c>
      <c r="AL77" s="42" t="str">
        <f>IF(VLOOKUP($A77,Data_Template!$A$6:$BA$16,COLUMNS($A:AF)+6,0)=0,"",VLOOKUP($A77,Data_Template!$A$6:$BA$16,COLUMNS($A:AF)+6,0))</f>
        <v/>
      </c>
      <c r="AM77" s="42" t="str">
        <f>IF(VLOOKUP($A77,Data_Template!$A$6:$BA$16,COLUMNS($A:AG)+6,0)=0,"",VLOOKUP($A77,Data_Template!$A$6:$BA$16,COLUMNS($A:AG)+6,0))</f>
        <v/>
      </c>
      <c r="AN77" s="42" t="str">
        <f>IF(VLOOKUP($A77,Data_Template!$A$6:$BA$16,COLUMNS($A:AH)+6,0)=0,"",VLOOKUP($A77,Data_Template!$A$6:$BA$16,COLUMNS($A:AH)+6,0))</f>
        <v/>
      </c>
      <c r="AO77" s="42" t="str">
        <f>IF(VLOOKUP($A77,Data_Template!$A$6:$BA$16,COLUMNS($A:AI)+6,0)=0,"",VLOOKUP($A77,Data_Template!$A$6:$BA$16,COLUMNS($A:AI)+6,0))</f>
        <v/>
      </c>
      <c r="AP77" s="42" t="str">
        <f>IF(VLOOKUP($A77,Data_Template!$A$6:$BA$16,COLUMNS($A:AJ)+6,0)=0,"",VLOOKUP($A77,Data_Template!$A$6:$BA$16,COLUMNS($A:AJ)+6,0))</f>
        <v/>
      </c>
      <c r="AQ77" s="42" t="str">
        <f>IF(VLOOKUP($A77,Data_Template!$A$6:$BA$16,COLUMNS($A:AK)+6,0)=0,"",VLOOKUP($A77,Data_Template!$A$6:$BA$16,COLUMNS($A:AK)+6,0))</f>
        <v/>
      </c>
      <c r="AR77" s="42" t="str">
        <f>IF(VLOOKUP($A77,Data_Template!$A$6:$BA$16,COLUMNS($A:AL)+6,0)=0,"",VLOOKUP($A77,Data_Template!$A$6:$BA$16,COLUMNS($A:AL)+6,0))</f>
        <v/>
      </c>
      <c r="AS77" s="42" t="str">
        <f>IF(VLOOKUP($A77,Data_Template!$A$6:$BA$16,COLUMNS($A:AM)+6,0)=0,"",VLOOKUP($A77,Data_Template!$A$6:$BA$16,COLUMNS($A:AM)+6,0))</f>
        <v/>
      </c>
      <c r="AT77" s="42"/>
      <c r="AU77" s="42" t="str">
        <f>IF(VLOOKUP($A77,Data_Template!$A$6:$BA$16,COLUMNS($A:AO)+6,0)=0,"",VLOOKUP($A77,Data_Template!$A$6:$BA$16,COLUMNS($A:AO)+6,0))</f>
        <v/>
      </c>
      <c r="AV77" s="42"/>
      <c r="AW77" s="42" t="str">
        <f>IF(VLOOKUP($A77,Data_Template!$A$6:$BA$16,COLUMNS($A:AQ)+6,0)=0,"",VLOOKUP($A77,Data_Template!$A$6:$BA$16,COLUMNS($A:AQ)+6,0))</f>
        <v/>
      </c>
      <c r="AX77" s="42" t="str">
        <f>IF(VLOOKUP($A77,Data_Template!$A$6:$BA$16,COLUMNS($A:AR)+6,0)=0,"",VLOOKUP($A77,Data_Template!$A$6:$BA$16,COLUMNS($A:AR)+6,0))</f>
        <v/>
      </c>
      <c r="AY77" s="42" t="str">
        <f>IF(VLOOKUP($A77,Data_Template!$A$6:$BA$16,COLUMNS($A:AS)+6,0)=0,"",VLOOKUP($A77,Data_Template!$A$6:$BA$16,COLUMNS($A:AS)+6,0))</f>
        <v/>
      </c>
      <c r="AZ77" s="42" t="str">
        <f>IF(VLOOKUP($A77,Data_Template!$A$6:$BA$16,COLUMNS($A:AT)+6,0)=0,"",VLOOKUP($A77,Data_Template!$A$6:$BA$16,COLUMNS($A:AT)+6,0))</f>
        <v/>
      </c>
      <c r="BA77" s="42"/>
      <c r="BB77" s="50"/>
      <c r="BC77" s="42"/>
      <c r="BD77" s="42"/>
      <c r="BE77" s="42"/>
      <c r="BF77" s="42"/>
      <c r="BG77" s="42"/>
      <c r="BH77" s="42"/>
      <c r="BI77" s="42"/>
      <c r="BJ77" s="42"/>
      <c r="BL77" s="42"/>
      <c r="BM77" s="42"/>
      <c r="BN77" s="42"/>
      <c r="BO77" s="42"/>
      <c r="BP77" s="42"/>
      <c r="BQ77" s="42"/>
      <c r="BR77" s="42"/>
      <c r="BS77" s="42"/>
      <c r="BT77" s="42"/>
      <c r="BU77" s="42"/>
      <c r="BV77" s="42"/>
      <c r="BW77" s="42"/>
      <c r="BX77" s="42"/>
    </row>
    <row r="78" spans="1:76" s="51" customFormat="1" ht="14.25" x14ac:dyDescent="0.2">
      <c r="A78" s="246" t="str">
        <f>Classes!J15</f>
        <v>IFMA_C_31010008</v>
      </c>
      <c r="B78" s="246" t="str">
        <f>Classes!P15</f>
        <v>Nutzungseinheit</v>
      </c>
      <c r="C78" s="37"/>
      <c r="D78" s="42" t="s">
        <v>884</v>
      </c>
      <c r="E78" s="41"/>
      <c r="G78" s="42" t="str">
        <f>IF(VLOOKUP($A78,Data_Template!$A$6:$BA$16,COLUMNS($A:A)+6,0)=0,"",VLOOKUP($A78,Data_Template!$A$6:$BA$16,COLUMNS($A:A)+6,0))</f>
        <v>x</v>
      </c>
      <c r="H78" s="42" t="str">
        <f>IF(VLOOKUP($A78,Data_Template!$A$6:$BA$16,COLUMNS($A:B)+6,0)=0,"",VLOOKUP($A78,Data_Template!$A$6:$BA$16,COLUMNS($A:B)+6,0))</f>
        <v>x</v>
      </c>
      <c r="I78" s="42" t="str">
        <f>IF(VLOOKUP($A78,Data_Template!$A$6:$BA$16,COLUMNS($A:C)+6,0)=0,"",VLOOKUP($A78,Data_Template!$A$6:$BA$16,COLUMNS($A:C)+6,0))</f>
        <v/>
      </c>
      <c r="J78" s="42" t="str">
        <f>IF(VLOOKUP($A78,Data_Template!$A$6:$BA$16,COLUMNS($A:D)+6,0)=0,"",VLOOKUP($A78,Data_Template!$A$6:$BA$16,COLUMNS($A:D)+6,0))</f>
        <v/>
      </c>
      <c r="K78" s="42" t="str">
        <f>IF(VLOOKUP($A78,Data_Template!$A$6:$BA$16,COLUMNS($A:E)+6,0)=0,"",VLOOKUP($A78,Data_Template!$A$6:$BA$16,COLUMNS($A:E)+6,0))</f>
        <v/>
      </c>
      <c r="L78" s="42" t="str">
        <f>IF(VLOOKUP($A78,Data_Template!$A$6:$BA$16,COLUMNS($A:F)+6,0)=0,"",VLOOKUP($A78,Data_Template!$A$6:$BA$16,COLUMNS($A:F)+6,0))</f>
        <v/>
      </c>
      <c r="M78" s="42" t="str">
        <f>IF(VLOOKUP($A78,Data_Template!$A$6:$BA$16,COLUMNS($A:G)+6,0)=0,"",VLOOKUP($A78,Data_Template!$A$6:$BA$16,COLUMNS($A:G)+6,0))</f>
        <v>x</v>
      </c>
      <c r="N78" s="42" t="str">
        <f>IF(VLOOKUP($A78,Data_Template!$A$6:$BA$16,COLUMNS($A:H)+6,0)=0,"",VLOOKUP($A78,Data_Template!$A$6:$BA$16,COLUMNS($A:H)+6,0))</f>
        <v/>
      </c>
      <c r="O78" s="42"/>
      <c r="P78" s="42" t="str">
        <f>IF(VLOOKUP($A78,Data_Template!$A$6:$BA$16,COLUMNS($A:J)+6,0)=0,"",VLOOKUP($A78,Data_Template!$A$6:$BA$16,COLUMNS($A:J)+6,0))</f>
        <v>x</v>
      </c>
      <c r="Q78" s="42" t="str">
        <f>IF(VLOOKUP($A78,Data_Template!$A$6:$BA$16,COLUMNS($A:K)+6,0)=0,"",VLOOKUP($A78,Data_Template!$A$6:$BA$16,COLUMNS($A:K)+6,0))</f>
        <v>x</v>
      </c>
      <c r="R78" s="42" t="str">
        <f>IF(VLOOKUP($A78,Data_Template!$A$6:$BA$16,COLUMNS($A:L)+6,0)=0,"",VLOOKUP($A78,Data_Template!$A$6:$BA$16,COLUMNS($A:L)+6,0))</f>
        <v/>
      </c>
      <c r="S78" s="42" t="str">
        <f>IF(VLOOKUP($A78,Data_Template!$A$6:$BA$16,COLUMNS($A:M)+6,0)=0,"",VLOOKUP($A78,Data_Template!$A$6:$BA$16,COLUMNS($A:M)+6,0))</f>
        <v/>
      </c>
      <c r="T78" s="42" t="str">
        <f>IF(VLOOKUP($A78,Data_Template!$A$6:$BA$16,COLUMNS($A:N)+6,0)=0,"",VLOOKUP($A78,Data_Template!$A$6:$BA$16,COLUMNS($A:N)+6,0))</f>
        <v/>
      </c>
      <c r="U78" s="42" t="str">
        <f>IF(VLOOKUP($A78,Data_Template!$A$6:$BA$16,COLUMNS($A:O)+6,0)=0,"",VLOOKUP($A78,Data_Template!$A$6:$BA$16,COLUMNS($A:O)+6,0))</f>
        <v/>
      </c>
      <c r="V78" s="42" t="str">
        <f>IF(VLOOKUP($A78,Data_Template!$A$6:$BA$16,COLUMNS($A:P)+6,0)=0,"",VLOOKUP($A78,Data_Template!$A$6:$BA$16,COLUMNS($A:P)+6,0))</f>
        <v/>
      </c>
      <c r="W78" s="42" t="str">
        <f>IF(VLOOKUP($A78,Data_Template!$A$6:$BA$16,COLUMNS($A:Q)+6,0)=0,"",VLOOKUP($A78,Data_Template!$A$6:$BA$16,COLUMNS($A:Q)+6,0))</f>
        <v/>
      </c>
      <c r="X78" s="42" t="str">
        <f>IF(VLOOKUP($A78,Data_Template!$A$6:$BA$16,COLUMNS($A:R)+6,0)=0,"",VLOOKUP($A78,Data_Template!$A$6:$BA$16,COLUMNS($A:R)+6,0))</f>
        <v/>
      </c>
      <c r="Y78" s="42"/>
      <c r="Z78" s="42" t="str">
        <f>IF(VLOOKUP($A78,Data_Template!$A$6:$BA$16,COLUMNS($A:T)+6,0)=0,"",VLOOKUP($A78,Data_Template!$A$6:$BA$16,COLUMNS($A:T)+6,0))</f>
        <v/>
      </c>
      <c r="AA78" s="42" t="str">
        <f>IF(VLOOKUP($A78,Data_Template!$A$6:$BA$16,COLUMNS($A:U)+6,0)=0,"",VLOOKUP($A78,Data_Template!$A$6:$BA$16,COLUMNS($A:U)+6,0))</f>
        <v/>
      </c>
      <c r="AB78" s="42" t="str">
        <f>IF(VLOOKUP($A78,Data_Template!$A$6:$BA$16,COLUMNS($A:V)+6,0)=0,"",VLOOKUP($A78,Data_Template!$A$6:$BA$16,COLUMNS($A:V)+6,0))</f>
        <v/>
      </c>
      <c r="AC78" s="42"/>
      <c r="AD78" s="42" t="str">
        <f>IF(VLOOKUP($A78,Data_Template!$A$6:$BA$16,COLUMNS($A:X)+6,0)=0,"",VLOOKUP($A78,Data_Template!$A$6:$BA$16,COLUMNS($A:X)+6,0))</f>
        <v/>
      </c>
      <c r="AE78" s="42" t="str">
        <f>IF(VLOOKUP($A78,Data_Template!$A$6:$BA$16,COLUMNS($A:Y)+6,0)=0,"",VLOOKUP($A78,Data_Template!$A$6:$BA$16,COLUMNS($A:Y)+6,0))</f>
        <v/>
      </c>
      <c r="AF78" s="42" t="str">
        <f>IF(VLOOKUP($A78,Data_Template!$A$6:$BA$16,COLUMNS($A:Z)+6,0)=0,"",VLOOKUP($A78,Data_Template!$A$6:$BA$16,COLUMNS($A:Z)+6,0))</f>
        <v/>
      </c>
      <c r="AG78" s="42"/>
      <c r="AH78" s="42"/>
      <c r="AI78" s="42" t="str">
        <f>IF(VLOOKUP($A78,Data_Template!$A$6:$BA$16,COLUMNS($A:AC)+6,0)=0,"",VLOOKUP($A78,Data_Template!$A$6:$BA$16,COLUMNS($A:AC)+6,0))</f>
        <v/>
      </c>
      <c r="AJ78" s="42" t="str">
        <f>IF(VLOOKUP($A78,Data_Template!$A$6:$BA$16,COLUMNS($A:AD)+6,0)=0,"",VLOOKUP($A78,Data_Template!$A$6:$BA$16,COLUMNS($A:AD)+6,0))</f>
        <v/>
      </c>
      <c r="AK78" s="42" t="str">
        <f>IF(VLOOKUP($A78,Data_Template!$A$6:$BA$16,COLUMNS($A:AE)+6,0)=0,"",VLOOKUP($A78,Data_Template!$A$6:$BA$16,COLUMNS($A:AE)+6,0))</f>
        <v/>
      </c>
      <c r="AL78" s="42" t="str">
        <f>IF(VLOOKUP($A78,Data_Template!$A$6:$BA$16,COLUMNS($A:AF)+6,0)=0,"",VLOOKUP($A78,Data_Template!$A$6:$BA$16,COLUMNS($A:AF)+6,0))</f>
        <v/>
      </c>
      <c r="AM78" s="42" t="str">
        <f>IF(VLOOKUP($A78,Data_Template!$A$6:$BA$16,COLUMNS($A:AG)+6,0)=0,"",VLOOKUP($A78,Data_Template!$A$6:$BA$16,COLUMNS($A:AG)+6,0))</f>
        <v/>
      </c>
      <c r="AN78" s="42" t="str">
        <f>IF(VLOOKUP($A78,Data_Template!$A$6:$BA$16,COLUMNS($A:AH)+6,0)=0,"",VLOOKUP($A78,Data_Template!$A$6:$BA$16,COLUMNS($A:AH)+6,0))</f>
        <v/>
      </c>
      <c r="AO78" s="42" t="str">
        <f>IF(VLOOKUP($A78,Data_Template!$A$6:$BA$16,COLUMNS($A:AI)+6,0)=0,"",VLOOKUP($A78,Data_Template!$A$6:$BA$16,COLUMNS($A:AI)+6,0))</f>
        <v/>
      </c>
      <c r="AP78" s="42" t="str">
        <f>IF(VLOOKUP($A78,Data_Template!$A$6:$BA$16,COLUMNS($A:AJ)+6,0)=0,"",VLOOKUP($A78,Data_Template!$A$6:$BA$16,COLUMNS($A:AJ)+6,0))</f>
        <v/>
      </c>
      <c r="AQ78" s="42" t="str">
        <f>IF(VLOOKUP($A78,Data_Template!$A$6:$BA$16,COLUMNS($A:AK)+6,0)=0,"",VLOOKUP($A78,Data_Template!$A$6:$BA$16,COLUMNS($A:AK)+6,0))</f>
        <v/>
      </c>
      <c r="AR78" s="42" t="str">
        <f>IF(VLOOKUP($A78,Data_Template!$A$6:$BA$16,COLUMNS($A:AL)+6,0)=0,"",VLOOKUP($A78,Data_Template!$A$6:$BA$16,COLUMNS($A:AL)+6,0))</f>
        <v/>
      </c>
      <c r="AS78" s="42" t="str">
        <f>IF(VLOOKUP($A78,Data_Template!$A$6:$BA$16,COLUMNS($A:AM)+6,0)=0,"",VLOOKUP($A78,Data_Template!$A$6:$BA$16,COLUMNS($A:AM)+6,0))</f>
        <v/>
      </c>
      <c r="AT78" s="42" t="str">
        <f>IF(VLOOKUP($A78,Data_Template!$A$6:$BA$16,COLUMNS($A:AN)+6,0)=0,"",VLOOKUP($A78,Data_Template!$A$6:$BA$16,COLUMNS($A:AN)+6,0))</f>
        <v/>
      </c>
      <c r="AU78" s="42" t="str">
        <f>IF(VLOOKUP($A78,Data_Template!$A$6:$BA$16,COLUMNS($A:AO)+6,0)=0,"",VLOOKUP($A78,Data_Template!$A$6:$BA$16,COLUMNS($A:AO)+6,0))</f>
        <v/>
      </c>
      <c r="AV78" s="42" t="str">
        <f>IF(VLOOKUP($A78,Data_Template!$A$6:$BA$16,COLUMNS($A:AP)+6,0)=0,"",VLOOKUP($A78,Data_Template!$A$6:$BA$16,COLUMNS($A:AP)+6,0))</f>
        <v/>
      </c>
      <c r="AW78" s="42" t="str">
        <f>IF(VLOOKUP($A78,Data_Template!$A$6:$BA$16,COLUMNS($A:AQ)+6,0)=0,"",VLOOKUP($A78,Data_Template!$A$6:$BA$16,COLUMNS($A:AQ)+6,0))</f>
        <v/>
      </c>
      <c r="AX78" s="42" t="str">
        <f>IF(VLOOKUP($A78,Data_Template!$A$6:$BA$16,COLUMNS($A:AR)+6,0)=0,"",VLOOKUP($A78,Data_Template!$A$6:$BA$16,COLUMNS($A:AR)+6,0))</f>
        <v/>
      </c>
      <c r="AY78" s="42" t="str">
        <f>IF(VLOOKUP($A78,Data_Template!$A$6:$BA$16,COLUMNS($A:AS)+6,0)=0,"",VLOOKUP($A78,Data_Template!$A$6:$BA$16,COLUMNS($A:AS)+6,0))</f>
        <v/>
      </c>
      <c r="AZ78" s="42" t="str">
        <f>IF(VLOOKUP($A78,Data_Template!$A$6:$BA$16,COLUMNS($A:AT)+6,0)=0,"",VLOOKUP($A78,Data_Template!$A$6:$BA$16,COLUMNS($A:AT)+6,0))</f>
        <v/>
      </c>
      <c r="BA78" s="42"/>
      <c r="BB78" s="50"/>
      <c r="BC78" s="42"/>
      <c r="BD78" s="42"/>
      <c r="BE78" s="42"/>
      <c r="BF78" s="42"/>
      <c r="BG78" s="42"/>
      <c r="BH78" s="42"/>
      <c r="BI78" s="42"/>
      <c r="BJ78" s="42"/>
      <c r="BL78" s="42"/>
      <c r="BM78" s="42"/>
      <c r="BN78" s="42"/>
      <c r="BO78" s="42"/>
      <c r="BP78" s="42"/>
      <c r="BQ78" s="42"/>
      <c r="BR78" s="42"/>
      <c r="BS78" s="42"/>
      <c r="BT78" s="42"/>
      <c r="BU78" s="42"/>
      <c r="BV78" s="42"/>
      <c r="BW78" s="42"/>
      <c r="BX78" s="42"/>
    </row>
    <row r="79" spans="1:76" s="51" customFormat="1" ht="14.25" x14ac:dyDescent="0.2">
      <c r="A79" s="246" t="str">
        <f>Classes!J16</f>
        <v>IFMA_C_31010009</v>
      </c>
      <c r="B79" s="246" t="str">
        <f>Classes!P16</f>
        <v>Grundstück</v>
      </c>
      <c r="C79" s="37"/>
      <c r="D79" s="42" t="s">
        <v>884</v>
      </c>
      <c r="E79" s="41"/>
      <c r="G79" s="42" t="str">
        <f>IF(VLOOKUP($A79,Data_Template!$A$6:$BA$16,COLUMNS($A:A)+6,0)=0,"",VLOOKUP($A79,Data_Template!$A$6:$BA$16,COLUMNS($A:A)+6,0))</f>
        <v>x</v>
      </c>
      <c r="H79" s="42" t="str">
        <f>IF(VLOOKUP($A79,Data_Template!$A$6:$BA$16,COLUMNS($A:B)+6,0)=0,"",VLOOKUP($A79,Data_Template!$A$6:$BA$16,COLUMNS($A:B)+6,0))</f>
        <v>x</v>
      </c>
      <c r="I79" s="42" t="str">
        <f>IF(VLOOKUP($A79,Data_Template!$A$6:$BA$16,COLUMNS($A:C)+6,0)=0,"",VLOOKUP($A79,Data_Template!$A$6:$BA$16,COLUMNS($A:C)+6,0))</f>
        <v/>
      </c>
      <c r="J79" s="42" t="str">
        <f>IF(VLOOKUP($A79,Data_Template!$A$6:$BA$16,COLUMNS($A:D)+6,0)=0,"",VLOOKUP($A79,Data_Template!$A$6:$BA$16,COLUMNS($A:D)+6,0))</f>
        <v/>
      </c>
      <c r="K79" s="42" t="str">
        <f>IF(VLOOKUP($A79,Data_Template!$A$6:$BA$16,COLUMNS($A:E)+6,0)=0,"",VLOOKUP($A79,Data_Template!$A$6:$BA$16,COLUMNS($A:E)+6,0))</f>
        <v/>
      </c>
      <c r="L79" s="42" t="str">
        <f>IF(VLOOKUP($A79,Data_Template!$A$6:$BA$16,COLUMNS($A:F)+6,0)=0,"",VLOOKUP($A79,Data_Template!$A$6:$BA$16,COLUMNS($A:F)+6,0))</f>
        <v/>
      </c>
      <c r="M79" s="42" t="str">
        <f>IF(VLOOKUP($A79,Data_Template!$A$6:$BA$16,COLUMNS($A:G)+6,0)=0,"",VLOOKUP($A79,Data_Template!$A$6:$BA$16,COLUMNS($A:G)+6,0))</f>
        <v/>
      </c>
      <c r="N79" s="42" t="str">
        <f>IF(VLOOKUP($A79,Data_Template!$A$6:$BA$16,COLUMNS($A:H)+6,0)=0,"",VLOOKUP($A79,Data_Template!$A$6:$BA$16,COLUMNS($A:H)+6,0))</f>
        <v/>
      </c>
      <c r="O79" s="42" t="str">
        <f>IF(VLOOKUP($A79,Data_Template!$A$6:$BA$16,COLUMNS($A:I)+6,0)=0,"",VLOOKUP($A79,Data_Template!$A$6:$BA$16,COLUMNS($A:I)+6,0))</f>
        <v/>
      </c>
      <c r="P79" s="42" t="str">
        <f>IF(VLOOKUP($A79,Data_Template!$A$6:$BA$16,COLUMNS($A:J)+6,0)=0,"",VLOOKUP($A79,Data_Template!$A$6:$BA$16,COLUMNS($A:J)+6,0))</f>
        <v/>
      </c>
      <c r="Q79" s="42"/>
      <c r="R79" s="42" t="str">
        <f>IF(VLOOKUP($A79,Data_Template!$A$6:$BA$16,COLUMNS($A:L)+6,0)=0,"",VLOOKUP($A79,Data_Template!$A$6:$BA$16,COLUMNS($A:L)+6,0))</f>
        <v/>
      </c>
      <c r="S79" s="42" t="str">
        <f>IF(VLOOKUP($A79,Data_Template!$A$6:$BA$16,COLUMNS($A:M)+6,0)=0,"",VLOOKUP($A79,Data_Template!$A$6:$BA$16,COLUMNS($A:M)+6,0))</f>
        <v/>
      </c>
      <c r="T79" s="42" t="str">
        <f>IF(VLOOKUP($A79,Data_Template!$A$6:$BA$16,COLUMNS($A:N)+6,0)=0,"",VLOOKUP($A79,Data_Template!$A$6:$BA$16,COLUMNS($A:N)+6,0))</f>
        <v/>
      </c>
      <c r="U79" s="42" t="str">
        <f>IF(VLOOKUP($A79,Data_Template!$A$6:$BA$16,COLUMNS($A:O)+6,0)=0,"",VLOOKUP($A79,Data_Template!$A$6:$BA$16,COLUMNS($A:O)+6,0))</f>
        <v/>
      </c>
      <c r="V79" s="42" t="str">
        <f>IF(VLOOKUP($A79,Data_Template!$A$6:$BA$16,COLUMNS($A:P)+6,0)=0,"",VLOOKUP($A79,Data_Template!$A$6:$BA$16,COLUMNS($A:P)+6,0))</f>
        <v/>
      </c>
      <c r="W79" s="42" t="str">
        <f>IF(VLOOKUP($A79,Data_Template!$A$6:$BA$16,COLUMNS($A:Q)+6,0)=0,"",VLOOKUP($A79,Data_Template!$A$6:$BA$16,COLUMNS($A:Q)+6,0))</f>
        <v/>
      </c>
      <c r="X79" s="42" t="str">
        <f>IF(VLOOKUP($A79,Data_Template!$A$6:$BA$16,COLUMNS($A:R)+6,0)=0,"",VLOOKUP($A79,Data_Template!$A$6:$BA$16,COLUMNS($A:R)+6,0))</f>
        <v/>
      </c>
      <c r="Y79" s="42" t="str">
        <f>IF(VLOOKUP($A79,Data_Template!$A$6:$BA$16,COLUMNS($A:S)+6,0)=0,"",VLOOKUP($A79,Data_Template!$A$6:$BA$16,COLUMNS($A:S)+6,0))</f>
        <v/>
      </c>
      <c r="Z79" s="42" t="str">
        <f>IF(VLOOKUP($A79,Data_Template!$A$6:$BA$16,COLUMNS($A:T)+6,0)=0,"",VLOOKUP($A79,Data_Template!$A$6:$BA$16,COLUMNS($A:T)+6,0))</f>
        <v/>
      </c>
      <c r="AA79" s="42" t="str">
        <f>IF(VLOOKUP($A79,Data_Template!$A$6:$BA$16,COLUMNS($A:U)+6,0)=0,"",VLOOKUP($A79,Data_Template!$A$6:$BA$16,COLUMNS($A:U)+6,0))</f>
        <v/>
      </c>
      <c r="AB79" s="42" t="str">
        <f>IF(VLOOKUP($A79,Data_Template!$A$6:$BA$16,COLUMNS($A:V)+6,0)=0,"",VLOOKUP($A79,Data_Template!$A$6:$BA$16,COLUMNS($A:V)+6,0))</f>
        <v/>
      </c>
      <c r="AC79" s="42" t="str">
        <f>IF(VLOOKUP($A79,Data_Template!$A$6:$BA$16,COLUMNS($A:W)+6,0)=0,"",VLOOKUP($A79,Data_Template!$A$6:$BA$16,COLUMNS($A:W)+6,0))</f>
        <v/>
      </c>
      <c r="AD79" s="42" t="str">
        <f>IF(VLOOKUP($A79,Data_Template!$A$6:$BA$16,COLUMNS($A:X)+6,0)=0,"",VLOOKUP($A79,Data_Template!$A$6:$BA$16,COLUMNS($A:X)+6,0))</f>
        <v/>
      </c>
      <c r="AE79" s="42" t="str">
        <f>IF(VLOOKUP($A79,Data_Template!$A$6:$BA$16,COLUMNS($A:Y)+6,0)=0,"",VLOOKUP($A79,Data_Template!$A$6:$BA$16,COLUMNS($A:Y)+6,0))</f>
        <v/>
      </c>
      <c r="AF79" s="42" t="str">
        <f>IF(VLOOKUP($A79,Data_Template!$A$6:$BA$16,COLUMNS($A:Z)+6,0)=0,"",VLOOKUP($A79,Data_Template!$A$6:$BA$16,COLUMNS($A:Z)+6,0))</f>
        <v/>
      </c>
      <c r="AG79" s="42" t="str">
        <f>IF(VLOOKUP($A79,Data_Template!$A$6:$BA$16,COLUMNS($A:AA)+6,0)=0,"",VLOOKUP($A79,Data_Template!$A$6:$BA$16,COLUMNS($A:AA)+6,0))</f>
        <v/>
      </c>
      <c r="AH79" s="42" t="str">
        <f>IF(VLOOKUP($A79,Data_Template!$A$6:$BA$16,COLUMNS($A:AB)+6,0)=0,"",VLOOKUP($A79,Data_Template!$A$6:$BA$16,COLUMNS($A:AB)+6,0))</f>
        <v/>
      </c>
      <c r="AI79" s="42" t="str">
        <f>IF(VLOOKUP($A79,Data_Template!$A$6:$BA$16,COLUMNS($A:AC)+6,0)=0,"",VLOOKUP($A79,Data_Template!$A$6:$BA$16,COLUMNS($A:AC)+6,0))</f>
        <v/>
      </c>
      <c r="AJ79" s="42" t="str">
        <f>IF(VLOOKUP($A79,Data_Template!$A$6:$BA$16,COLUMNS($A:AD)+6,0)=0,"",VLOOKUP($A79,Data_Template!$A$6:$BA$16,COLUMNS($A:AD)+6,0))</f>
        <v/>
      </c>
      <c r="AK79" s="42" t="str">
        <f>IF(VLOOKUP($A79,Data_Template!$A$6:$BA$16,COLUMNS($A:AE)+6,0)=0,"",VLOOKUP($A79,Data_Template!$A$6:$BA$16,COLUMNS($A:AE)+6,0))</f>
        <v/>
      </c>
      <c r="AL79" s="42" t="str">
        <f>IF(VLOOKUP($A79,Data_Template!$A$6:$BA$16,COLUMNS($A:AF)+6,0)=0,"",VLOOKUP($A79,Data_Template!$A$6:$BA$16,COLUMNS($A:AF)+6,0))</f>
        <v/>
      </c>
      <c r="AM79" s="42" t="str">
        <f>IF(VLOOKUP($A79,Data_Template!$A$6:$BA$16,COLUMNS($A:AG)+6,0)=0,"",VLOOKUP($A79,Data_Template!$A$6:$BA$16,COLUMNS($A:AG)+6,0))</f>
        <v/>
      </c>
      <c r="AN79" s="42" t="str">
        <f>IF(VLOOKUP($A79,Data_Template!$A$6:$BA$16,COLUMNS($A:AH)+6,0)=0,"",VLOOKUP($A79,Data_Template!$A$6:$BA$16,COLUMNS($A:AH)+6,0))</f>
        <v/>
      </c>
      <c r="AO79" s="42" t="str">
        <f>IF(VLOOKUP($A79,Data_Template!$A$6:$BA$16,COLUMNS($A:AI)+6,0)=0,"",VLOOKUP($A79,Data_Template!$A$6:$BA$16,COLUMNS($A:AI)+6,0))</f>
        <v/>
      </c>
      <c r="AP79" s="42" t="str">
        <f>IF(VLOOKUP($A79,Data_Template!$A$6:$BA$16,COLUMNS($A:AJ)+6,0)=0,"",VLOOKUP($A79,Data_Template!$A$6:$BA$16,COLUMNS($A:AJ)+6,0))</f>
        <v/>
      </c>
      <c r="AQ79" s="42" t="str">
        <f>IF(VLOOKUP($A79,Data_Template!$A$6:$BA$16,COLUMNS($A:AK)+6,0)=0,"",VLOOKUP($A79,Data_Template!$A$6:$BA$16,COLUMNS($A:AK)+6,0))</f>
        <v/>
      </c>
      <c r="AR79" s="42" t="str">
        <f>IF(VLOOKUP($A79,Data_Template!$A$6:$BA$16,COLUMNS($A:AL)+6,0)=0,"",VLOOKUP($A79,Data_Template!$A$6:$BA$16,COLUMNS($A:AL)+6,0))</f>
        <v/>
      </c>
      <c r="AS79" s="42" t="str">
        <f>IF(VLOOKUP($A79,Data_Template!$A$6:$BA$16,COLUMNS($A:AM)+6,0)=0,"",VLOOKUP($A79,Data_Template!$A$6:$BA$16,COLUMNS($A:AM)+6,0))</f>
        <v/>
      </c>
      <c r="AT79" s="42" t="str">
        <f>IF(VLOOKUP($A79,Data_Template!$A$6:$BA$16,COLUMNS($A:AN)+6,0)=0,"",VLOOKUP($A79,Data_Template!$A$6:$BA$16,COLUMNS($A:AN)+6,0))</f>
        <v/>
      </c>
      <c r="AU79" s="42" t="str">
        <f>IF(VLOOKUP($A79,Data_Template!$A$6:$BA$16,COLUMNS($A:AO)+6,0)=0,"",VLOOKUP($A79,Data_Template!$A$6:$BA$16,COLUMNS($A:AO)+6,0))</f>
        <v/>
      </c>
      <c r="AV79" s="42" t="str">
        <f>IF(VLOOKUP($A79,Data_Template!$A$6:$BA$16,COLUMNS($A:AP)+6,0)=0,"",VLOOKUP($A79,Data_Template!$A$6:$BA$16,COLUMNS($A:AP)+6,0))</f>
        <v/>
      </c>
      <c r="AW79" s="42" t="str">
        <f>IF(VLOOKUP($A79,Data_Template!$A$6:$BA$16,COLUMNS($A:AQ)+6,0)=0,"",VLOOKUP($A79,Data_Template!$A$6:$BA$16,COLUMNS($A:AQ)+6,0))</f>
        <v/>
      </c>
      <c r="AX79" s="42" t="str">
        <f>IF(VLOOKUP($A79,Data_Template!$A$6:$BA$16,COLUMNS($A:AR)+6,0)=0,"",VLOOKUP($A79,Data_Template!$A$6:$BA$16,COLUMNS($A:AR)+6,0))</f>
        <v/>
      </c>
      <c r="AY79" s="42" t="str">
        <f>IF(VLOOKUP($A79,Data_Template!$A$6:$BA$16,COLUMNS($A:AS)+6,0)=0,"",VLOOKUP($A79,Data_Template!$A$6:$BA$16,COLUMNS($A:AS)+6,0))</f>
        <v/>
      </c>
      <c r="AZ79" s="42" t="str">
        <f>IF(VLOOKUP($A79,Data_Template!$A$6:$BA$16,COLUMNS($A:AT)+6,0)=0,"",VLOOKUP($A79,Data_Template!$A$6:$BA$16,COLUMNS($A:AT)+6,0))</f>
        <v/>
      </c>
      <c r="BA79" s="42" t="str">
        <f>IF(VLOOKUP($A79,Data_Template!$A$6:$BA$16,COLUMNS($A:AU)+6,0)=0,"",VLOOKUP($A79,Data_Template!$A$6:$BA$16,COLUMNS($A:AU)+6,0))</f>
        <v/>
      </c>
      <c r="BB79" s="50"/>
      <c r="BC79" s="42"/>
      <c r="BD79" s="42"/>
      <c r="BE79" s="42"/>
      <c r="BF79" s="42"/>
      <c r="BG79" s="42"/>
      <c r="BH79" s="42"/>
      <c r="BI79" s="42"/>
      <c r="BJ79" s="42"/>
      <c r="BL79" s="42"/>
      <c r="BM79" s="42"/>
      <c r="BN79" s="42"/>
      <c r="BO79" s="42"/>
      <c r="BP79" s="42"/>
      <c r="BQ79" s="42"/>
      <c r="BR79" s="42"/>
      <c r="BS79" s="42"/>
      <c r="BT79" s="42"/>
      <c r="BU79" s="42"/>
      <c r="BV79" s="42"/>
      <c r="BW79" s="42"/>
      <c r="BX79" s="42"/>
    </row>
    <row r="80" spans="1:76" s="51" customFormat="1" ht="14.25" x14ac:dyDescent="0.2">
      <c r="A80" s="246" t="str">
        <f>Classes!J17</f>
        <v>IFMA_C_31010010</v>
      </c>
      <c r="B80" s="246" t="str">
        <f>Classes!P17</f>
        <v>Gebäude</v>
      </c>
      <c r="C80" s="37"/>
      <c r="D80" s="42" t="s">
        <v>884</v>
      </c>
      <c r="E80" s="41"/>
      <c r="G80" s="42" t="str">
        <f>IF(VLOOKUP($A80,Data_Template!$A$6:$BA$16,COLUMNS($A:A)+6,0)=0,"",VLOOKUP($A80,Data_Template!$A$6:$BA$16,COLUMNS($A:A)+6,0))</f>
        <v>x</v>
      </c>
      <c r="H80" s="42" t="str">
        <f>IF(VLOOKUP($A80,Data_Template!$A$6:$BA$16,COLUMNS($A:B)+6,0)=0,"",VLOOKUP($A80,Data_Template!$A$6:$BA$16,COLUMNS($A:B)+6,0))</f>
        <v>x</v>
      </c>
      <c r="I80" s="42" t="str">
        <f>IF(VLOOKUP($A80,Data_Template!$A$6:$BA$16,COLUMNS($A:C)+6,0)=0,"",VLOOKUP($A80,Data_Template!$A$6:$BA$16,COLUMNS($A:C)+6,0))</f>
        <v/>
      </c>
      <c r="J80" s="42" t="str">
        <f>IF(VLOOKUP($A80,Data_Template!$A$6:$BA$16,COLUMNS($A:D)+6,0)=0,"",VLOOKUP($A80,Data_Template!$A$6:$BA$16,COLUMNS($A:D)+6,0))</f>
        <v/>
      </c>
      <c r="K80" s="42" t="str">
        <f>IF(VLOOKUP($A80,Data_Template!$A$6:$BA$16,COLUMNS($A:E)+6,0)=0,"",VLOOKUP($A80,Data_Template!$A$6:$BA$16,COLUMNS($A:E)+6,0))</f>
        <v/>
      </c>
      <c r="L80" s="42" t="str">
        <f>IF(VLOOKUP($A80,Data_Template!$A$6:$BA$16,COLUMNS($A:F)+6,0)=0,"",VLOOKUP($A80,Data_Template!$A$6:$BA$16,COLUMNS($A:F)+6,0))</f>
        <v/>
      </c>
      <c r="M80" s="42" t="str">
        <f>IF(VLOOKUP($A80,Data_Template!$A$6:$BA$16,COLUMNS($A:G)+6,0)=0,"",VLOOKUP($A80,Data_Template!$A$6:$BA$16,COLUMNS($A:G)+6,0))</f>
        <v/>
      </c>
      <c r="N80" s="42" t="str">
        <f>IF(VLOOKUP($A80,Data_Template!$A$6:$BA$16,COLUMNS($A:H)+6,0)=0,"",VLOOKUP($A80,Data_Template!$A$6:$BA$16,COLUMNS($A:H)+6,0))</f>
        <v/>
      </c>
      <c r="O80" s="42" t="str">
        <f>IF(VLOOKUP($A80,Data_Template!$A$6:$BA$16,COLUMNS($A:I)+6,0)=0,"",VLOOKUP($A80,Data_Template!$A$6:$BA$16,COLUMNS($A:I)+6,0))</f>
        <v/>
      </c>
      <c r="P80" s="42" t="str">
        <f>IF(VLOOKUP($A80,Data_Template!$A$6:$BA$16,COLUMNS($A:J)+6,0)=0,"",VLOOKUP($A80,Data_Template!$A$6:$BA$16,COLUMNS($A:J)+6,0))</f>
        <v/>
      </c>
      <c r="Q80" s="42"/>
      <c r="R80" s="42" t="str">
        <f>IF(VLOOKUP($A80,Data_Template!$A$6:$BA$16,COLUMNS($A:L)+6,0)=0,"",VLOOKUP($A80,Data_Template!$A$6:$BA$16,COLUMNS($A:L)+6,0))</f>
        <v/>
      </c>
      <c r="S80" s="42" t="str">
        <f>IF(VLOOKUP($A80,Data_Template!$A$6:$BA$16,COLUMNS($A:M)+6,0)=0,"",VLOOKUP($A80,Data_Template!$A$6:$BA$16,COLUMNS($A:M)+6,0))</f>
        <v/>
      </c>
      <c r="T80" s="42" t="str">
        <f>IF(VLOOKUP($A80,Data_Template!$A$6:$BA$16,COLUMNS($A:N)+6,0)=0,"",VLOOKUP($A80,Data_Template!$A$6:$BA$16,COLUMNS($A:N)+6,0))</f>
        <v/>
      </c>
      <c r="U80" s="42" t="str">
        <f>IF(VLOOKUP($A80,Data_Template!$A$6:$BA$16,COLUMNS($A:O)+6,0)=0,"",VLOOKUP($A80,Data_Template!$A$6:$BA$16,COLUMNS($A:O)+6,0))</f>
        <v/>
      </c>
      <c r="V80" s="42" t="str">
        <f>IF(VLOOKUP($A80,Data_Template!$A$6:$BA$16,COLUMNS($A:P)+6,0)=0,"",VLOOKUP($A80,Data_Template!$A$6:$BA$16,COLUMNS($A:P)+6,0))</f>
        <v/>
      </c>
      <c r="W80" s="42" t="str">
        <f>IF(VLOOKUP($A80,Data_Template!$A$6:$BA$16,COLUMNS($A:Q)+6,0)=0,"",VLOOKUP($A80,Data_Template!$A$6:$BA$16,COLUMNS($A:Q)+6,0))</f>
        <v/>
      </c>
      <c r="X80" s="42" t="str">
        <f>IF(VLOOKUP($A80,Data_Template!$A$6:$BA$16,COLUMNS($A:R)+6,0)=0,"",VLOOKUP($A80,Data_Template!$A$6:$BA$16,COLUMNS($A:R)+6,0))</f>
        <v/>
      </c>
      <c r="Y80" s="42" t="str">
        <f>IF(VLOOKUP($A80,Data_Template!$A$6:$BA$16,COLUMNS($A:S)+6,0)=0,"",VLOOKUP($A80,Data_Template!$A$6:$BA$16,COLUMNS($A:S)+6,0))</f>
        <v/>
      </c>
      <c r="Z80" s="42" t="str">
        <f>IF(VLOOKUP($A80,Data_Template!$A$6:$BA$16,COLUMNS($A:T)+6,0)=0,"",VLOOKUP($A80,Data_Template!$A$6:$BA$16,COLUMNS($A:T)+6,0))</f>
        <v/>
      </c>
      <c r="AA80" s="42" t="str">
        <f>IF(VLOOKUP($A80,Data_Template!$A$6:$BA$16,COLUMNS($A:U)+6,0)=0,"",VLOOKUP($A80,Data_Template!$A$6:$BA$16,COLUMNS($A:U)+6,0))</f>
        <v/>
      </c>
      <c r="AB80" s="42" t="str">
        <f>IF(VLOOKUP($A80,Data_Template!$A$6:$BA$16,COLUMNS($A:V)+6,0)=0,"",VLOOKUP($A80,Data_Template!$A$6:$BA$16,COLUMNS($A:V)+6,0))</f>
        <v/>
      </c>
      <c r="AC80" s="42" t="str">
        <f>IF(VLOOKUP($A80,Data_Template!$A$6:$BA$16,COLUMNS($A:W)+6,0)=0,"",VLOOKUP($A80,Data_Template!$A$6:$BA$16,COLUMNS($A:W)+6,0))</f>
        <v/>
      </c>
      <c r="AD80" s="42" t="str">
        <f>IF(VLOOKUP($A80,Data_Template!$A$6:$BA$16,COLUMNS($A:X)+6,0)=0,"",VLOOKUP($A80,Data_Template!$A$6:$BA$16,COLUMNS($A:X)+6,0))</f>
        <v/>
      </c>
      <c r="AE80" s="42" t="str">
        <f>IF(VLOOKUP($A80,Data_Template!$A$6:$BA$16,COLUMNS($A:Y)+6,0)=0,"",VLOOKUP($A80,Data_Template!$A$6:$BA$16,COLUMNS($A:Y)+6,0))</f>
        <v/>
      </c>
      <c r="AF80" s="42" t="str">
        <f>IF(VLOOKUP($A80,Data_Template!$A$6:$BA$16,COLUMNS($A:Z)+6,0)=0,"",VLOOKUP($A80,Data_Template!$A$6:$BA$16,COLUMNS($A:Z)+6,0))</f>
        <v/>
      </c>
      <c r="AG80" s="42" t="str">
        <f>IF(VLOOKUP($A80,Data_Template!$A$6:$BA$16,COLUMNS($A:AA)+6,0)=0,"",VLOOKUP($A80,Data_Template!$A$6:$BA$16,COLUMNS($A:AA)+6,0))</f>
        <v/>
      </c>
      <c r="AH80" s="42" t="str">
        <f>IF(VLOOKUP($A80,Data_Template!$A$6:$BA$16,COLUMNS($A:AB)+6,0)=0,"",VLOOKUP($A80,Data_Template!$A$6:$BA$16,COLUMNS($A:AB)+6,0))</f>
        <v/>
      </c>
      <c r="AI80" s="42" t="str">
        <f>IF(VLOOKUP($A80,Data_Template!$A$6:$BA$16,COLUMNS($A:AC)+6,0)=0,"",VLOOKUP($A80,Data_Template!$A$6:$BA$16,COLUMNS($A:AC)+6,0))</f>
        <v/>
      </c>
      <c r="AJ80" s="42" t="str">
        <f>IF(VLOOKUP($A80,Data_Template!$A$6:$BA$16,COLUMNS($A:AD)+6,0)=0,"",VLOOKUP($A80,Data_Template!$A$6:$BA$16,COLUMNS($A:AD)+6,0))</f>
        <v/>
      </c>
      <c r="AK80" s="42" t="str">
        <f>IF(VLOOKUP($A80,Data_Template!$A$6:$BA$16,COLUMNS($A:AE)+6,0)=0,"",VLOOKUP($A80,Data_Template!$A$6:$BA$16,COLUMNS($A:AE)+6,0))</f>
        <v/>
      </c>
      <c r="AL80" s="42" t="str">
        <f>IF(VLOOKUP($A80,Data_Template!$A$6:$BA$16,COLUMNS($A:AF)+6,0)=0,"",VLOOKUP($A80,Data_Template!$A$6:$BA$16,COLUMNS($A:AF)+6,0))</f>
        <v/>
      </c>
      <c r="AM80" s="42" t="str">
        <f>IF(VLOOKUP($A80,Data_Template!$A$6:$BA$16,COLUMNS($A:AG)+6,0)=0,"",VLOOKUP($A80,Data_Template!$A$6:$BA$16,COLUMNS($A:AG)+6,0))</f>
        <v/>
      </c>
      <c r="AN80" s="42" t="str">
        <f>IF(VLOOKUP($A80,Data_Template!$A$6:$BA$16,COLUMNS($A:AH)+6,0)=0,"",VLOOKUP($A80,Data_Template!$A$6:$BA$16,COLUMNS($A:AH)+6,0))</f>
        <v/>
      </c>
      <c r="AO80" s="42" t="str">
        <f>IF(VLOOKUP($A80,Data_Template!$A$6:$BA$16,COLUMNS($A:AI)+6,0)=0,"",VLOOKUP($A80,Data_Template!$A$6:$BA$16,COLUMNS($A:AI)+6,0))</f>
        <v/>
      </c>
      <c r="AP80" s="42" t="str">
        <f>IF(VLOOKUP($A80,Data_Template!$A$6:$BA$16,COLUMNS($A:AJ)+6,0)=0,"",VLOOKUP($A80,Data_Template!$A$6:$BA$16,COLUMNS($A:AJ)+6,0))</f>
        <v/>
      </c>
      <c r="AQ80" s="42" t="str">
        <f>IF(VLOOKUP($A80,Data_Template!$A$6:$BA$16,COLUMNS($A:AK)+6,0)=0,"",VLOOKUP($A80,Data_Template!$A$6:$BA$16,COLUMNS($A:AK)+6,0))</f>
        <v/>
      </c>
      <c r="AR80" s="42" t="str">
        <f>IF(VLOOKUP($A80,Data_Template!$A$6:$BA$16,COLUMNS($A:AL)+6,0)=0,"",VLOOKUP($A80,Data_Template!$A$6:$BA$16,COLUMNS($A:AL)+6,0))</f>
        <v/>
      </c>
      <c r="AS80" s="42" t="str">
        <f>IF(VLOOKUP($A80,Data_Template!$A$6:$BA$16,COLUMNS($A:AM)+6,0)=0,"",VLOOKUP($A80,Data_Template!$A$6:$BA$16,COLUMNS($A:AM)+6,0))</f>
        <v/>
      </c>
      <c r="AT80" s="42" t="str">
        <f>IF(VLOOKUP($A80,Data_Template!$A$6:$BA$16,COLUMNS($A:AN)+6,0)=0,"",VLOOKUP($A80,Data_Template!$A$6:$BA$16,COLUMNS($A:AN)+6,0))</f>
        <v/>
      </c>
      <c r="AU80" s="42" t="str">
        <f>IF(VLOOKUP($A80,Data_Template!$A$6:$BA$16,COLUMNS($A:AO)+6,0)=0,"",VLOOKUP($A80,Data_Template!$A$6:$BA$16,COLUMNS($A:AO)+6,0))</f>
        <v/>
      </c>
      <c r="AV80" s="42" t="str">
        <f>IF(VLOOKUP($A80,Data_Template!$A$6:$BA$16,COLUMNS($A:AP)+6,0)=0,"",VLOOKUP($A80,Data_Template!$A$6:$BA$16,COLUMNS($A:AP)+6,0))</f>
        <v/>
      </c>
      <c r="AW80" s="42" t="str">
        <f>IF(VLOOKUP($A80,Data_Template!$A$6:$BA$16,COLUMNS($A:AQ)+6,0)=0,"",VLOOKUP($A80,Data_Template!$A$6:$BA$16,COLUMNS($A:AQ)+6,0))</f>
        <v/>
      </c>
      <c r="AX80" s="42" t="str">
        <f>IF(VLOOKUP($A80,Data_Template!$A$6:$BA$16,COLUMNS($A:AR)+6,0)=0,"",VLOOKUP($A80,Data_Template!$A$6:$BA$16,COLUMNS($A:AR)+6,0))</f>
        <v/>
      </c>
      <c r="AY80" s="42" t="str">
        <f>IF(VLOOKUP($A80,Data_Template!$A$6:$BA$16,COLUMNS($A:AS)+6,0)=0,"",VLOOKUP($A80,Data_Template!$A$6:$BA$16,COLUMNS($A:AS)+6,0))</f>
        <v/>
      </c>
      <c r="AZ80" s="42" t="str">
        <f>IF(VLOOKUP($A80,Data_Template!$A$6:$BA$16,COLUMNS($A:AT)+6,0)=0,"",VLOOKUP($A80,Data_Template!$A$6:$BA$16,COLUMNS($A:AT)+6,0))</f>
        <v/>
      </c>
      <c r="BA80" s="42" t="str">
        <f>IF(VLOOKUP($A80,Data_Template!$A$6:$BA$16,COLUMNS($A:AU)+6,0)=0,"",VLOOKUP($A80,Data_Template!$A$6:$BA$16,COLUMNS($A:AU)+6,0))</f>
        <v/>
      </c>
      <c r="BB80" s="50"/>
      <c r="BC80" s="42"/>
      <c r="BD80" s="42"/>
      <c r="BE80" s="42"/>
      <c r="BF80" s="42"/>
      <c r="BG80" s="42"/>
      <c r="BH80" s="42"/>
      <c r="BI80" s="42"/>
      <c r="BJ80" s="42"/>
      <c r="BL80" s="42"/>
      <c r="BM80" s="42"/>
      <c r="BN80" s="42"/>
      <c r="BO80" s="42"/>
      <c r="BP80" s="42"/>
      <c r="BQ80" s="42"/>
      <c r="BR80" s="42"/>
      <c r="BS80" s="42"/>
      <c r="BT80" s="42"/>
      <c r="BU80" s="42"/>
      <c r="BV80" s="42"/>
      <c r="BW80" s="42"/>
      <c r="BX80" s="42"/>
    </row>
    <row r="82" spans="1:78" s="67" customFormat="1" ht="6" customHeight="1" x14ac:dyDescent="0.25">
      <c r="A82" s="264"/>
      <c r="B82" s="265"/>
      <c r="C82" s="251"/>
      <c r="D82" s="252"/>
      <c r="E82" s="253"/>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251"/>
      <c r="BC82" s="254"/>
      <c r="BD82" s="251"/>
      <c r="BE82" s="251"/>
      <c r="BF82" s="251"/>
      <c r="BG82" s="251"/>
      <c r="BH82" s="251"/>
      <c r="BI82" s="251"/>
      <c r="BJ82" s="251"/>
      <c r="BK82" s="251"/>
      <c r="BL82" s="254"/>
      <c r="BM82" s="251"/>
      <c r="BN82" s="251"/>
      <c r="BO82" s="251"/>
      <c r="BP82" s="251"/>
      <c r="BQ82" s="251"/>
      <c r="BR82" s="251"/>
      <c r="BS82" s="251"/>
      <c r="BT82" s="251"/>
      <c r="BU82" s="251"/>
      <c r="BV82" s="251"/>
      <c r="BW82" s="251"/>
      <c r="BX82" s="255"/>
    </row>
    <row r="83" spans="1:78" s="67" customFormat="1" ht="18" customHeight="1" x14ac:dyDescent="0.25">
      <c r="A83" s="272" t="s">
        <v>974</v>
      </c>
      <c r="B83" s="288" t="s">
        <v>970</v>
      </c>
      <c r="C83" s="288"/>
      <c r="D83" s="288"/>
      <c r="E83" s="249"/>
      <c r="F83" s="248"/>
      <c r="G83" s="256"/>
      <c r="H83" s="256"/>
      <c r="I83" s="257" t="s">
        <v>971</v>
      </c>
      <c r="J83" s="257"/>
      <c r="K83" s="257"/>
      <c r="L83" s="257"/>
      <c r="M83" s="248"/>
      <c r="N83" s="248"/>
      <c r="O83" s="273"/>
      <c r="P83" s="273"/>
      <c r="Q83" s="257" t="s">
        <v>996</v>
      </c>
      <c r="R83" s="257"/>
      <c r="S83" s="257"/>
      <c r="T83" s="257"/>
      <c r="U83" s="257"/>
      <c r="V83" s="257"/>
      <c r="W83" s="257"/>
      <c r="X83" s="257"/>
      <c r="Y83" s="257"/>
      <c r="Z83" s="257"/>
      <c r="AA83" s="257"/>
      <c r="AB83" s="257"/>
      <c r="AC83" s="257"/>
      <c r="AD83" s="257"/>
      <c r="AE83" s="257"/>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7"/>
      <c r="BC83" s="250"/>
      <c r="BD83" s="247"/>
      <c r="BE83" s="247"/>
      <c r="BF83" s="247"/>
      <c r="BG83" s="247"/>
      <c r="BH83" s="247"/>
      <c r="BI83" s="247"/>
      <c r="BJ83" s="247"/>
      <c r="BK83" s="247"/>
      <c r="BL83" s="250"/>
      <c r="BM83" s="247"/>
      <c r="BN83" s="247"/>
      <c r="BO83" s="247"/>
      <c r="BP83" s="247"/>
      <c r="BQ83" s="247"/>
      <c r="BR83" s="247"/>
      <c r="BS83" s="247"/>
      <c r="BT83" s="247"/>
      <c r="BU83" s="247"/>
      <c r="BV83" s="247"/>
      <c r="BW83" s="247"/>
      <c r="BX83" s="258"/>
    </row>
    <row r="84" spans="1:78" s="67" customFormat="1" ht="6" customHeight="1" x14ac:dyDescent="0.25">
      <c r="A84" s="266"/>
      <c r="B84" s="267"/>
      <c r="C84" s="259"/>
      <c r="D84" s="260"/>
      <c r="E84" s="261"/>
      <c r="F84" s="260"/>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260"/>
      <c r="AE84" s="260"/>
      <c r="AF84" s="260"/>
      <c r="AG84" s="260"/>
      <c r="AH84" s="260"/>
      <c r="AI84" s="260"/>
      <c r="AJ84" s="260"/>
      <c r="AK84" s="260"/>
      <c r="AL84" s="260"/>
      <c r="AM84" s="260"/>
      <c r="AN84" s="260"/>
      <c r="AO84" s="260"/>
      <c r="AP84" s="260"/>
      <c r="AQ84" s="260"/>
      <c r="AR84" s="260"/>
      <c r="AS84" s="260"/>
      <c r="AT84" s="260"/>
      <c r="AU84" s="260"/>
      <c r="AV84" s="260"/>
      <c r="AW84" s="260"/>
      <c r="AX84" s="260"/>
      <c r="AY84" s="260"/>
      <c r="AZ84" s="260"/>
      <c r="BA84" s="260"/>
      <c r="BB84" s="259"/>
      <c r="BC84" s="262"/>
      <c r="BD84" s="259"/>
      <c r="BE84" s="259"/>
      <c r="BF84" s="259"/>
      <c r="BG84" s="259"/>
      <c r="BH84" s="259"/>
      <c r="BI84" s="259"/>
      <c r="BJ84" s="259"/>
      <c r="BK84" s="259"/>
      <c r="BL84" s="262"/>
      <c r="BM84" s="259"/>
      <c r="BN84" s="259"/>
      <c r="BO84" s="259"/>
      <c r="BP84" s="259"/>
      <c r="BQ84" s="259"/>
      <c r="BR84" s="259"/>
      <c r="BS84" s="259"/>
      <c r="BT84" s="259"/>
      <c r="BU84" s="259"/>
      <c r="BV84" s="259"/>
      <c r="BW84" s="259"/>
      <c r="BX84" s="263"/>
    </row>
    <row r="85" spans="1:78" s="52" customFormat="1" ht="18" x14ac:dyDescent="0.2">
      <c r="A85" s="42" t="str">
        <f>Classes!J7</f>
        <v>IFMA_C_31010000</v>
      </c>
      <c r="B85" s="42" t="str">
        <f>Classes!P7</f>
        <v>Geschoss</v>
      </c>
      <c r="C85" s="37"/>
      <c r="D85" s="42" t="s">
        <v>884</v>
      </c>
      <c r="E85" s="41"/>
      <c r="F85" s="51"/>
      <c r="G85" s="42" t="str">
        <f>IF(VLOOKUP($A85,Data_Template!$A$6:$BA$16,COLUMNS($A:A)+6,0)=0,"",VLOOKUP($A85,Data_Template!$A$6:$BA$16,COLUMNS($A:A)+6,0))</f>
        <v>x</v>
      </c>
      <c r="H85" s="42" t="str">
        <f>IF(VLOOKUP($A85,Data_Template!$A$6:$BA$16,COLUMNS($A:B)+6,0)=0,"",VLOOKUP($A85,Data_Template!$A$6:$BA$16,COLUMNS($A:B)+6,0))</f>
        <v>x</v>
      </c>
      <c r="I85" s="42" t="str">
        <f>IF(VLOOKUP($A85,Data_Template!$A$6:$BA$16,COLUMNS($A:C)+6,0)=0,"",VLOOKUP($A85,Data_Template!$A$6:$BA$16,COLUMNS($A:C)+6,0))</f>
        <v/>
      </c>
      <c r="J85" s="42" t="str">
        <f>IF(VLOOKUP($A85,Data_Template!$A$6:$BA$16,COLUMNS($A:D)+6,0)=0,"",VLOOKUP($A85,Data_Template!$A$6:$BA$16,COLUMNS($A:D)+6,0))</f>
        <v/>
      </c>
      <c r="K85" s="42" t="str">
        <f>IF(VLOOKUP($A85,Data_Template!$A$6:$BA$16,COLUMNS($A:E)+6,0)=0,"",VLOOKUP($A85,Data_Template!$A$6:$BA$16,COLUMNS($A:E)+6,0))</f>
        <v/>
      </c>
      <c r="L85" s="42" t="str">
        <f>IF(VLOOKUP($A85,Data_Template!$A$6:$BA$16,COLUMNS($A:F)+6,0)=0,"",VLOOKUP($A85,Data_Template!$A$6:$BA$16,COLUMNS($A:F)+6,0))</f>
        <v/>
      </c>
      <c r="M85" s="42" t="str">
        <f>IF(VLOOKUP($A85,Data_Template!$A$6:$BA$16,COLUMNS($A:G)+6,0)=0,"",VLOOKUP($A85,Data_Template!$A$6:$BA$16,COLUMNS($A:G)+6,0))</f>
        <v/>
      </c>
      <c r="N85" s="42" t="str">
        <f>IF(VLOOKUP($A85,Data_Template!$A$6:$BA$16,COLUMNS($A:H)+6,0)=0,"",VLOOKUP($A85,Data_Template!$A$6:$BA$16,COLUMNS($A:H)+6,0))</f>
        <v/>
      </c>
      <c r="O85" s="42" t="str">
        <f>IF(VLOOKUP($A85,Data_Template!$A$6:$BA$16,COLUMNS($A:I)+6,0)=0,"",VLOOKUP($A85,Data_Template!$A$6:$BA$16,COLUMNS($A:I)+6,0))</f>
        <v/>
      </c>
      <c r="P85" s="42" t="str">
        <f>IF(VLOOKUP($A85,Data_Template!$A$6:$BA$16,COLUMNS($A:J)+6,0)=0,"",VLOOKUP($A85,Data_Template!$A$6:$BA$16,COLUMNS($A:J)+6,0))</f>
        <v/>
      </c>
      <c r="Q85" s="42" t="str">
        <f>IF(VLOOKUP($A85,Data_Template!$A$6:$BA$16,COLUMNS($A:K)+6,0)=0,"",VLOOKUP($A85,Data_Template!$A$6:$BA$16,COLUMNS($A:K)+6,0))</f>
        <v>x</v>
      </c>
      <c r="R85" s="42" t="str">
        <f>IF(VLOOKUP($A85,Data_Template!$A$6:$BA$16,COLUMNS($A:L)+6,0)=0,"",VLOOKUP($A85,Data_Template!$A$6:$BA$16,COLUMNS($A:L)+6,0))</f>
        <v/>
      </c>
      <c r="S85" s="42" t="str">
        <f>IF(VLOOKUP($A85,Data_Template!$A$6:$BA$16,COLUMNS($A:M)+6,0)=0,"",VLOOKUP($A85,Data_Template!$A$6:$BA$16,COLUMNS($A:M)+6,0))</f>
        <v/>
      </c>
      <c r="T85" s="42" t="str">
        <f>IF(VLOOKUP($A85,Data_Template!$A$6:$BA$16,COLUMNS($A:N)+6,0)=0,"",VLOOKUP($A85,Data_Template!$A$6:$BA$16,COLUMNS($A:N)+6,0))</f>
        <v/>
      </c>
      <c r="U85" s="42" t="str">
        <f>IF(VLOOKUP($A85,Data_Template!$A$6:$BA$16,COLUMNS($A:O)+6,0)=0,"",VLOOKUP($A85,Data_Template!$A$6:$BA$16,COLUMNS($A:O)+6,0))</f>
        <v/>
      </c>
      <c r="V85" s="42" t="str">
        <f>IF(VLOOKUP($A85,Data_Template!$A$6:$BA$16,COLUMNS($A:P)+6,0)=0,"",VLOOKUP($A85,Data_Template!$A$6:$BA$16,COLUMNS($A:P)+6,0))</f>
        <v/>
      </c>
      <c r="W85" s="42" t="str">
        <f>IF(VLOOKUP($A85,Data_Template!$A$6:$BA$16,COLUMNS($A:Q)+6,0)=0,"",VLOOKUP($A85,Data_Template!$A$6:$BA$16,COLUMNS($A:Q)+6,0))</f>
        <v/>
      </c>
      <c r="X85" s="42" t="str">
        <f>IF(VLOOKUP($A85,Data_Template!$A$6:$BA$16,COLUMNS($A:R)+6,0)=0,"",VLOOKUP($A85,Data_Template!$A$6:$BA$16,COLUMNS($A:R)+6,0))</f>
        <v/>
      </c>
      <c r="Y85" s="42" t="str">
        <f>IF(VLOOKUP($A85,Data_Template!$A$6:$BA$16,COLUMNS($A:S)+6,0)=0,"",VLOOKUP($A85,Data_Template!$A$6:$BA$16,COLUMNS($A:S)+6,0))</f>
        <v/>
      </c>
      <c r="Z85" s="42" t="str">
        <f>IF(VLOOKUP($A85,Data_Template!$A$6:$BA$16,COLUMNS($A:T)+6,0)=0,"",VLOOKUP($A85,Data_Template!$A$6:$BA$16,COLUMNS($A:T)+6,0))</f>
        <v/>
      </c>
      <c r="AA85" s="42" t="str">
        <f>IF(VLOOKUP($A85,Data_Template!$A$6:$BA$16,COLUMNS($A:U)+6,0)=0,"",VLOOKUP($A85,Data_Template!$A$6:$BA$16,COLUMNS($A:U)+6,0))</f>
        <v/>
      </c>
      <c r="AB85" s="42" t="str">
        <f>IF(VLOOKUP($A85,Data_Template!$A$6:$BA$16,COLUMNS($A:V)+6,0)=0,"",VLOOKUP($A85,Data_Template!$A$6:$BA$16,COLUMNS($A:V)+6,0))</f>
        <v/>
      </c>
      <c r="AC85" s="42" t="str">
        <f>IF(VLOOKUP($A85,Data_Template!$A$6:$BA$16,COLUMNS($A:W)+6,0)=0,"",VLOOKUP($A85,Data_Template!$A$6:$BA$16,COLUMNS($A:W)+6,0))</f>
        <v/>
      </c>
      <c r="AD85" s="42" t="str">
        <f>IF(VLOOKUP($A85,Data_Template!$A$6:$BA$16,COLUMNS($A:X)+6,0)=0,"",VLOOKUP($A85,Data_Template!$A$6:$BA$16,COLUMNS($A:X)+6,0))</f>
        <v/>
      </c>
      <c r="AE85" s="42" t="str">
        <f>IF(VLOOKUP($A85,Data_Template!$A$6:$BA$16,COLUMNS($A:Y)+6,0)=0,"",VLOOKUP($A85,Data_Template!$A$6:$BA$16,COLUMNS($A:Y)+6,0))</f>
        <v/>
      </c>
      <c r="AF85" s="42" t="str">
        <f>IF(VLOOKUP($A85,Data_Template!$A$6:$BA$16,COLUMNS($A:Z)+6,0)=0,"",VLOOKUP($A85,Data_Template!$A$6:$BA$16,COLUMNS($A:Z)+6,0))</f>
        <v/>
      </c>
      <c r="AG85" s="42" t="str">
        <f>IF(VLOOKUP($A85,Data_Template!$A$6:$BA$16,COLUMNS($A:AA)+6,0)=0,"",VLOOKUP($A85,Data_Template!$A$6:$BA$16,COLUMNS($A:AA)+6,0))</f>
        <v/>
      </c>
      <c r="AH85" s="42" t="str">
        <f>IF(VLOOKUP($A85,Data_Template!$A$6:$BA$16,COLUMNS($A:AB)+6,0)=0,"",VLOOKUP($A85,Data_Template!$A$6:$BA$16,COLUMNS($A:AB)+6,0))</f>
        <v/>
      </c>
      <c r="AI85" s="42" t="str">
        <f>IF(VLOOKUP($A85,Data_Template!$A$6:$BA$16,COLUMNS($A:AC)+6,0)=0,"",VLOOKUP($A85,Data_Template!$A$6:$BA$16,COLUMNS($A:AC)+6,0))</f>
        <v/>
      </c>
      <c r="AJ85" s="42" t="str">
        <f>IF(VLOOKUP($A85,Data_Template!$A$6:$BA$16,COLUMNS($A:AD)+6,0)=0,"",VLOOKUP($A85,Data_Template!$A$6:$BA$16,COLUMNS($A:AD)+6,0))</f>
        <v/>
      </c>
      <c r="AK85" s="42" t="str">
        <f>IF(VLOOKUP($A85,Data_Template!$A$6:$BA$16,COLUMNS($A:AE)+6,0)=0,"",VLOOKUP($A85,Data_Template!$A$6:$BA$16,COLUMNS($A:AE)+6,0))</f>
        <v/>
      </c>
      <c r="AL85" s="42" t="str">
        <f>IF(VLOOKUP($A85,Data_Template!$A$6:$BA$16,COLUMNS($A:AF)+6,0)=0,"",VLOOKUP($A85,Data_Template!$A$6:$BA$16,COLUMNS($A:AF)+6,0))</f>
        <v/>
      </c>
      <c r="AM85" s="42" t="str">
        <f>IF(VLOOKUP($A85,Data_Template!$A$6:$BA$16,COLUMNS($A:AG)+6,0)=0,"",VLOOKUP($A85,Data_Template!$A$6:$BA$16,COLUMNS($A:AG)+6,0))</f>
        <v/>
      </c>
      <c r="AN85" s="42" t="str">
        <f>IF(VLOOKUP($A85,Data_Template!$A$6:$BA$16,COLUMNS($A:AH)+6,0)=0,"",VLOOKUP($A85,Data_Template!$A$6:$BA$16,COLUMNS($A:AH)+6,0))</f>
        <v/>
      </c>
      <c r="AO85" s="42" t="str">
        <f>IF(VLOOKUP($A85,Data_Template!$A$6:$BA$16,COLUMNS($A:AI)+6,0)=0,"",VLOOKUP($A85,Data_Template!$A$6:$BA$16,COLUMNS($A:AI)+6,0))</f>
        <v/>
      </c>
      <c r="AP85" s="42" t="str">
        <f>IF(VLOOKUP($A85,Data_Template!$A$6:$BA$16,COLUMNS($A:AJ)+6,0)=0,"",VLOOKUP($A85,Data_Template!$A$6:$BA$16,COLUMNS($A:AJ)+6,0))</f>
        <v/>
      </c>
      <c r="AQ85" s="42" t="str">
        <f>IF(VLOOKUP($A85,Data_Template!$A$6:$BA$16,COLUMNS($A:AK)+6,0)=0,"",VLOOKUP($A85,Data_Template!$A$6:$BA$16,COLUMNS($A:AK)+6,0))</f>
        <v/>
      </c>
      <c r="AR85" s="42" t="str">
        <f>IF(VLOOKUP($A85,Data_Template!$A$6:$BA$16,COLUMNS($A:AL)+6,0)=0,"",VLOOKUP($A85,Data_Template!$A$6:$BA$16,COLUMNS($A:AL)+6,0))</f>
        <v/>
      </c>
      <c r="AS85" s="42" t="str">
        <f>IF(VLOOKUP($A85,Data_Template!$A$6:$BA$16,COLUMNS($A:AM)+6,0)=0,"",VLOOKUP($A85,Data_Template!$A$6:$BA$16,COLUMNS($A:AM)+6,0))</f>
        <v/>
      </c>
      <c r="AT85" s="42" t="str">
        <f>IF(VLOOKUP($A85,Data_Template!$A$6:$BA$16,COLUMNS($A:AN)+6,0)=0,"",VLOOKUP($A85,Data_Template!$A$6:$BA$16,COLUMNS($A:AN)+6,0))</f>
        <v/>
      </c>
      <c r="AU85" s="42" t="str">
        <f>IF(VLOOKUP($A85,Data_Template!$A$6:$BA$16,COLUMNS($A:AO)+6,0)=0,"",VLOOKUP($A85,Data_Template!$A$6:$BA$16,COLUMNS($A:AO)+6,0))</f>
        <v/>
      </c>
      <c r="AV85" s="42" t="str">
        <f>IF(VLOOKUP($A85,Data_Template!$A$6:$BA$16,COLUMNS($A:AP)+6,0)=0,"",VLOOKUP($A85,Data_Template!$A$6:$BA$16,COLUMNS($A:AP)+6,0))</f>
        <v/>
      </c>
      <c r="AW85" s="42" t="str">
        <f>IF(VLOOKUP($A85,Data_Template!$A$6:$BA$16,COLUMNS($A:AQ)+6,0)=0,"",VLOOKUP($A85,Data_Template!$A$6:$BA$16,COLUMNS($A:AQ)+6,0))</f>
        <v/>
      </c>
      <c r="AX85" s="42" t="str">
        <f>IF(VLOOKUP($A85,Data_Template!$A$6:$BA$16,COLUMNS($A:AR)+6,0)=0,"",VLOOKUP($A85,Data_Template!$A$6:$BA$16,COLUMNS($A:AR)+6,0))</f>
        <v/>
      </c>
      <c r="AY85" s="42" t="str">
        <f>IF(VLOOKUP($A85,Data_Template!$A$6:$BA$16,COLUMNS($A:AS)+6,0)=0,"",VLOOKUP($A85,Data_Template!$A$6:$BA$16,COLUMNS($A:AS)+6,0))</f>
        <v/>
      </c>
      <c r="AZ85" s="42" t="str">
        <f>IF(VLOOKUP($A85,Data_Template!$A$6:$BA$16,COLUMNS($A:AT)+6,0)=0,"",VLOOKUP($A85,Data_Template!$A$6:$BA$16,COLUMNS($A:AT)+6,0))</f>
        <v/>
      </c>
      <c r="BA85" s="42" t="str">
        <f>IF(VLOOKUP($A85,Data_Template!$A$6:$BA$16,COLUMNS($A:AU)+6,0)=0,"",VLOOKUP($A85,Data_Template!$A$6:$BA$16,COLUMNS($A:AU)+6,0))</f>
        <v/>
      </c>
      <c r="BB85" s="50"/>
      <c r="BC85" s="42"/>
      <c r="BD85" s="42"/>
      <c r="BE85" s="42"/>
      <c r="BF85" s="42"/>
      <c r="BG85" s="42"/>
      <c r="BH85" s="42"/>
      <c r="BI85" s="42"/>
      <c r="BJ85" s="42"/>
      <c r="BL85" s="42"/>
      <c r="BM85" s="42"/>
      <c r="BN85" s="42"/>
      <c r="BO85" s="42"/>
      <c r="BP85" s="42"/>
      <c r="BQ85" s="42"/>
      <c r="BR85" s="42"/>
      <c r="BS85" s="42"/>
      <c r="BT85" s="42"/>
      <c r="BU85" s="42"/>
      <c r="BV85" s="42"/>
      <c r="BW85" s="42"/>
      <c r="BX85" s="42"/>
    </row>
    <row r="86" spans="1:78" s="51" customFormat="1" ht="18" x14ac:dyDescent="0.2">
      <c r="A86" s="42" t="str">
        <f>Classes!J8</f>
        <v>IFMA_C_31010001</v>
      </c>
      <c r="B86" s="42" t="str">
        <f>Classes!P8</f>
        <v>Grundstückfläche</v>
      </c>
      <c r="C86" s="37"/>
      <c r="D86" s="42" t="s">
        <v>884</v>
      </c>
      <c r="E86" s="41"/>
      <c r="G86" s="42" t="str">
        <f>IF(VLOOKUP($A86,Data_Template!$A$6:$BA$16,COLUMNS($A:A)+6,0)=0,"",VLOOKUP($A86,Data_Template!$A$6:$BA$16,COLUMNS($A:A)+6,0))</f>
        <v/>
      </c>
      <c r="H86" s="42" t="str">
        <f>IF(VLOOKUP($A86,Data_Template!$A$6:$BA$16,COLUMNS($A:B)+6,0)=0,"",VLOOKUP($A86,Data_Template!$A$6:$BA$16,COLUMNS($A:B)+6,0))</f>
        <v/>
      </c>
      <c r="I86" s="42" t="str">
        <f>IF(VLOOKUP($A86,Data_Template!$A$6:$BA$16,COLUMNS($A:C)+6,0)=0,"",VLOOKUP($A86,Data_Template!$A$6:$BA$16,COLUMNS($A:C)+6,0))</f>
        <v>["1_GSF", "1_ST", "1_SF"]</v>
      </c>
      <c r="J86" s="42" t="str">
        <f>IF(VLOOKUP($A86,Data_Template!$A$6:$BA$16,COLUMNS($A:D)+6,0)=0,"",VLOOKUP($A86,Data_Template!$A$6:$BA$16,COLUMNS($A:D)+6,0))</f>
        <v/>
      </c>
      <c r="K86" s="42" t="str">
        <f>IF(VLOOKUP($A86,Data_Template!$A$6:$BA$16,COLUMNS($A:E)+6,0)=0,"",VLOOKUP($A86,Data_Template!$A$6:$BA$16,COLUMNS($A:E)+6,0))</f>
        <v/>
      </c>
      <c r="L86" s="42" t="str">
        <f>IF(VLOOKUP($A86,Data_Template!$A$6:$BA$16,COLUMNS($A:F)+6,0)=0,"",VLOOKUP($A86,Data_Template!$A$6:$BA$16,COLUMNS($A:F)+6,0))</f>
        <v/>
      </c>
      <c r="M86" s="42" t="str">
        <f>IF(VLOOKUP($A86,Data_Template!$A$6:$BA$16,COLUMNS($A:G)+6,0)=0,"",VLOOKUP($A86,Data_Template!$A$6:$BA$16,COLUMNS($A:G)+6,0))</f>
        <v/>
      </c>
      <c r="N86" s="42" t="str">
        <f>IF(VLOOKUP($A86,Data_Template!$A$6:$BA$16,COLUMNS($A:H)+6,0)=0,"",VLOOKUP($A86,Data_Template!$A$6:$BA$16,COLUMNS($A:H)+6,0))</f>
        <v/>
      </c>
      <c r="O86" s="42" t="str">
        <f>IF(VLOOKUP($A86,Data_Template!$A$6:$BA$16,COLUMNS($A:I)+6,0)=0,"",VLOOKUP($A86,Data_Template!$A$6:$BA$16,COLUMNS($A:I)+6,0))</f>
        <v/>
      </c>
      <c r="P86" s="42" t="str">
        <f>IF(VLOOKUP($A86,Data_Template!$A$6:$BA$16,COLUMNS($A:J)+6,0)=0,"",VLOOKUP($A86,Data_Template!$A$6:$BA$16,COLUMNS($A:J)+6,0))</f>
        <v/>
      </c>
      <c r="Q86" s="42" t="str">
        <f>IF(VLOOKUP($A86,Data_Template!$A$6:$BA$16,COLUMNS($A:K)+6,0)=0,"",VLOOKUP($A86,Data_Template!$A$6:$BA$16,COLUMNS($A:K)+6,0))</f>
        <v/>
      </c>
      <c r="R86" s="42" t="str">
        <f>IF(VLOOKUP($A86,Data_Template!$A$6:$BA$16,COLUMNS($A:L)+6,0)=0,"",VLOOKUP($A86,Data_Template!$A$6:$BA$16,COLUMNS($A:L)+6,0))</f>
        <v/>
      </c>
      <c r="S86" s="42" t="str">
        <f>IF(VLOOKUP($A86,Data_Template!$A$6:$BA$16,COLUMNS($A:M)+6,0)=0,"",VLOOKUP($A86,Data_Template!$A$6:$BA$16,COLUMNS($A:M)+6,0))</f>
        <v/>
      </c>
      <c r="T86" s="42" t="str">
        <f>IF(VLOOKUP($A86,Data_Template!$A$6:$BA$16,COLUMNS($A:N)+6,0)=0,"",VLOOKUP($A86,Data_Template!$A$6:$BA$16,COLUMNS($A:N)+6,0))</f>
        <v/>
      </c>
      <c r="U86" s="42" t="str">
        <f>IF(VLOOKUP($A86,Data_Template!$A$6:$BA$16,COLUMNS($A:O)+6,0)=0,"",VLOOKUP($A86,Data_Template!$A$6:$BA$16,COLUMNS($A:O)+6,0))</f>
        <v/>
      </c>
      <c r="V86" s="42" t="str">
        <f>IF(VLOOKUP($A86,Data_Template!$A$6:$BA$16,COLUMNS($A:P)+6,0)=0,"",VLOOKUP($A86,Data_Template!$A$6:$BA$16,COLUMNS($A:P)+6,0))</f>
        <v/>
      </c>
      <c r="W86" s="42" t="str">
        <f>IF(VLOOKUP($A86,Data_Template!$A$6:$BA$16,COLUMNS($A:Q)+6,0)=0,"",VLOOKUP($A86,Data_Template!$A$6:$BA$16,COLUMNS($A:Q)+6,0))</f>
        <v/>
      </c>
      <c r="X86" s="42" t="str">
        <f>IF(VLOOKUP($A86,Data_Template!$A$6:$BA$16,COLUMNS($A:R)+6,0)=0,"",VLOOKUP($A86,Data_Template!$A$6:$BA$16,COLUMNS($A:R)+6,0))</f>
        <v/>
      </c>
      <c r="Y86" s="42" t="str">
        <f>IF(VLOOKUP($A86,Data_Template!$A$6:$BA$16,COLUMNS($A:S)+6,0)=0,"",VLOOKUP($A86,Data_Template!$A$6:$BA$16,COLUMNS($A:S)+6,0))</f>
        <v/>
      </c>
      <c r="Z86" s="42" t="str">
        <f>IF(VLOOKUP($A86,Data_Template!$A$6:$BA$16,COLUMNS($A:T)+6,0)=0,"",VLOOKUP($A86,Data_Template!$A$6:$BA$16,COLUMNS($A:T)+6,0))</f>
        <v/>
      </c>
      <c r="AA86" s="42" t="str">
        <f>IF(VLOOKUP($A86,Data_Template!$A$6:$BA$16,COLUMNS($A:U)+6,0)=0,"",VLOOKUP($A86,Data_Template!$A$6:$BA$16,COLUMNS($A:U)+6,0))</f>
        <v/>
      </c>
      <c r="AB86" s="42" t="str">
        <f>IF(VLOOKUP($A86,Data_Template!$A$6:$BA$16,COLUMNS($A:V)+6,0)=0,"",VLOOKUP($A86,Data_Template!$A$6:$BA$16,COLUMNS($A:V)+6,0))</f>
        <v/>
      </c>
      <c r="AC86" s="42" t="str">
        <f>IF(VLOOKUP($A86,Data_Template!$A$6:$BA$16,COLUMNS($A:W)+6,0)=0,"",VLOOKUP($A86,Data_Template!$A$6:$BA$16,COLUMNS($A:W)+6,0))</f>
        <v/>
      </c>
      <c r="AD86" s="42" t="str">
        <f>IF(VLOOKUP($A86,Data_Template!$A$6:$BA$16,COLUMNS($A:X)+6,0)=0,"",VLOOKUP($A86,Data_Template!$A$6:$BA$16,COLUMNS($A:X)+6,0))</f>
        <v/>
      </c>
      <c r="AE86" s="42" t="str">
        <f>IF(VLOOKUP($A86,Data_Template!$A$6:$BA$16,COLUMNS($A:Y)+6,0)=0,"",VLOOKUP($A86,Data_Template!$A$6:$BA$16,COLUMNS($A:Y)+6,0))</f>
        <v/>
      </c>
      <c r="AF86" s="42" t="str">
        <f>IF(VLOOKUP($A86,Data_Template!$A$6:$BA$16,COLUMNS($A:Z)+6,0)=0,"",VLOOKUP($A86,Data_Template!$A$6:$BA$16,COLUMNS($A:Z)+6,0))</f>
        <v/>
      </c>
      <c r="AG86" s="42" t="str">
        <f>IF(VLOOKUP($A86,Data_Template!$A$6:$BA$16,COLUMNS($A:AA)+6,0)=0,"",VLOOKUP($A86,Data_Template!$A$6:$BA$16,COLUMNS($A:AA)+6,0))</f>
        <v/>
      </c>
      <c r="AH86" s="42" t="str">
        <f>IF(VLOOKUP($A86,Data_Template!$A$6:$BA$16,COLUMNS($A:AB)+6,0)=0,"",VLOOKUP($A86,Data_Template!$A$6:$BA$16,COLUMNS($A:AB)+6,0))</f>
        <v/>
      </c>
      <c r="AI86" s="42" t="str">
        <f>IF(VLOOKUP($A86,Data_Template!$A$6:$BA$16,COLUMNS($A:AC)+6,0)=0,"",VLOOKUP($A86,Data_Template!$A$6:$BA$16,COLUMNS($A:AC)+6,0))</f>
        <v/>
      </c>
      <c r="AJ86" s="42" t="str">
        <f>IF(VLOOKUP($A86,Data_Template!$A$6:$BA$16,COLUMNS($A:AD)+6,0)=0,"",VLOOKUP($A86,Data_Template!$A$6:$BA$16,COLUMNS($A:AD)+6,0))</f>
        <v/>
      </c>
      <c r="AK86" s="42" t="str">
        <f>IF(VLOOKUP($A86,Data_Template!$A$6:$BA$16,COLUMNS($A:AE)+6,0)=0,"",VLOOKUP($A86,Data_Template!$A$6:$BA$16,COLUMNS($A:AE)+6,0))</f>
        <v/>
      </c>
      <c r="AL86" s="42" t="str">
        <f>IF(VLOOKUP($A86,Data_Template!$A$6:$BA$16,COLUMNS($A:AF)+6,0)=0,"",VLOOKUP($A86,Data_Template!$A$6:$BA$16,COLUMNS($A:AF)+6,0))</f>
        <v/>
      </c>
      <c r="AM86" s="42" t="str">
        <f>IF(VLOOKUP($A86,Data_Template!$A$6:$BA$16,COLUMNS($A:AG)+6,0)=0,"",VLOOKUP($A86,Data_Template!$A$6:$BA$16,COLUMNS($A:AG)+6,0))</f>
        <v/>
      </c>
      <c r="AN86" s="42" t="str">
        <f>IF(VLOOKUP($A86,Data_Template!$A$6:$BA$16,COLUMNS($A:AH)+6,0)=0,"",VLOOKUP($A86,Data_Template!$A$6:$BA$16,COLUMNS($A:AH)+6,0))</f>
        <v/>
      </c>
      <c r="AO86" s="42" t="str">
        <f>IF(VLOOKUP($A86,Data_Template!$A$6:$BA$16,COLUMNS($A:AI)+6,0)=0,"",VLOOKUP($A86,Data_Template!$A$6:$BA$16,COLUMNS($A:AI)+6,0))</f>
        <v/>
      </c>
      <c r="AP86" s="42" t="str">
        <f>IF(VLOOKUP($A86,Data_Template!$A$6:$BA$16,COLUMNS($A:AJ)+6,0)=0,"",VLOOKUP($A86,Data_Template!$A$6:$BA$16,COLUMNS($A:AJ)+6,0))</f>
        <v/>
      </c>
      <c r="AQ86" s="42" t="str">
        <f>IF(VLOOKUP($A86,Data_Template!$A$6:$BA$16,COLUMNS($A:AK)+6,0)=0,"",VLOOKUP($A86,Data_Template!$A$6:$BA$16,COLUMNS($A:AK)+6,0))</f>
        <v/>
      </c>
      <c r="AR86" s="42" t="str">
        <f>IF(VLOOKUP($A86,Data_Template!$A$6:$BA$16,COLUMNS($A:AL)+6,0)=0,"",VLOOKUP($A86,Data_Template!$A$6:$BA$16,COLUMNS($A:AL)+6,0))</f>
        <v/>
      </c>
      <c r="AS86" s="42" t="str">
        <f>IF(VLOOKUP($A86,Data_Template!$A$6:$BA$16,COLUMNS($A:AM)+6,0)=0,"",VLOOKUP($A86,Data_Template!$A$6:$BA$16,COLUMNS($A:AM)+6,0))</f>
        <v/>
      </c>
      <c r="AT86" s="42" t="str">
        <f>IF(VLOOKUP($A86,Data_Template!$A$6:$BA$16,COLUMNS($A:AN)+6,0)=0,"",VLOOKUP($A86,Data_Template!$A$6:$BA$16,COLUMNS($A:AN)+6,0))</f>
        <v>x</v>
      </c>
      <c r="AU86" s="42" t="str">
        <f>IF(VLOOKUP($A86,Data_Template!$A$6:$BA$16,COLUMNS($A:AO)+6,0)=0,"",VLOOKUP($A86,Data_Template!$A$6:$BA$16,COLUMNS($A:AO)+6,0))</f>
        <v/>
      </c>
      <c r="AV86" s="42" t="str">
        <f>IF(VLOOKUP($A86,Data_Template!$A$6:$BA$16,COLUMNS($A:AP)+6,0)=0,"",VLOOKUP($A86,Data_Template!$A$6:$BA$16,COLUMNS($A:AP)+6,0))</f>
        <v/>
      </c>
      <c r="AW86" s="42" t="str">
        <f>IF(VLOOKUP($A86,Data_Template!$A$6:$BA$16,COLUMNS($A:AQ)+6,0)=0,"",VLOOKUP($A86,Data_Template!$A$6:$BA$16,COLUMNS($A:AQ)+6,0))</f>
        <v/>
      </c>
      <c r="AX86" s="42" t="str">
        <f>IF(VLOOKUP($A86,Data_Template!$A$6:$BA$16,COLUMNS($A:AR)+6,0)=0,"",VLOOKUP($A86,Data_Template!$A$6:$BA$16,COLUMNS($A:AR)+6,0))</f>
        <v/>
      </c>
      <c r="AY86" s="42" t="str">
        <f>IF(VLOOKUP($A86,Data_Template!$A$6:$BA$16,COLUMNS($A:AS)+6,0)=0,"",VLOOKUP($A86,Data_Template!$A$6:$BA$16,COLUMNS($A:AS)+6,0))</f>
        <v/>
      </c>
      <c r="AZ86" s="42" t="str">
        <f>IF(VLOOKUP($A86,Data_Template!$A$6:$BA$16,COLUMNS($A:AT)+6,0)=0,"",VLOOKUP($A86,Data_Template!$A$6:$BA$16,COLUMNS($A:AT)+6,0))</f>
        <v/>
      </c>
      <c r="BA86" s="42" t="str">
        <f>IF(VLOOKUP($A86,Data_Template!$A$6:$BA$16,COLUMNS($A:AU)+6,0)=0,"",VLOOKUP($A86,Data_Template!$A$6:$BA$16,COLUMNS($A:AU)+6,0))</f>
        <v/>
      </c>
      <c r="BB86" s="50"/>
      <c r="BC86" s="42"/>
      <c r="BD86" s="42"/>
      <c r="BE86" s="42"/>
      <c r="BF86" s="42"/>
      <c r="BG86" s="42"/>
      <c r="BH86" s="42"/>
      <c r="BI86" s="42"/>
      <c r="BJ86" s="42"/>
      <c r="BL86" s="42"/>
      <c r="BM86" s="42"/>
      <c r="BN86" s="42"/>
      <c r="BO86" s="42"/>
      <c r="BP86" s="42"/>
      <c r="BQ86" s="42"/>
      <c r="BR86" s="42"/>
      <c r="BS86" s="42"/>
      <c r="BT86" s="42"/>
      <c r="BU86" s="42"/>
      <c r="BV86" s="42"/>
      <c r="BW86" s="42"/>
      <c r="BX86" s="42"/>
      <c r="BZ86" s="52"/>
    </row>
    <row r="87" spans="1:78" s="51" customFormat="1" ht="51" x14ac:dyDescent="0.2">
      <c r="A87" s="42" t="str">
        <f>Classes!J9</f>
        <v>IFMA_C_31010002</v>
      </c>
      <c r="B87" s="42" t="str">
        <f>Classes!P9</f>
        <v>Umgebungsfläche</v>
      </c>
      <c r="C87" s="37"/>
      <c r="D87" s="42" t="s">
        <v>884</v>
      </c>
      <c r="E87" s="41"/>
      <c r="G87" s="42" t="str">
        <f>IF(VLOOKUP($A87,Data_Template!$A$6:$BA$16,COLUMNS($A:A)+6,0)=0,"",VLOOKUP($A87,Data_Template!$A$6:$BA$16,COLUMNS($A:A)+6,0))</f>
        <v>x</v>
      </c>
      <c r="H87" s="42" t="str">
        <f>IF(VLOOKUP($A87,Data_Template!$A$6:$BA$16,COLUMNS($A:B)+6,0)=0,"",VLOOKUP($A87,Data_Template!$A$6:$BA$16,COLUMNS($A:B)+6,0))</f>
        <v>x</v>
      </c>
      <c r="I87" s="42" t="str">
        <f>IF(VLOOKUP($A87,Data_Template!$A$6:$BA$16,COLUMNS($A:C)+6,0)=0,"",VLOOKUP($A87,Data_Template!$A$6:$BA$16,COLUMNS($A:C)+6,0))</f>
        <v>["1.2_UF", "1.2.1_BUF", "1.2.2_UUF", "1.2_SA", "1.2.1_SAA", "1.2.2_SAN",  "1.2_SLE", "1.2.1_SLES", "1.2.2_SLEN"]</v>
      </c>
      <c r="J87" s="42" t="str">
        <f>IF(VLOOKUP($A87,Data_Template!$A$6:$BA$16,COLUMNS($A:D)+6,0)=0,"",VLOOKUP($A87,Data_Template!$A$6:$BA$16,COLUMNS($A:D)+6,0))</f>
        <v>["NONE", "BUF10", "SAA10", "SLES10"]</v>
      </c>
      <c r="K87" s="42" t="str">
        <f>IF(VLOOKUP($A87,Data_Template!$A$6:$BA$16,COLUMNS($A:E)+6,0)=0,"",VLOOKUP($A87,Data_Template!$A$6:$BA$16,COLUMNS($A:E)+6,0))</f>
        <v/>
      </c>
      <c r="L87" s="42" t="str">
        <f>IF(VLOOKUP($A87,Data_Template!$A$6:$BA$16,COLUMNS($A:F)+6,0)=0,"",VLOOKUP($A87,Data_Template!$A$6:$BA$16,COLUMNS($A:F)+6,0))</f>
        <v>["NONE", "10.1_aussenliegende Fahrzeugabstellflächen"]</v>
      </c>
      <c r="M87" s="42"/>
      <c r="N87" s="42"/>
      <c r="O87" s="42" t="str">
        <f>IF(VLOOKUP($A87,Data_Template!$A$6:$BA$16,COLUMNS($A:I)+6,0)=0,"",VLOOKUP($A87,Data_Template!$A$6:$BA$16,COLUMNS($A:I)+6,0))</f>
        <v/>
      </c>
      <c r="P87" s="42" t="str">
        <f>IF(VLOOKUP($A87,Data_Template!$A$6:$BA$16,COLUMNS($A:J)+6,0)=0,"",VLOOKUP($A87,Data_Template!$A$6:$BA$16,COLUMNS($A:J)+6,0))</f>
        <v>x</v>
      </c>
      <c r="Q87" s="42" t="str">
        <f>IF(VLOOKUP($A87,Data_Template!$A$6:$BA$16,COLUMNS($A:K)+6,0)=0,"",VLOOKUP($A87,Data_Template!$A$6:$BA$16,COLUMNS($A:K)+6,0))</f>
        <v/>
      </c>
      <c r="R87" s="42" t="str">
        <f>IF(VLOOKUP($A87,Data_Template!$A$6:$BA$16,COLUMNS($A:L)+6,0)=0,"",VLOOKUP($A87,Data_Template!$A$6:$BA$16,COLUMNS($A:L)+6,0))</f>
        <v/>
      </c>
      <c r="S87" s="42" t="str">
        <f>IF(VLOOKUP($A87,Data_Template!$A$6:$BA$16,COLUMNS($A:M)+6,0)=0,"",VLOOKUP($A87,Data_Template!$A$6:$BA$16,COLUMNS($A:M)+6,0))</f>
        <v/>
      </c>
      <c r="T87" s="42" t="str">
        <f>IF(VLOOKUP($A87,Data_Template!$A$6:$BA$16,COLUMNS($A:N)+6,0)=0,"",VLOOKUP($A87,Data_Template!$A$6:$BA$16,COLUMNS($A:N)+6,0))</f>
        <v/>
      </c>
      <c r="U87" s="42" t="str">
        <f>IF(VLOOKUP($A87,Data_Template!$A$6:$BA$16,COLUMNS($A:O)+6,0)=0,"",VLOOKUP($A87,Data_Template!$A$6:$BA$16,COLUMNS($A:O)+6,0))</f>
        <v/>
      </c>
      <c r="V87" s="42" t="str">
        <f>IF(VLOOKUP($A87,Data_Template!$A$6:$BA$16,COLUMNS($A:P)+6,0)=0,"",VLOOKUP($A87,Data_Template!$A$6:$BA$16,COLUMNS($A:P)+6,0))</f>
        <v/>
      </c>
      <c r="W87" s="42" t="str">
        <f>IF(VLOOKUP($A87,Data_Template!$A$6:$BA$16,COLUMNS($A:Q)+6,0)=0,"",VLOOKUP($A87,Data_Template!$A$6:$BA$16,COLUMNS($A:Q)+6,0))</f>
        <v/>
      </c>
      <c r="X87" s="42" t="str">
        <f>IF(VLOOKUP($A87,Data_Template!$A$6:$BA$16,COLUMNS($A:R)+6,0)=0,"",VLOOKUP($A87,Data_Template!$A$6:$BA$16,COLUMNS($A:R)+6,0))</f>
        <v/>
      </c>
      <c r="Y87" s="42" t="str">
        <f>IF(VLOOKUP($A87,Data_Template!$A$6:$BA$16,COLUMNS($A:S)+6,0)=0,"",VLOOKUP($A87,Data_Template!$A$6:$BA$16,COLUMNS($A:S)+6,0))</f>
        <v>x</v>
      </c>
      <c r="Z87" s="42" t="str">
        <f>IF(VLOOKUP($A87,Data_Template!$A$6:$BA$16,COLUMNS($A:T)+6,0)=0,"",VLOOKUP($A87,Data_Template!$A$6:$BA$16,COLUMNS($A:T)+6,0))</f>
        <v/>
      </c>
      <c r="AA87" s="42" t="str">
        <f>IF(VLOOKUP($A87,Data_Template!$A$6:$BA$16,COLUMNS($A:U)+6,0)=0,"",VLOOKUP($A87,Data_Template!$A$6:$BA$16,COLUMNS($A:U)+6,0))</f>
        <v/>
      </c>
      <c r="AB87" s="42" t="str">
        <f>IF(VLOOKUP($A87,Data_Template!$A$6:$BA$16,COLUMNS($A:V)+6,0)=0,"",VLOOKUP($A87,Data_Template!$A$6:$BA$16,COLUMNS($A:V)+6,0))</f>
        <v/>
      </c>
      <c r="AC87" s="42" t="str">
        <f>IF(VLOOKUP($A87,Data_Template!$A$6:$BA$16,COLUMNS($A:W)+6,0)=0,"",VLOOKUP($A87,Data_Template!$A$6:$BA$16,COLUMNS($A:W)+6,0))</f>
        <v/>
      </c>
      <c r="AD87" s="42" t="str">
        <f>IF(VLOOKUP($A87,Data_Template!$A$6:$BA$16,COLUMNS($A:X)+6,0)=0,"",VLOOKUP($A87,Data_Template!$A$6:$BA$16,COLUMNS($A:X)+6,0))</f>
        <v>["true"]</v>
      </c>
      <c r="AE87" s="42" t="str">
        <f>IF(VLOOKUP($A87,Data_Template!$A$6:$BA$16,COLUMNS($A:Y)+6,0)=0,"",VLOOKUP($A87,Data_Template!$A$6:$BA$16,COLUMNS($A:Y)+6,0))</f>
        <v>x</v>
      </c>
      <c r="AF87" s="42" t="str">
        <f>IF(VLOOKUP($A87,Data_Template!$A$6:$BA$16,COLUMNS($A:Z)+6,0)=0,"",VLOOKUP($A87,Data_Template!$A$6:$BA$16,COLUMNS($A:Z)+6,0))</f>
        <v/>
      </c>
      <c r="AG87" s="42" t="str">
        <f>IF(VLOOKUP($A87,Data_Template!$A$6:$BA$16,COLUMNS($A:AA)+6,0)=0,"",VLOOKUP($A87,Data_Template!$A$6:$BA$16,COLUMNS($A:AA)+6,0))</f>
        <v/>
      </c>
      <c r="AH87" s="42" t="str">
        <f>IF(VLOOKUP($A87,Data_Template!$A$6:$BA$16,COLUMNS($A:AB)+6,0)=0,"",VLOOKUP($A87,Data_Template!$A$6:$BA$16,COLUMNS($A:AB)+6,0))</f>
        <v/>
      </c>
      <c r="AI87" s="42" t="str">
        <f>IF(VLOOKUP($A87,Data_Template!$A$6:$BA$16,COLUMNS($A:AC)+6,0)=0,"",VLOOKUP($A87,Data_Template!$A$6:$BA$16,COLUMNS($A:AC)+6,0))</f>
        <v>x</v>
      </c>
      <c r="AJ87" s="42" t="str">
        <f>IF(VLOOKUP($A87,Data_Template!$A$6:$BA$16,COLUMNS($A:AD)+6,0)=0,"",VLOOKUP($A87,Data_Template!$A$6:$BA$16,COLUMNS($A:AD)+6,0))</f>
        <v/>
      </c>
      <c r="AK87" s="42" t="str">
        <f>IF(VLOOKUP($A87,Data_Template!$A$6:$BA$16,COLUMNS($A:AE)+6,0)=0,"",VLOOKUP($A87,Data_Template!$A$6:$BA$16,COLUMNS($A:AE)+6,0))</f>
        <v/>
      </c>
      <c r="AL87" s="42" t="str">
        <f>IF(VLOOKUP($A87,Data_Template!$A$6:$BA$16,COLUMNS($A:AF)+6,0)=0,"",VLOOKUP($A87,Data_Template!$A$6:$BA$16,COLUMNS($A:AF)+6,0))</f>
        <v/>
      </c>
      <c r="AM87" s="42" t="str">
        <f>IF(VLOOKUP($A87,Data_Template!$A$6:$BA$16,COLUMNS($A:AG)+6,0)=0,"",VLOOKUP($A87,Data_Template!$A$6:$BA$16,COLUMNS($A:AG)+6,0))</f>
        <v/>
      </c>
      <c r="AN87" s="42" t="str">
        <f>IF(VLOOKUP($A87,Data_Template!$A$6:$BA$16,COLUMNS($A:AH)+6,0)=0,"",VLOOKUP($A87,Data_Template!$A$6:$BA$16,COLUMNS($A:AH)+6,0))</f>
        <v/>
      </c>
      <c r="AO87" s="42" t="str">
        <f>IF(VLOOKUP($A87,Data_Template!$A$6:$BA$16,COLUMNS($A:AI)+6,0)=0,"",VLOOKUP($A87,Data_Template!$A$6:$BA$16,COLUMNS($A:AI)+6,0))</f>
        <v/>
      </c>
      <c r="AP87" s="42" t="str">
        <f>IF(VLOOKUP($A87,Data_Template!$A$6:$BA$16,COLUMNS($A:AJ)+6,0)=0,"",VLOOKUP($A87,Data_Template!$A$6:$BA$16,COLUMNS($A:AJ)+6,0))</f>
        <v/>
      </c>
      <c r="AQ87" s="42" t="str">
        <f>IF(VLOOKUP($A87,Data_Template!$A$6:$BA$16,COLUMNS($A:AK)+6,0)=0,"",VLOOKUP($A87,Data_Template!$A$6:$BA$16,COLUMNS($A:AK)+6,0))</f>
        <v/>
      </c>
      <c r="AR87" s="42" t="str">
        <f>IF(VLOOKUP($A87,Data_Template!$A$6:$BA$16,COLUMNS($A:AL)+6,0)=0,"",VLOOKUP($A87,Data_Template!$A$6:$BA$16,COLUMNS($A:AL)+6,0))</f>
        <v/>
      </c>
      <c r="AS87" s="42" t="str">
        <f>IF(VLOOKUP($A87,Data_Template!$A$6:$BA$16,COLUMNS($A:AM)+6,0)=0,"",VLOOKUP($A87,Data_Template!$A$6:$BA$16,COLUMNS($A:AM)+6,0))</f>
        <v/>
      </c>
      <c r="AT87" s="42" t="str">
        <f>IF(VLOOKUP($A87,Data_Template!$A$6:$BA$16,COLUMNS($A:AN)+6,0)=0,"",VLOOKUP($A87,Data_Template!$A$6:$BA$16,COLUMNS($A:AN)+6,0))</f>
        <v>x</v>
      </c>
      <c r="AU87" s="42" t="str">
        <f>IF(VLOOKUP($A87,Data_Template!$A$6:$BA$16,COLUMNS($A:AO)+6,0)=0,"",VLOOKUP($A87,Data_Template!$A$6:$BA$16,COLUMNS($A:AO)+6,0))</f>
        <v/>
      </c>
      <c r="AV87" s="42" t="str">
        <f>IF(VLOOKUP($A87,Data_Template!$A$6:$BA$16,COLUMNS($A:AP)+6,0)=0,"",VLOOKUP($A87,Data_Template!$A$6:$BA$16,COLUMNS($A:AP)+6,0))</f>
        <v/>
      </c>
      <c r="AW87" s="42" t="str">
        <f>IF(VLOOKUP($A87,Data_Template!$A$6:$BA$16,COLUMNS($A:AQ)+6,0)=0,"",VLOOKUP($A87,Data_Template!$A$6:$BA$16,COLUMNS($A:AQ)+6,0))</f>
        <v/>
      </c>
      <c r="AX87" s="42" t="str">
        <f>IF(VLOOKUP($A87,Data_Template!$A$6:$BA$16,COLUMNS($A:AR)+6,0)=0,"",VLOOKUP($A87,Data_Template!$A$6:$BA$16,COLUMNS($A:AR)+6,0))</f>
        <v/>
      </c>
      <c r="AY87" s="42" t="str">
        <f>IF(VLOOKUP($A87,Data_Template!$A$6:$BA$16,COLUMNS($A:AS)+6,0)=0,"",VLOOKUP($A87,Data_Template!$A$6:$BA$16,COLUMNS($A:AS)+6,0))</f>
        <v/>
      </c>
      <c r="AZ87" s="42" t="str">
        <f>IF(VLOOKUP($A87,Data_Template!$A$6:$BA$16,COLUMNS($A:AT)+6,0)=0,"",VLOOKUP($A87,Data_Template!$A$6:$BA$16,COLUMNS($A:AT)+6,0))</f>
        <v/>
      </c>
      <c r="BA87" s="42"/>
      <c r="BB87" s="50"/>
      <c r="BC87" s="42"/>
      <c r="BD87" s="42"/>
      <c r="BE87" s="42"/>
      <c r="BF87" s="42"/>
      <c r="BG87" s="42"/>
      <c r="BH87" s="42"/>
      <c r="BI87" s="42"/>
      <c r="BJ87" s="42"/>
      <c r="BL87" s="42"/>
      <c r="BM87" s="42"/>
      <c r="BN87" s="42"/>
      <c r="BO87" s="42"/>
      <c r="BP87" s="42"/>
      <c r="BQ87" s="42"/>
      <c r="BR87" s="42"/>
      <c r="BS87" s="42"/>
      <c r="BT87" s="42"/>
      <c r="BU87" s="42"/>
      <c r="BV87" s="42"/>
      <c r="BW87" s="42"/>
      <c r="BX87" s="42"/>
      <c r="BZ87" s="52"/>
    </row>
    <row r="88" spans="1:78" s="51" customFormat="1" ht="51" x14ac:dyDescent="0.2">
      <c r="A88" s="42" t="str">
        <f>Classes!J10</f>
        <v>IFMA_C_31010003</v>
      </c>
      <c r="B88" s="42" t="str">
        <f>Classes!P10</f>
        <v>Geschossvolumen</v>
      </c>
      <c r="C88" s="37"/>
      <c r="D88" s="42" t="s">
        <v>884</v>
      </c>
      <c r="E88" s="41"/>
      <c r="G88" s="42" t="str">
        <f>IF(VLOOKUP($A88,Data_Template!$A$6:$BA$16,COLUMNS($A:A)+6,0)=0,"",VLOOKUP($A88,Data_Template!$A$6:$BA$16,COLUMNS($A:A)+6,0))</f>
        <v/>
      </c>
      <c r="H88" s="42" t="str">
        <f>IF(VLOOKUP($A88,Data_Template!$A$6:$BA$16,COLUMNS($A:B)+6,0)=0,"",VLOOKUP($A88,Data_Template!$A$6:$BA$16,COLUMNS($A:B)+6,0))</f>
        <v/>
      </c>
      <c r="I88" s="42" t="str">
        <f>IF(VLOOKUP($A88,Data_Template!$A$6:$BA$16,COLUMNS($A:C)+6,0)=0,"",VLOOKUP($A88,Data_Template!$A$6:$BA$16,COLUMNS($A:C)+6,0))</f>
        <v>["2_GF", "3_AGF", "5_GV", "ROOF_DACH", "2_SP", "3_SEP", "5_VB", "ROOF_TOIT", "2_SP", "3_SPE", "5_VE", "ROOF_TETTO"]</v>
      </c>
      <c r="J88" s="42" t="str">
        <f>IF(VLOOKUP($A88,Data_Template!$A$6:$BA$16,COLUMNS($A:D)+6,0)=0,"",VLOOKUP($A88,Data_Template!$A$6:$BA$16,COLUMNS($A:D)+6,0))</f>
        <v/>
      </c>
      <c r="K88" s="42" t="str">
        <f>IF(VLOOKUP($A88,Data_Template!$A$6:$BA$16,COLUMNS($A:E)+6,0)=0,"",VLOOKUP($A88,Data_Template!$A$6:$BA$16,COLUMNS($A:E)+6,0))</f>
        <v/>
      </c>
      <c r="L88" s="42" t="str">
        <f>IF(VLOOKUP($A88,Data_Template!$A$6:$BA$16,COLUMNS($A:F)+6,0)=0,"",VLOOKUP($A88,Data_Template!$A$6:$BA$16,COLUMNS($A:F)+6,0))</f>
        <v/>
      </c>
      <c r="M88" s="42"/>
      <c r="N88" s="42"/>
      <c r="O88" s="42" t="str">
        <f>IF(VLOOKUP($A88,Data_Template!$A$6:$BA$16,COLUMNS($A:I)+6,0)=0,"",VLOOKUP($A88,Data_Template!$A$6:$BA$16,COLUMNS($A:I)+6,0))</f>
        <v/>
      </c>
      <c r="P88" s="42" t="str">
        <f>IF(VLOOKUP($A88,Data_Template!$A$6:$BA$16,COLUMNS($A:J)+6,0)=0,"",VLOOKUP($A88,Data_Template!$A$6:$BA$16,COLUMNS($A:J)+6,0))</f>
        <v/>
      </c>
      <c r="Q88" s="42" t="str">
        <f>IF(VLOOKUP($A88,Data_Template!$A$6:$BA$16,COLUMNS($A:K)+6,0)=0,"",VLOOKUP($A88,Data_Template!$A$6:$BA$16,COLUMNS($A:K)+6,0))</f>
        <v/>
      </c>
      <c r="R88" s="42" t="str">
        <f>IF(VLOOKUP($A88,Data_Template!$A$6:$BA$16,COLUMNS($A:L)+6,0)=0,"",VLOOKUP($A88,Data_Template!$A$6:$BA$16,COLUMNS($A:L)+6,0))</f>
        <v/>
      </c>
      <c r="S88" s="42" t="str">
        <f>IF(VLOOKUP($A88,Data_Template!$A$6:$BA$16,COLUMNS($A:M)+6,0)=0,"",VLOOKUP($A88,Data_Template!$A$6:$BA$16,COLUMNS($A:M)+6,0))</f>
        <v/>
      </c>
      <c r="T88" s="42" t="str">
        <f>IF(VLOOKUP($A88,Data_Template!$A$6:$BA$16,COLUMNS($A:N)+6,0)=0,"",VLOOKUP($A88,Data_Template!$A$6:$BA$16,COLUMNS($A:N)+6,0))</f>
        <v/>
      </c>
      <c r="U88" s="42" t="str">
        <f>IF(VLOOKUP($A88,Data_Template!$A$6:$BA$16,COLUMNS($A:O)+6,0)=0,"",VLOOKUP($A88,Data_Template!$A$6:$BA$16,COLUMNS($A:O)+6,0))</f>
        <v/>
      </c>
      <c r="V88" s="42" t="str">
        <f>IF(VLOOKUP($A88,Data_Template!$A$6:$BA$16,COLUMNS($A:P)+6,0)=0,"",VLOOKUP($A88,Data_Template!$A$6:$BA$16,COLUMNS($A:P)+6,0))</f>
        <v/>
      </c>
      <c r="W88" s="42" t="str">
        <f>IF(VLOOKUP($A88,Data_Template!$A$6:$BA$16,COLUMNS($A:Q)+6,0)=0,"",VLOOKUP($A88,Data_Template!$A$6:$BA$16,COLUMNS($A:Q)+6,0))</f>
        <v/>
      </c>
      <c r="X88" s="42" t="str">
        <f>IF(VLOOKUP($A88,Data_Template!$A$6:$BA$16,COLUMNS($A:R)+6,0)=0,"",VLOOKUP($A88,Data_Template!$A$6:$BA$16,COLUMNS($A:R)+6,0))</f>
        <v/>
      </c>
      <c r="Y88" s="42" t="str">
        <f>IF(VLOOKUP($A88,Data_Template!$A$6:$BA$16,COLUMNS($A:S)+6,0)=0,"",VLOOKUP($A88,Data_Template!$A$6:$BA$16,COLUMNS($A:S)+6,0))</f>
        <v>x</v>
      </c>
      <c r="Z88" s="42" t="str">
        <f>IF(VLOOKUP($A88,Data_Template!$A$6:$BA$16,COLUMNS($A:T)+6,0)=0,"",VLOOKUP($A88,Data_Template!$A$6:$BA$16,COLUMNS($A:T)+6,0))</f>
        <v/>
      </c>
      <c r="AA88" s="42" t="str">
        <f>IF(VLOOKUP($A88,Data_Template!$A$6:$BA$16,COLUMNS($A:U)+6,0)=0,"",VLOOKUP($A88,Data_Template!$A$6:$BA$16,COLUMNS($A:U)+6,0))</f>
        <v/>
      </c>
      <c r="AB88" s="42" t="str">
        <f>IF(VLOOKUP($A88,Data_Template!$A$6:$BA$16,COLUMNS($A:V)+6,0)=0,"",VLOOKUP($A88,Data_Template!$A$6:$BA$16,COLUMNS($A:V)+6,0))</f>
        <v/>
      </c>
      <c r="AC88" s="42" t="str">
        <f>IF(VLOOKUP($A88,Data_Template!$A$6:$BA$16,COLUMNS($A:W)+6,0)=0,"",VLOOKUP($A88,Data_Template!$A$6:$BA$16,COLUMNS($A:W)+6,0))</f>
        <v/>
      </c>
      <c r="AD88" s="42" t="str">
        <f>IF(VLOOKUP($A88,Data_Template!$A$6:$BA$16,COLUMNS($A:X)+6,0)=0,"",VLOOKUP($A88,Data_Template!$A$6:$BA$16,COLUMNS($A:X)+6,0))</f>
        <v>x</v>
      </c>
      <c r="AE88" s="42" t="str">
        <f>IF(VLOOKUP($A88,Data_Template!$A$6:$BA$16,COLUMNS($A:Y)+6,0)=0,"",VLOOKUP($A88,Data_Template!$A$6:$BA$16,COLUMNS($A:Y)+6,0))</f>
        <v/>
      </c>
      <c r="AF88" s="42" t="str">
        <f>IF(VLOOKUP($A88,Data_Template!$A$6:$BA$16,COLUMNS($A:Z)+6,0)=0,"",VLOOKUP($A88,Data_Template!$A$6:$BA$16,COLUMNS($A:Z)+6,0))</f>
        <v/>
      </c>
      <c r="AG88" s="42" t="str">
        <f>IF(VLOOKUP($A88,Data_Template!$A$6:$BA$16,COLUMNS($A:AA)+6,0)=0,"",VLOOKUP($A88,Data_Template!$A$6:$BA$16,COLUMNS($A:AA)+6,0))</f>
        <v/>
      </c>
      <c r="AH88" s="42" t="str">
        <f>IF(VLOOKUP($A88,Data_Template!$A$6:$BA$16,COLUMNS($A:AB)+6,0)=0,"",VLOOKUP($A88,Data_Template!$A$6:$BA$16,COLUMNS($A:AB)+6,0))</f>
        <v/>
      </c>
      <c r="AI88" s="42" t="str">
        <f>IF(VLOOKUP($A88,Data_Template!$A$6:$BA$16,COLUMNS($A:AC)+6,0)=0,"",VLOOKUP($A88,Data_Template!$A$6:$BA$16,COLUMNS($A:AC)+6,0))</f>
        <v/>
      </c>
      <c r="AJ88" s="42" t="str">
        <f>IF(VLOOKUP($A88,Data_Template!$A$6:$BA$16,COLUMNS($A:AD)+6,0)=0,"",VLOOKUP($A88,Data_Template!$A$6:$BA$16,COLUMNS($A:AD)+6,0))</f>
        <v/>
      </c>
      <c r="AK88" s="42" t="str">
        <f>IF(VLOOKUP($A88,Data_Template!$A$6:$BA$16,COLUMNS($A:AE)+6,0)=0,"",VLOOKUP($A88,Data_Template!$A$6:$BA$16,COLUMNS($A:AE)+6,0))</f>
        <v/>
      </c>
      <c r="AL88" s="42" t="str">
        <f>IF(VLOOKUP($A88,Data_Template!$A$6:$BA$16,COLUMNS($A:AF)+6,0)=0,"",VLOOKUP($A88,Data_Template!$A$6:$BA$16,COLUMNS($A:AF)+6,0))</f>
        <v/>
      </c>
      <c r="AM88" s="42" t="str">
        <f>IF(VLOOKUP($A88,Data_Template!$A$6:$BA$16,COLUMNS($A:AG)+6,0)=0,"",VLOOKUP($A88,Data_Template!$A$6:$BA$16,COLUMNS($A:AG)+6,0))</f>
        <v/>
      </c>
      <c r="AN88" s="42" t="str">
        <f>IF(VLOOKUP($A88,Data_Template!$A$6:$BA$16,COLUMNS($A:AH)+6,0)=0,"",VLOOKUP($A88,Data_Template!$A$6:$BA$16,COLUMNS($A:AH)+6,0))</f>
        <v/>
      </c>
      <c r="AO88" s="42" t="str">
        <f>IF(VLOOKUP($A88,Data_Template!$A$6:$BA$16,COLUMNS($A:AI)+6,0)=0,"",VLOOKUP($A88,Data_Template!$A$6:$BA$16,COLUMNS($A:AI)+6,0))</f>
        <v/>
      </c>
      <c r="AP88" s="42" t="str">
        <f>IF(VLOOKUP($A88,Data_Template!$A$6:$BA$16,COLUMNS($A:AJ)+6,0)=0,"",VLOOKUP($A88,Data_Template!$A$6:$BA$16,COLUMNS($A:AJ)+6,0))</f>
        <v/>
      </c>
      <c r="AQ88" s="42" t="str">
        <f>IF(VLOOKUP($A88,Data_Template!$A$6:$BA$16,COLUMNS($A:AK)+6,0)=0,"",VLOOKUP($A88,Data_Template!$A$6:$BA$16,COLUMNS($A:AK)+6,0))</f>
        <v/>
      </c>
      <c r="AR88" s="42" t="str">
        <f>IF(VLOOKUP($A88,Data_Template!$A$6:$BA$16,COLUMNS($A:AL)+6,0)=0,"",VLOOKUP($A88,Data_Template!$A$6:$BA$16,COLUMNS($A:AL)+6,0))</f>
        <v/>
      </c>
      <c r="AS88" s="42" t="str">
        <f>IF(VLOOKUP($A88,Data_Template!$A$6:$BA$16,COLUMNS($A:AM)+6,0)=0,"",VLOOKUP($A88,Data_Template!$A$6:$BA$16,COLUMNS($A:AM)+6,0))</f>
        <v/>
      </c>
      <c r="AT88" s="42" t="str">
        <f>IF(VLOOKUP($A88,Data_Template!$A$6:$BA$16,COLUMNS($A:AN)+6,0)=0,"",VLOOKUP($A88,Data_Template!$A$6:$BA$16,COLUMNS($A:AN)+6,0))</f>
        <v>x</v>
      </c>
      <c r="AU88" s="42" t="str">
        <f>IF(VLOOKUP($A88,Data_Template!$A$6:$BA$16,COLUMNS($A:AO)+6,0)=0,"",VLOOKUP($A88,Data_Template!$A$6:$BA$16,COLUMNS($A:AO)+6,0))</f>
        <v>x</v>
      </c>
      <c r="AV88" s="42" t="str">
        <f>IF(VLOOKUP($A88,Data_Template!$A$6:$BA$16,COLUMNS($A:AP)+6,0)=0,"",VLOOKUP($A88,Data_Template!$A$6:$BA$16,COLUMNS($A:AP)+6,0))</f>
        <v/>
      </c>
      <c r="AW88" s="42" t="str">
        <f>IF(VLOOKUP($A88,Data_Template!$A$6:$BA$16,COLUMNS($A:AQ)+6,0)=0,"",VLOOKUP($A88,Data_Template!$A$6:$BA$16,COLUMNS($A:AQ)+6,0))</f>
        <v/>
      </c>
      <c r="AX88" s="42" t="str">
        <f>IF(VLOOKUP($A88,Data_Template!$A$6:$BA$16,COLUMNS($A:AR)+6,0)=0,"",VLOOKUP($A88,Data_Template!$A$6:$BA$16,COLUMNS($A:AR)+6,0))</f>
        <v/>
      </c>
      <c r="AY88" s="42" t="str">
        <f>IF(VLOOKUP($A88,Data_Template!$A$6:$BA$16,COLUMNS($A:AS)+6,0)=0,"",VLOOKUP($A88,Data_Template!$A$6:$BA$16,COLUMNS($A:AS)+6,0))</f>
        <v>x</v>
      </c>
      <c r="AZ88" s="42"/>
      <c r="BA88" s="42"/>
      <c r="BB88" s="50"/>
      <c r="BC88" s="42"/>
      <c r="BD88" s="42"/>
      <c r="BE88" s="42"/>
      <c r="BF88" s="42"/>
      <c r="BG88" s="42"/>
      <c r="BH88" s="42"/>
      <c r="BI88" s="42"/>
      <c r="BJ88" s="42"/>
      <c r="BL88" s="42"/>
      <c r="BM88" s="42"/>
      <c r="BN88" s="42"/>
      <c r="BO88" s="42"/>
      <c r="BP88" s="42"/>
      <c r="BQ88" s="42"/>
      <c r="BR88" s="42"/>
      <c r="BS88" s="42"/>
      <c r="BT88" s="42"/>
      <c r="BU88" s="42"/>
      <c r="BV88" s="42"/>
      <c r="BW88" s="42"/>
      <c r="BX88" s="42"/>
      <c r="BZ88" s="52"/>
    </row>
    <row r="89" spans="1:78" s="51" customFormat="1" ht="89.25" x14ac:dyDescent="0.2">
      <c r="A89" s="42" t="str">
        <f>Classes!J11</f>
        <v>IFMA_C_31010004</v>
      </c>
      <c r="B89" s="42" t="str">
        <f>Classes!P11</f>
        <v>Innenraum</v>
      </c>
      <c r="C89" s="37"/>
      <c r="D89" s="42" t="s">
        <v>884</v>
      </c>
      <c r="E89" s="41"/>
      <c r="G89" s="42" t="str">
        <f>IF(VLOOKUP($A89,Data_Template!$A$6:$BA$16,COLUMNS($A:A)+6,0)=0,"",VLOOKUP($A89,Data_Template!$A$6:$BA$16,COLUMNS($A:A)+6,0))</f>
        <v>x</v>
      </c>
      <c r="H89" s="42" t="str">
        <f>IF(VLOOKUP($A89,Data_Template!$A$6:$BA$16,COLUMNS($A:B)+6,0)=0,"",VLOOKUP($A89,Data_Template!$A$6:$BA$16,COLUMNS($A:B)+6,0))</f>
        <v>x</v>
      </c>
      <c r="I89" s="42" t="str">
        <f>IF(VLOOKUP($A89,Data_Template!$A$6:$BA$16,COLUMNS($A:C)+6,0)=0,"",VLOOKUP($A89,Data_Template!$A$6:$BA$16,COLUMNS($A:C)+6,0))</f>
        <v>["2.1.1_NF", "2.1.1.1_HNF", "2.1.1.2_NNF", "2.1.2_VF", "2.1.3_FF", "2.1.1_SU", "2.1.1.1_SUP", "2.1.1.2_SUS", "2.1.2_SD", "2.1.3_SI", "2.1.1_SU", "2.1.1.1_SUP", "2.1.1.2_SUS", "2.1.2_SCIR", "2.1.3_SI"]</v>
      </c>
      <c r="J89" s="42" t="str">
        <f>IF(VLOOKUP($A89,Data_Template!$A$6:$BA$16,COLUMNS($A:D)+6,0)=0,"",VLOOKUP($A89,Data_Template!$A$6:$BA$16,COLUMNS($A:D)+6,0))</f>
        <v>["HNF1", "HNF2", "HNF3", "HNF4", "HNF5", "HNF6", "NNF7", "FF8", "VF9", "SUP1", "SUP2", "SUP3", "SUP4", "SUP5", "SUP6", "SUS7", "SI8", "SD9", "SUP1", "SUP2", "SUP3", "SUP4", "SUP5", "SUP6", "SUS7", "SI8", "SCIR9"]</v>
      </c>
      <c r="K89" s="42" t="str">
        <f>IF(VLOOKUP($A89,Data_Template!$A$6:$BA$16,COLUMNS($A:E)+6,0)=0,"",VLOOKUP($A89,Data_Template!$A$6:$BA$16,COLUMNS($A:E)+6,0))</f>
        <v>x</v>
      </c>
      <c r="L89" s="42" t="str">
        <f>IF(VLOOKUP($A89,Data_Template!$A$6:$BA$16,COLUMNS($A:F)+6,0)=0,"",VLOOKUP($A89,Data_Template!$A$6:$BA$16,COLUMNS($A:F)+6,0))</f>
        <v>x</v>
      </c>
      <c r="M89" s="42" t="str">
        <f>IF(VLOOKUP($A89,Data_Template!$A$6:$BA$16,COLUMNS($A:G)+6,0)=0,"",VLOOKUP($A89,Data_Template!$A$6:$BA$16,COLUMNS($A:G)+6,0))</f>
        <v>x</v>
      </c>
      <c r="N89" s="42" t="str">
        <f>IF(VLOOKUP($A89,Data_Template!$A$6:$BA$16,COLUMNS($A:H)+6,0)=0,"",VLOOKUP($A89,Data_Template!$A$6:$BA$16,COLUMNS($A:H)+6,0))</f>
        <v>x</v>
      </c>
      <c r="O89" s="42" t="str">
        <f>IF(VLOOKUP($A89,Data_Template!$A$6:$BA$16,COLUMNS($A:I)+6,0)=0,"",VLOOKUP($A89,Data_Template!$A$6:$BA$16,COLUMNS($A:I)+6,0))</f>
        <v/>
      </c>
      <c r="P89" s="42" t="str">
        <f>IF(VLOOKUP($A89,Data_Template!$A$6:$BA$16,COLUMNS($A:J)+6,0)=0,"",VLOOKUP($A89,Data_Template!$A$6:$BA$16,COLUMNS($A:J)+6,0))</f>
        <v>x</v>
      </c>
      <c r="Q89" s="42" t="str">
        <f>IF(VLOOKUP($A89,Data_Template!$A$6:$BA$16,COLUMNS($A:K)+6,0)=0,"",VLOOKUP($A89,Data_Template!$A$6:$BA$16,COLUMNS($A:K)+6,0))</f>
        <v>x</v>
      </c>
      <c r="R89" s="42" t="str">
        <f>IF(VLOOKUP($A89,Data_Template!$A$6:$BA$16,COLUMNS($A:L)+6,0)=0,"",VLOOKUP($A89,Data_Template!$A$6:$BA$16,COLUMNS($A:L)+6,0))</f>
        <v>x</v>
      </c>
      <c r="S89" s="42" t="str">
        <f>IF(VLOOKUP($A89,Data_Template!$A$6:$BA$16,COLUMNS($A:M)+6,0)=0,"",VLOOKUP($A89,Data_Template!$A$6:$BA$16,COLUMNS($A:M)+6,0))</f>
        <v>x</v>
      </c>
      <c r="T89" s="42" t="str">
        <f>IF(VLOOKUP($A89,Data_Template!$A$6:$BA$16,COLUMNS($A:N)+6,0)=0,"",VLOOKUP($A89,Data_Template!$A$6:$BA$16,COLUMNS($A:N)+6,0))</f>
        <v>x</v>
      </c>
      <c r="U89" s="42" t="str">
        <f>IF(VLOOKUP($A89,Data_Template!$A$6:$BA$16,COLUMNS($A:O)+6,0)=0,"",VLOOKUP($A89,Data_Template!$A$6:$BA$16,COLUMNS($A:O)+6,0))</f>
        <v>x</v>
      </c>
      <c r="V89" s="42" t="str">
        <f>IF(VLOOKUP($A89,Data_Template!$A$6:$BA$16,COLUMNS($A:P)+6,0)=0,"",VLOOKUP($A89,Data_Template!$A$6:$BA$16,COLUMNS($A:P)+6,0))</f>
        <v>x</v>
      </c>
      <c r="W89" s="42" t="str">
        <f>IF(VLOOKUP($A89,Data_Template!$A$6:$BA$16,COLUMNS($A:Q)+6,0)=0,"",VLOOKUP($A89,Data_Template!$A$6:$BA$16,COLUMNS($A:Q)+6,0))</f>
        <v>x</v>
      </c>
      <c r="X89" s="42" t="str">
        <f>IF(VLOOKUP($A89,Data_Template!$A$6:$BA$16,COLUMNS($A:R)+6,0)=0,"",VLOOKUP($A89,Data_Template!$A$6:$BA$16,COLUMNS($A:R)+6,0))</f>
        <v>x</v>
      </c>
      <c r="Y89" s="42" t="str">
        <f>IF(VLOOKUP($A89,Data_Template!$A$6:$BA$16,COLUMNS($A:S)+6,0)=0,"",VLOOKUP($A89,Data_Template!$A$6:$BA$16,COLUMNS($A:S)+6,0))</f>
        <v>x</v>
      </c>
      <c r="Z89" s="42" t="str">
        <f>IF(VLOOKUP($A89,Data_Template!$A$6:$BA$16,COLUMNS($A:T)+6,0)=0,"",VLOOKUP($A89,Data_Template!$A$6:$BA$16,COLUMNS($A:T)+6,0))</f>
        <v>x</v>
      </c>
      <c r="AA89" s="42" t="str">
        <f>IF(VLOOKUP($A89,Data_Template!$A$6:$BA$16,COLUMNS($A:U)+6,0)=0,"",VLOOKUP($A89,Data_Template!$A$6:$BA$16,COLUMNS($A:U)+6,0))</f>
        <v>x</v>
      </c>
      <c r="AB89" s="42" t="str">
        <f>IF(VLOOKUP($A89,Data_Template!$A$6:$BA$16,COLUMNS($A:V)+6,0)=0,"",VLOOKUP($A89,Data_Template!$A$6:$BA$16,COLUMNS($A:V)+6,0))</f>
        <v>x</v>
      </c>
      <c r="AC89" s="42" t="str">
        <f>IF(VLOOKUP($A89,Data_Template!$A$6:$BA$16,COLUMNS($A:W)+6,0)=0,"",VLOOKUP($A89,Data_Template!$A$6:$BA$16,COLUMNS($A:W)+6,0))</f>
        <v>x</v>
      </c>
      <c r="AD89" s="42" t="str">
        <f>IF(VLOOKUP($A89,Data_Template!$A$6:$BA$16,COLUMNS($A:X)+6,0)=0,"",VLOOKUP($A89,Data_Template!$A$6:$BA$16,COLUMNS($A:X)+6,0))</f>
        <v>["false"]</v>
      </c>
      <c r="AE89" s="42" t="str">
        <f>IF(VLOOKUP($A89,Data_Template!$A$6:$BA$16,COLUMNS($A:Y)+6,0)=0,"",VLOOKUP($A89,Data_Template!$A$6:$BA$16,COLUMNS($A:Y)+6,0))</f>
        <v>x</v>
      </c>
      <c r="AF89" s="42" t="str">
        <f>IF(VLOOKUP($A89,Data_Template!$A$6:$BA$16,COLUMNS($A:Z)+6,0)=0,"",VLOOKUP($A89,Data_Template!$A$6:$BA$16,COLUMNS($A:Z)+6,0))</f>
        <v>x</v>
      </c>
      <c r="AG89" s="42" t="str">
        <f>IF(VLOOKUP($A89,Data_Template!$A$6:$BA$16,COLUMNS($A:AA)+6,0)=0,"",VLOOKUP($A89,Data_Template!$A$6:$BA$16,COLUMNS($A:AA)+6,0))</f>
        <v>x</v>
      </c>
      <c r="AH89" s="42" t="str">
        <f>IF(VLOOKUP($A89,Data_Template!$A$6:$BA$16,COLUMNS($A:AB)+6,0)=0,"",VLOOKUP($A89,Data_Template!$A$6:$BA$16,COLUMNS($A:AB)+6,0))</f>
        <v>x</v>
      </c>
      <c r="AI89" s="42" t="str">
        <f>IF(VLOOKUP($A89,Data_Template!$A$6:$BA$16,COLUMNS($A:AC)+6,0)=0,"",VLOOKUP($A89,Data_Template!$A$6:$BA$16,COLUMNS($A:AC)+6,0))</f>
        <v>x</v>
      </c>
      <c r="AJ89" s="42" t="str">
        <f>IF(VLOOKUP($A89,Data_Template!$A$6:$BA$16,COLUMNS($A:AD)+6,0)=0,"",VLOOKUP($A89,Data_Template!$A$6:$BA$16,COLUMNS($A:AD)+6,0))</f>
        <v>x</v>
      </c>
      <c r="AK89" s="42" t="str">
        <f>IF(VLOOKUP($A89,Data_Template!$A$6:$BA$16,COLUMNS($A:AE)+6,0)=0,"",VLOOKUP($A89,Data_Template!$A$6:$BA$16,COLUMNS($A:AE)+6,0))</f>
        <v>x</v>
      </c>
      <c r="AL89" s="42" t="str">
        <f>IF(VLOOKUP($A89,Data_Template!$A$6:$BA$16,COLUMNS($A:AF)+6,0)=0,"",VLOOKUP($A89,Data_Template!$A$6:$BA$16,COLUMNS($A:AF)+6,0))</f>
        <v>x</v>
      </c>
      <c r="AM89" s="42" t="str">
        <f>IF(VLOOKUP($A89,Data_Template!$A$6:$BA$16,COLUMNS($A:AG)+6,0)=0,"",VLOOKUP($A89,Data_Template!$A$6:$BA$16,COLUMNS($A:AG)+6,0))</f>
        <v>x</v>
      </c>
      <c r="AN89" s="42" t="str">
        <f>IF(VLOOKUP($A89,Data_Template!$A$6:$BA$16,COLUMNS($A:AH)+6,0)=0,"",VLOOKUP($A89,Data_Template!$A$6:$BA$16,COLUMNS($A:AH)+6,0))</f>
        <v>x</v>
      </c>
      <c r="AO89" s="42" t="str">
        <f>IF(VLOOKUP($A89,Data_Template!$A$6:$BA$16,COLUMNS($A:AI)+6,0)=0,"",VLOOKUP($A89,Data_Template!$A$6:$BA$16,COLUMNS($A:AI)+6,0))</f>
        <v>x</v>
      </c>
      <c r="AP89" s="42" t="str">
        <f>IF(VLOOKUP($A89,Data_Template!$A$6:$BA$16,COLUMNS($A:AJ)+6,0)=0,"",VLOOKUP($A89,Data_Template!$A$6:$BA$16,COLUMNS($A:AJ)+6,0))</f>
        <v>x</v>
      </c>
      <c r="AQ89" s="42" t="str">
        <f>IF(VLOOKUP($A89,Data_Template!$A$6:$BA$16,COLUMNS($A:AK)+6,0)=0,"",VLOOKUP($A89,Data_Template!$A$6:$BA$16,COLUMNS($A:AK)+6,0))</f>
        <v>x</v>
      </c>
      <c r="AR89" s="42" t="str">
        <f>IF(VLOOKUP($A89,Data_Template!$A$6:$BA$16,COLUMNS($A:AL)+6,0)=0,"",VLOOKUP($A89,Data_Template!$A$6:$BA$16,COLUMNS($A:AL)+6,0))</f>
        <v>x</v>
      </c>
      <c r="AS89" s="42" t="str">
        <f>IF(VLOOKUP($A89,Data_Template!$A$6:$BA$16,COLUMNS($A:AM)+6,0)=0,"",VLOOKUP($A89,Data_Template!$A$6:$BA$16,COLUMNS($A:AM)+6,0))</f>
        <v>x</v>
      </c>
      <c r="AT89" s="42" t="str">
        <f>IF(VLOOKUP($A89,Data_Template!$A$6:$BA$16,COLUMNS($A:AN)+6,0)=0,"",VLOOKUP($A89,Data_Template!$A$6:$BA$16,COLUMNS($A:AN)+6,0))</f>
        <v/>
      </c>
      <c r="AU89" s="42" t="str">
        <f>IF(VLOOKUP($A89,Data_Template!$A$6:$BA$16,COLUMNS($A:AO)+6,0)=0,"",VLOOKUP($A89,Data_Template!$A$6:$BA$16,COLUMNS($A:AO)+6,0))</f>
        <v/>
      </c>
      <c r="AV89" s="42" t="str">
        <f>IF(VLOOKUP($A89,Data_Template!$A$6:$BA$16,COLUMNS($A:AP)+6,0)=0,"",VLOOKUP($A89,Data_Template!$A$6:$BA$16,COLUMNS($A:AP)+6,0))</f>
        <v>x</v>
      </c>
      <c r="AW89" s="42" t="str">
        <f>IF(VLOOKUP($A89,Data_Template!$A$6:$BA$16,COLUMNS($A:AQ)+6,0)=0,"",VLOOKUP($A89,Data_Template!$A$6:$BA$16,COLUMNS($A:AQ)+6,0))</f>
        <v>x</v>
      </c>
      <c r="AX89" s="42" t="str">
        <f>IF(VLOOKUP($A89,Data_Template!$A$6:$BA$16,COLUMNS($A:AR)+6,0)=0,"",VLOOKUP($A89,Data_Template!$A$6:$BA$16,COLUMNS($A:AR)+6,0))</f>
        <v>x</v>
      </c>
      <c r="AY89" s="42" t="str">
        <f>IF(VLOOKUP($A89,Data_Template!$A$6:$BA$16,COLUMNS($A:AS)+6,0)=0,"",VLOOKUP($A89,Data_Template!$A$6:$BA$16,COLUMNS($A:AS)+6,0))</f>
        <v>x</v>
      </c>
      <c r="AZ89" s="42"/>
      <c r="BA89" s="42"/>
      <c r="BB89" s="50"/>
      <c r="BC89" s="42"/>
      <c r="BD89" s="42"/>
      <c r="BE89" s="42"/>
      <c r="BF89" s="42"/>
      <c r="BG89" s="42"/>
      <c r="BH89" s="42"/>
      <c r="BI89" s="42"/>
      <c r="BJ89" s="42"/>
      <c r="BL89" s="42"/>
      <c r="BM89" s="42"/>
      <c r="BN89" s="42"/>
      <c r="BO89" s="42"/>
      <c r="BP89" s="42"/>
      <c r="BQ89" s="42"/>
      <c r="BR89" s="42"/>
      <c r="BS89" s="42"/>
      <c r="BT89" s="42"/>
      <c r="BU89" s="42"/>
      <c r="BV89" s="42"/>
      <c r="BW89" s="42"/>
      <c r="BX89" s="42"/>
      <c r="BZ89" s="52"/>
    </row>
    <row r="90" spans="1:78" s="51" customFormat="1" ht="63.75" x14ac:dyDescent="0.2">
      <c r="A90" s="42" t="str">
        <f>Classes!J12</f>
        <v>IFMA_C_31010005</v>
      </c>
      <c r="B90" s="42" t="str">
        <f>Classes!P12</f>
        <v>Aussenraum</v>
      </c>
      <c r="C90" s="37"/>
      <c r="D90" s="42" t="s">
        <v>884</v>
      </c>
      <c r="E90" s="41"/>
      <c r="G90" s="42" t="str">
        <f>IF(VLOOKUP($A90,Data_Template!$A$6:$BA$16,COLUMNS($A:A)+6,0)=0,"",VLOOKUP($A90,Data_Template!$A$6:$BA$16,COLUMNS($A:A)+6,0))</f>
        <v>x</v>
      </c>
      <c r="H90" s="42" t="str">
        <f>IF(VLOOKUP($A90,Data_Template!$A$6:$BA$16,COLUMNS($A:B)+6,0)=0,"",VLOOKUP($A90,Data_Template!$A$6:$BA$16,COLUMNS($A:B)+6,0))</f>
        <v>x</v>
      </c>
      <c r="I90" s="42" t="str">
        <f>IF(VLOOKUP($A90,Data_Template!$A$6:$BA$16,COLUMNS($A:C)+6,0)=0,"",VLOOKUP($A90,Data_Template!$A$6:$BA$16,COLUMNS($A:C)+6,0))</f>
        <v>["3.1_ANGF", "3.1.1_ANF", "3.1.2_AVF", "3.1.3_AFF", "3.1_SEN", "3.1.1_SEU", "3.1.2_SED", "3.1.3_SEI", "3.1_SNE", "3.1.1_SUE", "3.1.2_SCIRE", "3.1.3_SIE"]</v>
      </c>
      <c r="J90" s="42" t="str">
        <f>IF(VLOOKUP($A90,Data_Template!$A$6:$BA$16,COLUMNS($A:D)+6,0)=0,"",VLOOKUP($A90,Data_Template!$A$6:$BA$16,COLUMNS($A:D)+6,0))</f>
        <v/>
      </c>
      <c r="K90" s="42" t="str">
        <f>IF(VLOOKUP($A90,Data_Template!$A$6:$BA$16,COLUMNS($A:E)+6,0)=0,"",VLOOKUP($A90,Data_Template!$A$6:$BA$16,COLUMNS($A:E)+6,0))</f>
        <v/>
      </c>
      <c r="L90" s="42" t="str">
        <f>IF(VLOOKUP($A90,Data_Template!$A$6:$BA$16,COLUMNS($A:F)+6,0)=0,"",VLOOKUP($A90,Data_Template!$A$6:$BA$16,COLUMNS($A:F)+6,0))</f>
        <v/>
      </c>
      <c r="M90" s="42" t="str">
        <f>IF(VLOOKUP($A90,Data_Template!$A$6:$BA$16,COLUMNS($A:G)+6,0)=0,"",VLOOKUP($A90,Data_Template!$A$6:$BA$16,COLUMNS($A:G)+6,0))</f>
        <v>x</v>
      </c>
      <c r="N90" s="42" t="str">
        <f>IF(VLOOKUP($A90,Data_Template!$A$6:$BA$16,COLUMNS($A:H)+6,0)=0,"",VLOOKUP($A90,Data_Template!$A$6:$BA$16,COLUMNS($A:H)+6,0))</f>
        <v>x</v>
      </c>
      <c r="O90" s="42" t="str">
        <f>IF(VLOOKUP($A90,Data_Template!$A$6:$BA$16,COLUMNS($A:I)+6,0)=0,"",VLOOKUP($A90,Data_Template!$A$6:$BA$16,COLUMNS($A:I)+6,0))</f>
        <v/>
      </c>
      <c r="P90" s="42" t="str">
        <f>IF(VLOOKUP($A90,Data_Template!$A$6:$BA$16,COLUMNS($A:J)+6,0)=0,"",VLOOKUP($A90,Data_Template!$A$6:$BA$16,COLUMNS($A:J)+6,0))</f>
        <v>x</v>
      </c>
      <c r="Q90" s="42" t="str">
        <f>IF(VLOOKUP($A90,Data_Template!$A$6:$BA$16,COLUMNS($A:K)+6,0)=0,"",VLOOKUP($A90,Data_Template!$A$6:$BA$16,COLUMNS($A:K)+6,0))</f>
        <v>x</v>
      </c>
      <c r="R90" s="42" t="str">
        <f>IF(VLOOKUP($A90,Data_Template!$A$6:$BA$16,COLUMNS($A:L)+6,0)=0,"",VLOOKUP($A90,Data_Template!$A$6:$BA$16,COLUMNS($A:L)+6,0))</f>
        <v/>
      </c>
      <c r="S90" s="42" t="str">
        <f>IF(VLOOKUP($A90,Data_Template!$A$6:$BA$16,COLUMNS($A:M)+6,0)=0,"",VLOOKUP($A90,Data_Template!$A$6:$BA$16,COLUMNS($A:M)+6,0))</f>
        <v/>
      </c>
      <c r="T90" s="42" t="str">
        <f>IF(VLOOKUP($A90,Data_Template!$A$6:$BA$16,COLUMNS($A:N)+6,0)=0,"",VLOOKUP($A90,Data_Template!$A$6:$BA$16,COLUMNS($A:N)+6,0))</f>
        <v/>
      </c>
      <c r="U90" s="42" t="str">
        <f>IF(VLOOKUP($A90,Data_Template!$A$6:$BA$16,COLUMNS($A:O)+6,0)=0,"",VLOOKUP($A90,Data_Template!$A$6:$BA$16,COLUMNS($A:O)+6,0))</f>
        <v/>
      </c>
      <c r="V90" s="42" t="str">
        <f>IF(VLOOKUP($A90,Data_Template!$A$6:$BA$16,COLUMNS($A:P)+6,0)=0,"",VLOOKUP($A90,Data_Template!$A$6:$BA$16,COLUMNS($A:P)+6,0))</f>
        <v/>
      </c>
      <c r="W90" s="42" t="str">
        <f>IF(VLOOKUP($A90,Data_Template!$A$6:$BA$16,COLUMNS($A:Q)+6,0)=0,"",VLOOKUP($A90,Data_Template!$A$6:$BA$16,COLUMNS($A:Q)+6,0))</f>
        <v/>
      </c>
      <c r="X90" s="42" t="str">
        <f>IF(VLOOKUP($A90,Data_Template!$A$6:$BA$16,COLUMNS($A:R)+6,0)=0,"",VLOOKUP($A90,Data_Template!$A$6:$BA$16,COLUMNS($A:R)+6,0))</f>
        <v/>
      </c>
      <c r="Y90" s="42" t="str">
        <f>IF(VLOOKUP($A90,Data_Template!$A$6:$BA$16,COLUMNS($A:S)+6,0)=0,"",VLOOKUP($A90,Data_Template!$A$6:$BA$16,COLUMNS($A:S)+6,0))</f>
        <v>x</v>
      </c>
      <c r="Z90" s="42" t="str">
        <f>IF(VLOOKUP($A90,Data_Template!$A$6:$BA$16,COLUMNS($A:T)+6,0)=0,"",VLOOKUP($A90,Data_Template!$A$6:$BA$16,COLUMNS($A:T)+6,0))</f>
        <v/>
      </c>
      <c r="AA90" s="42" t="str">
        <f>IF(VLOOKUP($A90,Data_Template!$A$6:$BA$16,COLUMNS($A:U)+6,0)=0,"",VLOOKUP($A90,Data_Template!$A$6:$BA$16,COLUMNS($A:U)+6,0))</f>
        <v/>
      </c>
      <c r="AB90" s="42" t="str">
        <f>IF(VLOOKUP($A90,Data_Template!$A$6:$BA$16,COLUMNS($A:V)+6,0)=0,"",VLOOKUP($A90,Data_Template!$A$6:$BA$16,COLUMNS($A:V)+6,0))</f>
        <v/>
      </c>
      <c r="AC90" s="42" t="str">
        <f>IF(VLOOKUP($A90,Data_Template!$A$6:$BA$16,COLUMNS($A:W)+6,0)=0,"",VLOOKUP($A90,Data_Template!$A$6:$BA$16,COLUMNS($A:W)+6,0))</f>
        <v>x</v>
      </c>
      <c r="AD90" s="42" t="str">
        <f>IF(VLOOKUP($A90,Data_Template!$A$6:$BA$16,COLUMNS($A:X)+6,0)=0,"",VLOOKUP($A90,Data_Template!$A$6:$BA$16,COLUMNS($A:X)+6,0))</f>
        <v>["true"]</v>
      </c>
      <c r="AE90" s="42" t="str">
        <f>IF(VLOOKUP($A90,Data_Template!$A$6:$BA$16,COLUMNS($A:Y)+6,0)=0,"",VLOOKUP($A90,Data_Template!$A$6:$BA$16,COLUMNS($A:Y)+6,0))</f>
        <v>x</v>
      </c>
      <c r="AF90" s="42" t="str">
        <f>IF(VLOOKUP($A90,Data_Template!$A$6:$BA$16,COLUMNS($A:Z)+6,0)=0,"",VLOOKUP($A90,Data_Template!$A$6:$BA$16,COLUMNS($A:Z)+6,0))</f>
        <v/>
      </c>
      <c r="AG90" s="42" t="str">
        <f>IF(VLOOKUP($A90,Data_Template!$A$6:$BA$16,COLUMNS($A:AA)+6,0)=0,"",VLOOKUP($A90,Data_Template!$A$6:$BA$16,COLUMNS($A:AA)+6,0))</f>
        <v>x</v>
      </c>
      <c r="AH90" s="42" t="str">
        <f>IF(VLOOKUP($A90,Data_Template!$A$6:$BA$16,COLUMNS($A:AB)+6,0)=0,"",VLOOKUP($A90,Data_Template!$A$6:$BA$16,COLUMNS($A:AB)+6,0))</f>
        <v>x</v>
      </c>
      <c r="AI90" s="42" t="str">
        <f>IF(VLOOKUP($A90,Data_Template!$A$6:$BA$16,COLUMNS($A:AC)+6,0)=0,"",VLOOKUP($A90,Data_Template!$A$6:$BA$16,COLUMNS($A:AC)+6,0))</f>
        <v>x</v>
      </c>
      <c r="AJ90" s="42" t="str">
        <f>IF(VLOOKUP($A90,Data_Template!$A$6:$BA$16,COLUMNS($A:AD)+6,0)=0,"",VLOOKUP($A90,Data_Template!$A$6:$BA$16,COLUMNS($A:AD)+6,0))</f>
        <v/>
      </c>
      <c r="AK90" s="42" t="str">
        <f>IF(VLOOKUP($A90,Data_Template!$A$6:$BA$16,COLUMNS($A:AE)+6,0)=0,"",VLOOKUP($A90,Data_Template!$A$6:$BA$16,COLUMNS($A:AE)+6,0))</f>
        <v/>
      </c>
      <c r="AL90" s="42" t="str">
        <f>IF(VLOOKUP($A90,Data_Template!$A$6:$BA$16,COLUMNS($A:AF)+6,0)=0,"",VLOOKUP($A90,Data_Template!$A$6:$BA$16,COLUMNS($A:AF)+6,0))</f>
        <v/>
      </c>
      <c r="AM90" s="42" t="str">
        <f>IF(VLOOKUP($A90,Data_Template!$A$6:$BA$16,COLUMNS($A:AG)+6,0)=0,"",VLOOKUP($A90,Data_Template!$A$6:$BA$16,COLUMNS($A:AG)+6,0))</f>
        <v/>
      </c>
      <c r="AN90" s="42" t="str">
        <f>IF(VLOOKUP($A90,Data_Template!$A$6:$BA$16,COLUMNS($A:AH)+6,0)=0,"",VLOOKUP($A90,Data_Template!$A$6:$BA$16,COLUMNS($A:AH)+6,0))</f>
        <v/>
      </c>
      <c r="AO90" s="42" t="str">
        <f>IF(VLOOKUP($A90,Data_Template!$A$6:$BA$16,COLUMNS($A:AI)+6,0)=0,"",VLOOKUP($A90,Data_Template!$A$6:$BA$16,COLUMNS($A:AI)+6,0))</f>
        <v/>
      </c>
      <c r="AP90" s="42" t="str">
        <f>IF(VLOOKUP($A90,Data_Template!$A$6:$BA$16,COLUMNS($A:AJ)+6,0)=0,"",VLOOKUP($A90,Data_Template!$A$6:$BA$16,COLUMNS($A:AJ)+6,0))</f>
        <v/>
      </c>
      <c r="AQ90" s="42" t="str">
        <f>IF(VLOOKUP($A90,Data_Template!$A$6:$BA$16,COLUMNS($A:AK)+6,0)=0,"",VLOOKUP($A90,Data_Template!$A$6:$BA$16,COLUMNS($A:AK)+6,0))</f>
        <v/>
      </c>
      <c r="AR90" s="42" t="str">
        <f>IF(VLOOKUP($A90,Data_Template!$A$6:$BA$16,COLUMNS($A:AL)+6,0)=0,"",VLOOKUP($A90,Data_Template!$A$6:$BA$16,COLUMNS($A:AL)+6,0))</f>
        <v/>
      </c>
      <c r="AS90" s="42" t="str">
        <f>IF(VLOOKUP($A90,Data_Template!$A$6:$BA$16,COLUMNS($A:AM)+6,0)=0,"",VLOOKUP($A90,Data_Template!$A$6:$BA$16,COLUMNS($A:AM)+6,0))</f>
        <v/>
      </c>
      <c r="AT90" s="42" t="str">
        <f>IF(VLOOKUP($A90,Data_Template!$A$6:$BA$16,COLUMNS($A:AN)+6,0)=0,"",VLOOKUP($A90,Data_Template!$A$6:$BA$16,COLUMNS($A:AN)+6,0))</f>
        <v/>
      </c>
      <c r="AU90" s="42" t="str">
        <f>IF(VLOOKUP($A90,Data_Template!$A$6:$BA$16,COLUMNS($A:AO)+6,0)=0,"",VLOOKUP($A90,Data_Template!$A$6:$BA$16,COLUMNS($A:AO)+6,0))</f>
        <v/>
      </c>
      <c r="AV90" s="42" t="str">
        <f>IF(VLOOKUP($A90,Data_Template!$A$6:$BA$16,COLUMNS($A:AP)+6,0)=0,"",VLOOKUP($A90,Data_Template!$A$6:$BA$16,COLUMNS($A:AP)+6,0))</f>
        <v>x</v>
      </c>
      <c r="AW90" s="42" t="str">
        <f>IF(VLOOKUP($A90,Data_Template!$A$6:$BA$16,COLUMNS($A:AQ)+6,0)=0,"",VLOOKUP($A90,Data_Template!$A$6:$BA$16,COLUMNS($A:AQ)+6,0))</f>
        <v/>
      </c>
      <c r="AX90" s="42" t="str">
        <f>IF(VLOOKUP($A90,Data_Template!$A$6:$BA$16,COLUMNS($A:AR)+6,0)=0,"",VLOOKUP($A90,Data_Template!$A$6:$BA$16,COLUMNS($A:AR)+6,0))</f>
        <v/>
      </c>
      <c r="AY90" s="42" t="str">
        <f>IF(VLOOKUP($A90,Data_Template!$A$6:$BA$16,COLUMNS($A:AS)+6,0)=0,"",VLOOKUP($A90,Data_Template!$A$6:$BA$16,COLUMNS($A:AS)+6,0))</f>
        <v/>
      </c>
      <c r="AZ90" s="42" t="str">
        <f>IF(VLOOKUP($A90,Data_Template!$A$6:$BA$16,COLUMNS($A:AT)+6,0)=0,"",VLOOKUP($A90,Data_Template!$A$6:$BA$16,COLUMNS($A:AT)+6,0))</f>
        <v/>
      </c>
      <c r="BA90" s="42"/>
      <c r="BB90" s="50"/>
      <c r="BC90" s="42"/>
      <c r="BD90" s="42"/>
      <c r="BE90" s="42"/>
      <c r="BF90" s="42"/>
      <c r="BG90" s="42"/>
      <c r="BH90" s="42"/>
      <c r="BI90" s="42"/>
      <c r="BJ90" s="42"/>
      <c r="BL90" s="42"/>
      <c r="BM90" s="42"/>
      <c r="BN90" s="42"/>
      <c r="BO90" s="42"/>
      <c r="BP90" s="42"/>
      <c r="BQ90" s="42"/>
      <c r="BR90" s="42"/>
      <c r="BS90" s="42"/>
      <c r="BT90" s="42"/>
      <c r="BU90" s="42"/>
      <c r="BV90" s="42"/>
      <c r="BW90" s="42"/>
      <c r="BX90" s="42"/>
      <c r="BZ90" s="52"/>
    </row>
    <row r="91" spans="1:78" s="51" customFormat="1" ht="18" x14ac:dyDescent="0.2">
      <c r="A91" s="42" t="str">
        <f>Classes!J13</f>
        <v>IFMA_C_31010006</v>
      </c>
      <c r="B91" s="42" t="str">
        <f>Classes!P13</f>
        <v>Einzelparkplatz</v>
      </c>
      <c r="C91" s="37"/>
      <c r="D91" s="42" t="s">
        <v>884</v>
      </c>
      <c r="E91" s="41"/>
      <c r="G91" s="42" t="str">
        <f>IF(VLOOKUP($A91,Data_Template!$A$6:$BA$16,COLUMNS($A:A)+6,0)=0,"",VLOOKUP($A91,Data_Template!$A$6:$BA$16,COLUMNS($A:A)+6,0))</f>
        <v>x</v>
      </c>
      <c r="H91" s="42" t="str">
        <f>IF(VLOOKUP($A91,Data_Template!$A$6:$BA$16,COLUMNS($A:B)+6,0)=0,"",VLOOKUP($A91,Data_Template!$A$6:$BA$16,COLUMNS($A:B)+6,0))</f>
        <v>x</v>
      </c>
      <c r="I91" s="42" t="str">
        <f>IF(VLOOKUP($A91,Data_Template!$A$6:$BA$16,COLUMNS($A:C)+6,0)=0,"",VLOOKUP($A91,Data_Template!$A$6:$BA$16,COLUMNS($A:C)+6,0))</f>
        <v/>
      </c>
      <c r="J91" s="42" t="str">
        <f>IF(VLOOKUP($A91,Data_Template!$A$6:$BA$16,COLUMNS($A:D)+6,0)=0,"",VLOOKUP($A91,Data_Template!$A$6:$BA$16,COLUMNS($A:D)+6,0))</f>
        <v/>
      </c>
      <c r="K91" s="42" t="str">
        <f>IF(VLOOKUP($A91,Data_Template!$A$6:$BA$16,COLUMNS($A:E)+6,0)=0,"",VLOOKUP($A91,Data_Template!$A$6:$BA$16,COLUMNS($A:E)+6,0))</f>
        <v/>
      </c>
      <c r="L91" s="42" t="str">
        <f>IF(VLOOKUP($A91,Data_Template!$A$6:$BA$16,COLUMNS($A:F)+6,0)=0,"",VLOOKUP($A91,Data_Template!$A$6:$BA$16,COLUMNS($A:F)+6,0))</f>
        <v/>
      </c>
      <c r="M91" s="42"/>
      <c r="N91" s="42"/>
      <c r="O91" s="42" t="str">
        <f>IF(VLOOKUP($A91,Data_Template!$A$6:$BA$16,COLUMNS($A:I)+6,0)=0,"",VLOOKUP($A91,Data_Template!$A$6:$BA$16,COLUMNS($A:I)+6,0))</f>
        <v/>
      </c>
      <c r="P91" s="42" t="str">
        <f>IF(VLOOKUP($A91,Data_Template!$A$6:$BA$16,COLUMNS($A:J)+6,0)=0,"",VLOOKUP($A91,Data_Template!$A$6:$BA$16,COLUMNS($A:J)+6,0))</f>
        <v>x</v>
      </c>
      <c r="Q91" s="42" t="str">
        <f>IF(VLOOKUP($A91,Data_Template!$A$6:$BA$16,COLUMNS($A:K)+6,0)=0,"",VLOOKUP($A91,Data_Template!$A$6:$BA$16,COLUMNS($A:K)+6,0))</f>
        <v>x</v>
      </c>
      <c r="R91" s="42" t="str">
        <f>IF(VLOOKUP($A91,Data_Template!$A$6:$BA$16,COLUMNS($A:L)+6,0)=0,"",VLOOKUP($A91,Data_Template!$A$6:$BA$16,COLUMNS($A:L)+6,0))</f>
        <v/>
      </c>
      <c r="S91" s="42" t="str">
        <f>IF(VLOOKUP($A91,Data_Template!$A$6:$BA$16,COLUMNS($A:M)+6,0)=0,"",VLOOKUP($A91,Data_Template!$A$6:$BA$16,COLUMNS($A:M)+6,0))</f>
        <v/>
      </c>
      <c r="T91" s="42" t="str">
        <f>IF(VLOOKUP($A91,Data_Template!$A$6:$BA$16,COLUMNS($A:N)+6,0)=0,"",VLOOKUP($A91,Data_Template!$A$6:$BA$16,COLUMNS($A:N)+6,0))</f>
        <v/>
      </c>
      <c r="U91" s="42" t="str">
        <f>IF(VLOOKUP($A91,Data_Template!$A$6:$BA$16,COLUMNS($A:O)+6,0)=0,"",VLOOKUP($A91,Data_Template!$A$6:$BA$16,COLUMNS($A:O)+6,0))</f>
        <v/>
      </c>
      <c r="V91" s="42" t="str">
        <f>IF(VLOOKUP($A91,Data_Template!$A$6:$BA$16,COLUMNS($A:P)+6,0)=0,"",VLOOKUP($A91,Data_Template!$A$6:$BA$16,COLUMNS($A:P)+6,0))</f>
        <v/>
      </c>
      <c r="W91" s="42" t="str">
        <f>IF(VLOOKUP($A91,Data_Template!$A$6:$BA$16,COLUMNS($A:Q)+6,0)=0,"",VLOOKUP($A91,Data_Template!$A$6:$BA$16,COLUMNS($A:Q)+6,0))</f>
        <v/>
      </c>
      <c r="X91" s="42" t="str">
        <f>IF(VLOOKUP($A91,Data_Template!$A$6:$BA$16,COLUMNS($A:R)+6,0)=0,"",VLOOKUP($A91,Data_Template!$A$6:$BA$16,COLUMNS($A:R)+6,0))</f>
        <v/>
      </c>
      <c r="Y91" s="42" t="str">
        <f>IF(VLOOKUP($A91,Data_Template!$A$6:$BA$16,COLUMNS($A:S)+6,0)=0,"",VLOOKUP($A91,Data_Template!$A$6:$BA$16,COLUMNS($A:S)+6,0))</f>
        <v>x</v>
      </c>
      <c r="Z91" s="42" t="str">
        <f>IF(VLOOKUP($A91,Data_Template!$A$6:$BA$16,COLUMNS($A:T)+6,0)=0,"",VLOOKUP($A91,Data_Template!$A$6:$BA$16,COLUMNS($A:T)+6,0))</f>
        <v/>
      </c>
      <c r="AA91" s="42" t="str">
        <f>IF(VLOOKUP($A91,Data_Template!$A$6:$BA$16,COLUMNS($A:U)+6,0)=0,"",VLOOKUP($A91,Data_Template!$A$6:$BA$16,COLUMNS($A:U)+6,0))</f>
        <v/>
      </c>
      <c r="AB91" s="42" t="str">
        <f>IF(VLOOKUP($A91,Data_Template!$A$6:$BA$16,COLUMNS($A:V)+6,0)=0,"",VLOOKUP($A91,Data_Template!$A$6:$BA$16,COLUMNS($A:V)+6,0))</f>
        <v/>
      </c>
      <c r="AC91" s="42" t="str">
        <f>IF(VLOOKUP($A91,Data_Template!$A$6:$BA$16,COLUMNS($A:W)+6,0)=0,"",VLOOKUP($A91,Data_Template!$A$6:$BA$16,COLUMNS($A:W)+6,0))</f>
        <v>x</v>
      </c>
      <c r="AD91" s="42" t="str">
        <f>IF(VLOOKUP($A91,Data_Template!$A$6:$BA$16,COLUMNS($A:X)+6,0)=0,"",VLOOKUP($A91,Data_Template!$A$6:$BA$16,COLUMNS($A:X)+6,0))</f>
        <v>x</v>
      </c>
      <c r="AE91" s="42" t="str">
        <f>IF(VLOOKUP($A91,Data_Template!$A$6:$BA$16,COLUMNS($A:Y)+6,0)=0,"",VLOOKUP($A91,Data_Template!$A$6:$BA$16,COLUMNS($A:Y)+6,0))</f>
        <v>x</v>
      </c>
      <c r="AF91" s="42" t="str">
        <f>IF(VLOOKUP($A91,Data_Template!$A$6:$BA$16,COLUMNS($A:Z)+6,0)=0,"",VLOOKUP($A91,Data_Template!$A$6:$BA$16,COLUMNS($A:Z)+6,0))</f>
        <v/>
      </c>
      <c r="AG91" s="42" t="str">
        <f>IF(VLOOKUP($A91,Data_Template!$A$6:$BA$16,COLUMNS($A:AA)+6,0)=0,"",VLOOKUP($A91,Data_Template!$A$6:$BA$16,COLUMNS($A:AA)+6,0))</f>
        <v/>
      </c>
      <c r="AH91" s="42" t="str">
        <f>IF(VLOOKUP($A91,Data_Template!$A$6:$BA$16,COLUMNS($A:AB)+6,0)=0,"",VLOOKUP($A91,Data_Template!$A$6:$BA$16,COLUMNS($A:AB)+6,0))</f>
        <v/>
      </c>
      <c r="AI91" s="42" t="str">
        <f>IF(VLOOKUP($A91,Data_Template!$A$6:$BA$16,COLUMNS($A:AC)+6,0)=0,"",VLOOKUP($A91,Data_Template!$A$6:$BA$16,COLUMNS($A:AC)+6,0))</f>
        <v/>
      </c>
      <c r="AJ91" s="42" t="str">
        <f>IF(VLOOKUP($A91,Data_Template!$A$6:$BA$16,COLUMNS($A:AD)+6,0)=0,"",VLOOKUP($A91,Data_Template!$A$6:$BA$16,COLUMNS($A:AD)+6,0))</f>
        <v/>
      </c>
      <c r="AK91" s="42" t="str">
        <f>IF(VLOOKUP($A91,Data_Template!$A$6:$BA$16,COLUMNS($A:AE)+6,0)=0,"",VLOOKUP($A91,Data_Template!$A$6:$BA$16,COLUMNS($A:AE)+6,0))</f>
        <v/>
      </c>
      <c r="AL91" s="42" t="str">
        <f>IF(VLOOKUP($A91,Data_Template!$A$6:$BA$16,COLUMNS($A:AF)+6,0)=0,"",VLOOKUP($A91,Data_Template!$A$6:$BA$16,COLUMNS($A:AF)+6,0))</f>
        <v/>
      </c>
      <c r="AM91" s="42" t="str">
        <f>IF(VLOOKUP($A91,Data_Template!$A$6:$BA$16,COLUMNS($A:AG)+6,0)=0,"",VLOOKUP($A91,Data_Template!$A$6:$BA$16,COLUMNS($A:AG)+6,0))</f>
        <v/>
      </c>
      <c r="AN91" s="42" t="str">
        <f>IF(VLOOKUP($A91,Data_Template!$A$6:$BA$16,COLUMNS($A:AH)+6,0)=0,"",VLOOKUP($A91,Data_Template!$A$6:$BA$16,COLUMNS($A:AH)+6,0))</f>
        <v/>
      </c>
      <c r="AO91" s="42" t="str">
        <f>IF(VLOOKUP($A91,Data_Template!$A$6:$BA$16,COLUMNS($A:AI)+6,0)=0,"",VLOOKUP($A91,Data_Template!$A$6:$BA$16,COLUMNS($A:AI)+6,0))</f>
        <v/>
      </c>
      <c r="AP91" s="42" t="str">
        <f>IF(VLOOKUP($A91,Data_Template!$A$6:$BA$16,COLUMNS($A:AJ)+6,0)=0,"",VLOOKUP($A91,Data_Template!$A$6:$BA$16,COLUMNS($A:AJ)+6,0))</f>
        <v/>
      </c>
      <c r="AQ91" s="42" t="str">
        <f>IF(VLOOKUP($A91,Data_Template!$A$6:$BA$16,COLUMNS($A:AK)+6,0)=0,"",VLOOKUP($A91,Data_Template!$A$6:$BA$16,COLUMNS($A:AK)+6,0))</f>
        <v/>
      </c>
      <c r="AR91" s="42" t="str">
        <f>IF(VLOOKUP($A91,Data_Template!$A$6:$BA$16,COLUMNS($A:AL)+6,0)=0,"",VLOOKUP($A91,Data_Template!$A$6:$BA$16,COLUMNS($A:AL)+6,0))</f>
        <v/>
      </c>
      <c r="AS91" s="42" t="str">
        <f>IF(VLOOKUP($A91,Data_Template!$A$6:$BA$16,COLUMNS($A:AM)+6,0)=0,"",VLOOKUP($A91,Data_Template!$A$6:$BA$16,COLUMNS($A:AM)+6,0))</f>
        <v/>
      </c>
      <c r="AT91" s="42"/>
      <c r="AU91" s="42" t="str">
        <f>IF(VLOOKUP($A91,Data_Template!$A$6:$BA$16,COLUMNS($A:AO)+6,0)=0,"",VLOOKUP($A91,Data_Template!$A$6:$BA$16,COLUMNS($A:AO)+6,0))</f>
        <v/>
      </c>
      <c r="AV91" s="42" t="str">
        <f>IF(VLOOKUP($A91,Data_Template!$A$6:$BA$16,COLUMNS($A:AP)+6,0)=0,"",VLOOKUP($A91,Data_Template!$A$6:$BA$16,COLUMNS($A:AP)+6,0))</f>
        <v/>
      </c>
      <c r="AW91" s="42" t="str">
        <f>IF(VLOOKUP($A91,Data_Template!$A$6:$BA$16,COLUMNS($A:AQ)+6,0)=0,"",VLOOKUP($A91,Data_Template!$A$6:$BA$16,COLUMNS($A:AQ)+6,0))</f>
        <v/>
      </c>
      <c r="AX91" s="42" t="str">
        <f>IF(VLOOKUP($A91,Data_Template!$A$6:$BA$16,COLUMNS($A:AR)+6,0)=0,"",VLOOKUP($A91,Data_Template!$A$6:$BA$16,COLUMNS($A:AR)+6,0))</f>
        <v/>
      </c>
      <c r="AY91" s="42"/>
      <c r="AZ91" s="42" t="str">
        <f>IF(VLOOKUP($A91,Data_Template!$A$6:$BA$16,COLUMNS($A:AT)+6,0)=0,"",VLOOKUP($A91,Data_Template!$A$6:$BA$16,COLUMNS($A:AT)+6,0))</f>
        <v/>
      </c>
      <c r="BA91" s="42"/>
      <c r="BB91" s="50"/>
      <c r="BC91" s="42"/>
      <c r="BD91" s="42"/>
      <c r="BE91" s="42"/>
      <c r="BF91" s="42"/>
      <c r="BG91" s="42"/>
      <c r="BH91" s="42"/>
      <c r="BI91" s="42"/>
      <c r="BJ91" s="42"/>
      <c r="BL91" s="42"/>
      <c r="BM91" s="42"/>
      <c r="BN91" s="42"/>
      <c r="BO91" s="42"/>
      <c r="BP91" s="42"/>
      <c r="BQ91" s="42"/>
      <c r="BR91" s="42"/>
      <c r="BS91" s="42"/>
      <c r="BT91" s="42"/>
      <c r="BU91" s="42"/>
      <c r="BV91" s="42"/>
      <c r="BW91" s="42"/>
      <c r="BX91" s="42"/>
      <c r="BZ91" s="52"/>
    </row>
    <row r="92" spans="1:78" s="51" customFormat="1" ht="18" x14ac:dyDescent="0.2">
      <c r="A92" s="42" t="str">
        <f>Classes!J14</f>
        <v>IFMA_C_31010007</v>
      </c>
      <c r="B92" s="42" t="str">
        <f>Classes!P14</f>
        <v>Vermietbare Fläche</v>
      </c>
      <c r="C92" s="37"/>
      <c r="D92" s="42" t="s">
        <v>884</v>
      </c>
      <c r="E92" s="41"/>
      <c r="G92" s="42" t="str">
        <f>IF(VLOOKUP($A92,Data_Template!$A$6:$BA$16,COLUMNS($A:A)+6,0)=0,"",VLOOKUP($A92,Data_Template!$A$6:$BA$16,COLUMNS($A:A)+6,0))</f>
        <v>x</v>
      </c>
      <c r="H92" s="42" t="str">
        <f>IF(VLOOKUP($A92,Data_Template!$A$6:$BA$16,COLUMNS($A:B)+6,0)=0,"",VLOOKUP($A92,Data_Template!$A$6:$BA$16,COLUMNS($A:B)+6,0))</f>
        <v>x</v>
      </c>
      <c r="I92" s="42" t="str">
        <f>IF(VLOOKUP($A92,Data_Template!$A$6:$BA$16,COLUMNS($A:C)+6,0)=0,"",VLOOKUP($A92,Data_Template!$A$6:$BA$16,COLUMNS($A:C)+6,0))</f>
        <v/>
      </c>
      <c r="J92" s="42" t="str">
        <f>IF(VLOOKUP($A92,Data_Template!$A$6:$BA$16,COLUMNS($A:D)+6,0)=0,"",VLOOKUP($A92,Data_Template!$A$6:$BA$16,COLUMNS($A:D)+6,0))</f>
        <v/>
      </c>
      <c r="K92" s="42" t="str">
        <f>IF(VLOOKUP($A92,Data_Template!$A$6:$BA$16,COLUMNS($A:E)+6,0)=0,"",VLOOKUP($A92,Data_Template!$A$6:$BA$16,COLUMNS($A:E)+6,0))</f>
        <v/>
      </c>
      <c r="L92" s="42" t="str">
        <f>IF(VLOOKUP($A92,Data_Template!$A$6:$BA$16,COLUMNS($A:F)+6,0)=0,"",VLOOKUP($A92,Data_Template!$A$6:$BA$16,COLUMNS($A:F)+6,0))</f>
        <v/>
      </c>
      <c r="M92" s="42"/>
      <c r="N92" s="42"/>
      <c r="O92" s="42" t="str">
        <f>IF(VLOOKUP($A92,Data_Template!$A$6:$BA$16,COLUMNS($A:I)+6,0)=0,"",VLOOKUP($A92,Data_Template!$A$6:$BA$16,COLUMNS($A:I)+6,0))</f>
        <v>x</v>
      </c>
      <c r="P92" s="42" t="str">
        <f>IF(VLOOKUP($A92,Data_Template!$A$6:$BA$16,COLUMNS($A:J)+6,0)=0,"",VLOOKUP($A92,Data_Template!$A$6:$BA$16,COLUMNS($A:J)+6,0))</f>
        <v>x</v>
      </c>
      <c r="Q92" s="42" t="str">
        <f>IF(VLOOKUP($A92,Data_Template!$A$6:$BA$16,COLUMNS($A:K)+6,0)=0,"",VLOOKUP($A92,Data_Template!$A$6:$BA$16,COLUMNS($A:K)+6,0))</f>
        <v/>
      </c>
      <c r="R92" s="42" t="str">
        <f>IF(VLOOKUP($A92,Data_Template!$A$6:$BA$16,COLUMNS($A:L)+6,0)=0,"",VLOOKUP($A92,Data_Template!$A$6:$BA$16,COLUMNS($A:L)+6,0))</f>
        <v/>
      </c>
      <c r="S92" s="42" t="str">
        <f>IF(VLOOKUP($A92,Data_Template!$A$6:$BA$16,COLUMNS($A:M)+6,0)=0,"",VLOOKUP($A92,Data_Template!$A$6:$BA$16,COLUMNS($A:M)+6,0))</f>
        <v/>
      </c>
      <c r="T92" s="42" t="str">
        <f>IF(VLOOKUP($A92,Data_Template!$A$6:$BA$16,COLUMNS($A:N)+6,0)=0,"",VLOOKUP($A92,Data_Template!$A$6:$BA$16,COLUMNS($A:N)+6,0))</f>
        <v/>
      </c>
      <c r="U92" s="42" t="str">
        <f>IF(VLOOKUP($A92,Data_Template!$A$6:$BA$16,COLUMNS($A:O)+6,0)=0,"",VLOOKUP($A92,Data_Template!$A$6:$BA$16,COLUMNS($A:O)+6,0))</f>
        <v/>
      </c>
      <c r="V92" s="42" t="str">
        <f>IF(VLOOKUP($A92,Data_Template!$A$6:$BA$16,COLUMNS($A:P)+6,0)=0,"",VLOOKUP($A92,Data_Template!$A$6:$BA$16,COLUMNS($A:P)+6,0))</f>
        <v/>
      </c>
      <c r="W92" s="42" t="str">
        <f>IF(VLOOKUP($A92,Data_Template!$A$6:$BA$16,COLUMNS($A:Q)+6,0)=0,"",VLOOKUP($A92,Data_Template!$A$6:$BA$16,COLUMNS($A:Q)+6,0))</f>
        <v/>
      </c>
      <c r="X92" s="42" t="str">
        <f>IF(VLOOKUP($A92,Data_Template!$A$6:$BA$16,COLUMNS($A:R)+6,0)=0,"",VLOOKUP($A92,Data_Template!$A$6:$BA$16,COLUMNS($A:R)+6,0))</f>
        <v/>
      </c>
      <c r="Y92" s="42" t="str">
        <f>IF(VLOOKUP($A92,Data_Template!$A$6:$BA$16,COLUMNS($A:S)+6,0)=0,"",VLOOKUP($A92,Data_Template!$A$6:$BA$16,COLUMNS($A:S)+6,0))</f>
        <v>x</v>
      </c>
      <c r="Z92" s="42" t="str">
        <f>IF(VLOOKUP($A92,Data_Template!$A$6:$BA$16,COLUMNS($A:T)+6,0)=0,"",VLOOKUP($A92,Data_Template!$A$6:$BA$16,COLUMNS($A:T)+6,0))</f>
        <v/>
      </c>
      <c r="AA92" s="42" t="str">
        <f>IF(VLOOKUP($A92,Data_Template!$A$6:$BA$16,COLUMNS($A:U)+6,0)=0,"",VLOOKUP($A92,Data_Template!$A$6:$BA$16,COLUMNS($A:U)+6,0))</f>
        <v/>
      </c>
      <c r="AB92" s="42" t="str">
        <f>IF(VLOOKUP($A92,Data_Template!$A$6:$BA$16,COLUMNS($A:V)+6,0)=0,"",VLOOKUP($A92,Data_Template!$A$6:$BA$16,COLUMNS($A:V)+6,0))</f>
        <v/>
      </c>
      <c r="AC92" s="42" t="str">
        <f>IF(VLOOKUP($A92,Data_Template!$A$6:$BA$16,COLUMNS($A:W)+6,0)=0,"",VLOOKUP($A92,Data_Template!$A$6:$BA$16,COLUMNS($A:W)+6,0))</f>
        <v>x</v>
      </c>
      <c r="AD92" s="42" t="str">
        <f>IF(VLOOKUP($A92,Data_Template!$A$6:$BA$16,COLUMNS($A:X)+6,0)=0,"",VLOOKUP($A92,Data_Template!$A$6:$BA$16,COLUMNS($A:X)+6,0))</f>
        <v/>
      </c>
      <c r="AE92" s="42" t="str">
        <f>IF(VLOOKUP($A92,Data_Template!$A$6:$BA$16,COLUMNS($A:Y)+6,0)=0,"",VLOOKUP($A92,Data_Template!$A$6:$BA$16,COLUMNS($A:Y)+6,0))</f>
        <v/>
      </c>
      <c r="AF92" s="42" t="str">
        <f>IF(VLOOKUP($A92,Data_Template!$A$6:$BA$16,COLUMNS($A:Z)+6,0)=0,"",VLOOKUP($A92,Data_Template!$A$6:$BA$16,COLUMNS($A:Z)+6,0))</f>
        <v/>
      </c>
      <c r="AG92" s="42"/>
      <c r="AH92" s="42"/>
      <c r="AI92" s="42" t="str">
        <f>IF(VLOOKUP($A92,Data_Template!$A$6:$BA$16,COLUMNS($A:AC)+6,0)=0,"",VLOOKUP($A92,Data_Template!$A$6:$BA$16,COLUMNS($A:AC)+6,0))</f>
        <v/>
      </c>
      <c r="AJ92" s="42" t="str">
        <f>IF(VLOOKUP($A92,Data_Template!$A$6:$BA$16,COLUMNS($A:AD)+6,0)=0,"",VLOOKUP($A92,Data_Template!$A$6:$BA$16,COLUMNS($A:AD)+6,0))</f>
        <v/>
      </c>
      <c r="AK92" s="42" t="str">
        <f>IF(VLOOKUP($A92,Data_Template!$A$6:$BA$16,COLUMNS($A:AE)+6,0)=0,"",VLOOKUP($A92,Data_Template!$A$6:$BA$16,COLUMNS($A:AE)+6,0))</f>
        <v/>
      </c>
      <c r="AL92" s="42" t="str">
        <f>IF(VLOOKUP($A92,Data_Template!$A$6:$BA$16,COLUMNS($A:AF)+6,0)=0,"",VLOOKUP($A92,Data_Template!$A$6:$BA$16,COLUMNS($A:AF)+6,0))</f>
        <v/>
      </c>
      <c r="AM92" s="42" t="str">
        <f>IF(VLOOKUP($A92,Data_Template!$A$6:$BA$16,COLUMNS($A:AG)+6,0)=0,"",VLOOKUP($A92,Data_Template!$A$6:$BA$16,COLUMNS($A:AG)+6,0))</f>
        <v/>
      </c>
      <c r="AN92" s="42" t="str">
        <f>IF(VLOOKUP($A92,Data_Template!$A$6:$BA$16,COLUMNS($A:AH)+6,0)=0,"",VLOOKUP($A92,Data_Template!$A$6:$BA$16,COLUMNS($A:AH)+6,0))</f>
        <v/>
      </c>
      <c r="AO92" s="42" t="str">
        <f>IF(VLOOKUP($A92,Data_Template!$A$6:$BA$16,COLUMNS($A:AI)+6,0)=0,"",VLOOKUP($A92,Data_Template!$A$6:$BA$16,COLUMNS($A:AI)+6,0))</f>
        <v/>
      </c>
      <c r="AP92" s="42" t="str">
        <f>IF(VLOOKUP($A92,Data_Template!$A$6:$BA$16,COLUMNS($A:AJ)+6,0)=0,"",VLOOKUP($A92,Data_Template!$A$6:$BA$16,COLUMNS($A:AJ)+6,0))</f>
        <v/>
      </c>
      <c r="AQ92" s="42" t="str">
        <f>IF(VLOOKUP($A92,Data_Template!$A$6:$BA$16,COLUMNS($A:AK)+6,0)=0,"",VLOOKUP($A92,Data_Template!$A$6:$BA$16,COLUMNS($A:AK)+6,0))</f>
        <v/>
      </c>
      <c r="AR92" s="42" t="str">
        <f>IF(VLOOKUP($A92,Data_Template!$A$6:$BA$16,COLUMNS($A:AL)+6,0)=0,"",VLOOKUP($A92,Data_Template!$A$6:$BA$16,COLUMNS($A:AL)+6,0))</f>
        <v/>
      </c>
      <c r="AS92" s="42" t="str">
        <f>IF(VLOOKUP($A92,Data_Template!$A$6:$BA$16,COLUMNS($A:AM)+6,0)=0,"",VLOOKUP($A92,Data_Template!$A$6:$BA$16,COLUMNS($A:AM)+6,0))</f>
        <v/>
      </c>
      <c r="AT92" s="42" t="str">
        <f>IF(VLOOKUP($A92,Data_Template!$A$6:$BA$16,COLUMNS($A:AN)+6,0)=0,"",VLOOKUP($A92,Data_Template!$A$6:$BA$16,COLUMNS($A:AN)+6,0))</f>
        <v>x</v>
      </c>
      <c r="AU92" s="42" t="str">
        <f>IF(VLOOKUP($A92,Data_Template!$A$6:$BA$16,COLUMNS($A:AO)+6,0)=0,"",VLOOKUP($A92,Data_Template!$A$6:$BA$16,COLUMNS($A:AO)+6,0))</f>
        <v/>
      </c>
      <c r="AV92" s="42"/>
      <c r="AW92" s="42" t="str">
        <f>IF(VLOOKUP($A92,Data_Template!$A$6:$BA$16,COLUMNS($A:AQ)+6,0)=0,"",VLOOKUP($A92,Data_Template!$A$6:$BA$16,COLUMNS($A:AQ)+6,0))</f>
        <v/>
      </c>
      <c r="AX92" s="42" t="str">
        <f>IF(VLOOKUP($A92,Data_Template!$A$6:$BA$16,COLUMNS($A:AR)+6,0)=0,"",VLOOKUP($A92,Data_Template!$A$6:$BA$16,COLUMNS($A:AR)+6,0))</f>
        <v/>
      </c>
      <c r="AY92" s="42" t="str">
        <f>IF(VLOOKUP($A92,Data_Template!$A$6:$BA$16,COLUMNS($A:AS)+6,0)=0,"",VLOOKUP($A92,Data_Template!$A$6:$BA$16,COLUMNS($A:AS)+6,0))</f>
        <v/>
      </c>
      <c r="AZ92" s="42" t="str">
        <f>IF(VLOOKUP($A92,Data_Template!$A$6:$BA$16,COLUMNS($A:AT)+6,0)=0,"",VLOOKUP($A92,Data_Template!$A$6:$BA$16,COLUMNS($A:AT)+6,0))</f>
        <v/>
      </c>
      <c r="BA92" s="42"/>
      <c r="BB92" s="50"/>
      <c r="BC92" s="42"/>
      <c r="BD92" s="42"/>
      <c r="BE92" s="42"/>
      <c r="BF92" s="42"/>
      <c r="BG92" s="42"/>
      <c r="BH92" s="42"/>
      <c r="BI92" s="42"/>
      <c r="BJ92" s="42"/>
      <c r="BL92" s="42"/>
      <c r="BM92" s="42"/>
      <c r="BN92" s="42"/>
      <c r="BO92" s="42"/>
      <c r="BP92" s="42"/>
      <c r="BQ92" s="42"/>
      <c r="BR92" s="42"/>
      <c r="BS92" s="42"/>
      <c r="BT92" s="42"/>
      <c r="BU92" s="42"/>
      <c r="BV92" s="42"/>
      <c r="BW92" s="42"/>
      <c r="BX92" s="42"/>
      <c r="BZ92" s="52"/>
    </row>
    <row r="93" spans="1:78" s="51" customFormat="1" ht="18" x14ac:dyDescent="0.2">
      <c r="A93" s="42" t="str">
        <f>Classes!J15</f>
        <v>IFMA_C_31010008</v>
      </c>
      <c r="B93" s="42" t="str">
        <f>Classes!P15</f>
        <v>Nutzungseinheit</v>
      </c>
      <c r="C93" s="37"/>
      <c r="D93" s="42" t="s">
        <v>884</v>
      </c>
      <c r="E93" s="41"/>
      <c r="G93" s="42" t="str">
        <f>IF(VLOOKUP($A93,Data_Template!$A$6:$BA$16,COLUMNS($A:A)+6,0)=0,"",VLOOKUP($A93,Data_Template!$A$6:$BA$16,COLUMNS($A:A)+6,0))</f>
        <v>x</v>
      </c>
      <c r="H93" s="42" t="str">
        <f>IF(VLOOKUP($A93,Data_Template!$A$6:$BA$16,COLUMNS($A:B)+6,0)=0,"",VLOOKUP($A93,Data_Template!$A$6:$BA$16,COLUMNS($A:B)+6,0))</f>
        <v>x</v>
      </c>
      <c r="I93" s="42" t="str">
        <f>IF(VLOOKUP($A93,Data_Template!$A$6:$BA$16,COLUMNS($A:C)+6,0)=0,"",VLOOKUP($A93,Data_Template!$A$6:$BA$16,COLUMNS($A:C)+6,0))</f>
        <v/>
      </c>
      <c r="J93" s="42" t="str">
        <f>IF(VLOOKUP($A93,Data_Template!$A$6:$BA$16,COLUMNS($A:D)+6,0)=0,"",VLOOKUP($A93,Data_Template!$A$6:$BA$16,COLUMNS($A:D)+6,0))</f>
        <v/>
      </c>
      <c r="K93" s="42" t="str">
        <f>IF(VLOOKUP($A93,Data_Template!$A$6:$BA$16,COLUMNS($A:E)+6,0)=0,"",VLOOKUP($A93,Data_Template!$A$6:$BA$16,COLUMNS($A:E)+6,0))</f>
        <v/>
      </c>
      <c r="L93" s="42" t="str">
        <f>IF(VLOOKUP($A93,Data_Template!$A$6:$BA$16,COLUMNS($A:F)+6,0)=0,"",VLOOKUP($A93,Data_Template!$A$6:$BA$16,COLUMNS($A:F)+6,0))</f>
        <v/>
      </c>
      <c r="M93" s="42" t="str">
        <f>IF(VLOOKUP($A93,Data_Template!$A$6:$BA$16,COLUMNS($A:G)+6,0)=0,"",VLOOKUP($A93,Data_Template!$A$6:$BA$16,COLUMNS($A:G)+6,0))</f>
        <v>x</v>
      </c>
      <c r="N93" s="42" t="str">
        <f>IF(VLOOKUP($A93,Data_Template!$A$6:$BA$16,COLUMNS($A:H)+6,0)=0,"",VLOOKUP($A93,Data_Template!$A$6:$BA$16,COLUMNS($A:H)+6,0))</f>
        <v/>
      </c>
      <c r="O93" s="42" t="str">
        <f>IF(VLOOKUP($A93,Data_Template!$A$6:$BA$16,COLUMNS($A:I)+6,0)=0,"",VLOOKUP($A93,Data_Template!$A$6:$BA$16,COLUMNS($A:I)+6,0))</f>
        <v>x</v>
      </c>
      <c r="P93" s="42" t="str">
        <f>IF(VLOOKUP($A93,Data_Template!$A$6:$BA$16,COLUMNS($A:J)+6,0)=0,"",VLOOKUP($A93,Data_Template!$A$6:$BA$16,COLUMNS($A:J)+6,0))</f>
        <v>x</v>
      </c>
      <c r="Q93" s="42" t="str">
        <f>IF(VLOOKUP($A93,Data_Template!$A$6:$BA$16,COLUMNS($A:K)+6,0)=0,"",VLOOKUP($A93,Data_Template!$A$6:$BA$16,COLUMNS($A:K)+6,0))</f>
        <v>x</v>
      </c>
      <c r="R93" s="42" t="str">
        <f>IF(VLOOKUP($A93,Data_Template!$A$6:$BA$16,COLUMNS($A:L)+6,0)=0,"",VLOOKUP($A93,Data_Template!$A$6:$BA$16,COLUMNS($A:L)+6,0))</f>
        <v/>
      </c>
      <c r="S93" s="42" t="str">
        <f>IF(VLOOKUP($A93,Data_Template!$A$6:$BA$16,COLUMNS($A:M)+6,0)=0,"",VLOOKUP($A93,Data_Template!$A$6:$BA$16,COLUMNS($A:M)+6,0))</f>
        <v/>
      </c>
      <c r="T93" s="42" t="str">
        <f>IF(VLOOKUP($A93,Data_Template!$A$6:$BA$16,COLUMNS($A:N)+6,0)=0,"",VLOOKUP($A93,Data_Template!$A$6:$BA$16,COLUMNS($A:N)+6,0))</f>
        <v/>
      </c>
      <c r="U93" s="42" t="str">
        <f>IF(VLOOKUP($A93,Data_Template!$A$6:$BA$16,COLUMNS($A:O)+6,0)=0,"",VLOOKUP($A93,Data_Template!$A$6:$BA$16,COLUMNS($A:O)+6,0))</f>
        <v/>
      </c>
      <c r="V93" s="42" t="str">
        <f>IF(VLOOKUP($A93,Data_Template!$A$6:$BA$16,COLUMNS($A:P)+6,0)=0,"",VLOOKUP($A93,Data_Template!$A$6:$BA$16,COLUMNS($A:P)+6,0))</f>
        <v/>
      </c>
      <c r="W93" s="42" t="str">
        <f>IF(VLOOKUP($A93,Data_Template!$A$6:$BA$16,COLUMNS($A:Q)+6,0)=0,"",VLOOKUP($A93,Data_Template!$A$6:$BA$16,COLUMNS($A:Q)+6,0))</f>
        <v/>
      </c>
      <c r="X93" s="42" t="str">
        <f>IF(VLOOKUP($A93,Data_Template!$A$6:$BA$16,COLUMNS($A:R)+6,0)=0,"",VLOOKUP($A93,Data_Template!$A$6:$BA$16,COLUMNS($A:R)+6,0))</f>
        <v/>
      </c>
      <c r="Y93" s="42" t="str">
        <f>IF(VLOOKUP($A93,Data_Template!$A$6:$BA$16,COLUMNS($A:S)+6,0)=0,"",VLOOKUP($A93,Data_Template!$A$6:$BA$16,COLUMNS($A:S)+6,0))</f>
        <v>x</v>
      </c>
      <c r="Z93" s="42" t="str">
        <f>IF(VLOOKUP($A93,Data_Template!$A$6:$BA$16,COLUMNS($A:T)+6,0)=0,"",VLOOKUP($A93,Data_Template!$A$6:$BA$16,COLUMNS($A:T)+6,0))</f>
        <v/>
      </c>
      <c r="AA93" s="42" t="str">
        <f>IF(VLOOKUP($A93,Data_Template!$A$6:$BA$16,COLUMNS($A:U)+6,0)=0,"",VLOOKUP($A93,Data_Template!$A$6:$BA$16,COLUMNS($A:U)+6,0))</f>
        <v/>
      </c>
      <c r="AB93" s="42" t="str">
        <f>IF(VLOOKUP($A93,Data_Template!$A$6:$BA$16,COLUMNS($A:V)+6,0)=0,"",VLOOKUP($A93,Data_Template!$A$6:$BA$16,COLUMNS($A:V)+6,0))</f>
        <v/>
      </c>
      <c r="AC93" s="42" t="str">
        <f>IF(VLOOKUP($A93,Data_Template!$A$6:$BA$16,COLUMNS($A:W)+6,0)=0,"",VLOOKUP($A93,Data_Template!$A$6:$BA$16,COLUMNS($A:W)+6,0))</f>
        <v>x</v>
      </c>
      <c r="AD93" s="42" t="str">
        <f>IF(VLOOKUP($A93,Data_Template!$A$6:$BA$16,COLUMNS($A:X)+6,0)=0,"",VLOOKUP($A93,Data_Template!$A$6:$BA$16,COLUMNS($A:X)+6,0))</f>
        <v/>
      </c>
      <c r="AE93" s="42" t="str">
        <f>IF(VLOOKUP($A93,Data_Template!$A$6:$BA$16,COLUMNS($A:Y)+6,0)=0,"",VLOOKUP($A93,Data_Template!$A$6:$BA$16,COLUMNS($A:Y)+6,0))</f>
        <v/>
      </c>
      <c r="AF93" s="42" t="str">
        <f>IF(VLOOKUP($A93,Data_Template!$A$6:$BA$16,COLUMNS($A:Z)+6,0)=0,"",VLOOKUP($A93,Data_Template!$A$6:$BA$16,COLUMNS($A:Z)+6,0))</f>
        <v/>
      </c>
      <c r="AG93" s="42"/>
      <c r="AH93" s="42"/>
      <c r="AI93" s="42" t="str">
        <f>IF(VLOOKUP($A93,Data_Template!$A$6:$BA$16,COLUMNS($A:AC)+6,0)=0,"",VLOOKUP($A93,Data_Template!$A$6:$BA$16,COLUMNS($A:AC)+6,0))</f>
        <v/>
      </c>
      <c r="AJ93" s="42" t="str">
        <f>IF(VLOOKUP($A93,Data_Template!$A$6:$BA$16,COLUMNS($A:AD)+6,0)=0,"",VLOOKUP($A93,Data_Template!$A$6:$BA$16,COLUMNS($A:AD)+6,0))</f>
        <v/>
      </c>
      <c r="AK93" s="42" t="str">
        <f>IF(VLOOKUP($A93,Data_Template!$A$6:$BA$16,COLUMNS($A:AE)+6,0)=0,"",VLOOKUP($A93,Data_Template!$A$6:$BA$16,COLUMNS($A:AE)+6,0))</f>
        <v/>
      </c>
      <c r="AL93" s="42" t="str">
        <f>IF(VLOOKUP($A93,Data_Template!$A$6:$BA$16,COLUMNS($A:AF)+6,0)=0,"",VLOOKUP($A93,Data_Template!$A$6:$BA$16,COLUMNS($A:AF)+6,0))</f>
        <v/>
      </c>
      <c r="AM93" s="42" t="str">
        <f>IF(VLOOKUP($A93,Data_Template!$A$6:$BA$16,COLUMNS($A:AG)+6,0)=0,"",VLOOKUP($A93,Data_Template!$A$6:$BA$16,COLUMNS($A:AG)+6,0))</f>
        <v/>
      </c>
      <c r="AN93" s="42" t="str">
        <f>IF(VLOOKUP($A93,Data_Template!$A$6:$BA$16,COLUMNS($A:AH)+6,0)=0,"",VLOOKUP($A93,Data_Template!$A$6:$BA$16,COLUMNS($A:AH)+6,0))</f>
        <v/>
      </c>
      <c r="AO93" s="42" t="str">
        <f>IF(VLOOKUP($A93,Data_Template!$A$6:$BA$16,COLUMNS($A:AI)+6,0)=0,"",VLOOKUP($A93,Data_Template!$A$6:$BA$16,COLUMNS($A:AI)+6,0))</f>
        <v/>
      </c>
      <c r="AP93" s="42" t="str">
        <f>IF(VLOOKUP($A93,Data_Template!$A$6:$BA$16,COLUMNS($A:AJ)+6,0)=0,"",VLOOKUP($A93,Data_Template!$A$6:$BA$16,COLUMNS($A:AJ)+6,0))</f>
        <v/>
      </c>
      <c r="AQ93" s="42" t="str">
        <f>IF(VLOOKUP($A93,Data_Template!$A$6:$BA$16,COLUMNS($A:AK)+6,0)=0,"",VLOOKUP($A93,Data_Template!$A$6:$BA$16,COLUMNS($A:AK)+6,0))</f>
        <v/>
      </c>
      <c r="AR93" s="42" t="str">
        <f>IF(VLOOKUP($A93,Data_Template!$A$6:$BA$16,COLUMNS($A:AL)+6,0)=0,"",VLOOKUP($A93,Data_Template!$A$6:$BA$16,COLUMNS($A:AL)+6,0))</f>
        <v/>
      </c>
      <c r="AS93" s="42" t="str">
        <f>IF(VLOOKUP($A93,Data_Template!$A$6:$BA$16,COLUMNS($A:AM)+6,0)=0,"",VLOOKUP($A93,Data_Template!$A$6:$BA$16,COLUMNS($A:AM)+6,0))</f>
        <v/>
      </c>
      <c r="AT93" s="42" t="str">
        <f>IF(VLOOKUP($A93,Data_Template!$A$6:$BA$16,COLUMNS($A:AN)+6,0)=0,"",VLOOKUP($A93,Data_Template!$A$6:$BA$16,COLUMNS($A:AN)+6,0))</f>
        <v/>
      </c>
      <c r="AU93" s="42" t="str">
        <f>IF(VLOOKUP($A93,Data_Template!$A$6:$BA$16,COLUMNS($A:AO)+6,0)=0,"",VLOOKUP($A93,Data_Template!$A$6:$BA$16,COLUMNS($A:AO)+6,0))</f>
        <v/>
      </c>
      <c r="AV93" s="42" t="str">
        <f>IF(VLOOKUP($A93,Data_Template!$A$6:$BA$16,COLUMNS($A:AP)+6,0)=0,"",VLOOKUP($A93,Data_Template!$A$6:$BA$16,COLUMNS($A:AP)+6,0))</f>
        <v/>
      </c>
      <c r="AW93" s="42" t="str">
        <f>IF(VLOOKUP($A93,Data_Template!$A$6:$BA$16,COLUMNS($A:AQ)+6,0)=0,"",VLOOKUP($A93,Data_Template!$A$6:$BA$16,COLUMNS($A:AQ)+6,0))</f>
        <v/>
      </c>
      <c r="AX93" s="42" t="str">
        <f>IF(VLOOKUP($A93,Data_Template!$A$6:$BA$16,COLUMNS($A:AR)+6,0)=0,"",VLOOKUP($A93,Data_Template!$A$6:$BA$16,COLUMNS($A:AR)+6,0))</f>
        <v/>
      </c>
      <c r="AY93" s="42" t="str">
        <f>IF(VLOOKUP($A93,Data_Template!$A$6:$BA$16,COLUMNS($A:AS)+6,0)=0,"",VLOOKUP($A93,Data_Template!$A$6:$BA$16,COLUMNS($A:AS)+6,0))</f>
        <v/>
      </c>
      <c r="AZ93" s="42" t="str">
        <f>IF(VLOOKUP($A93,Data_Template!$A$6:$BA$16,COLUMNS($A:AT)+6,0)=0,"",VLOOKUP($A93,Data_Template!$A$6:$BA$16,COLUMNS($A:AT)+6,0))</f>
        <v/>
      </c>
      <c r="BA93" s="42"/>
      <c r="BB93" s="50"/>
      <c r="BC93" s="42"/>
      <c r="BD93" s="42"/>
      <c r="BE93" s="42"/>
      <c r="BF93" s="42"/>
      <c r="BG93" s="42"/>
      <c r="BH93" s="42"/>
      <c r="BI93" s="42"/>
      <c r="BJ93" s="42"/>
      <c r="BL93" s="42"/>
      <c r="BM93" s="42"/>
      <c r="BN93" s="42"/>
      <c r="BO93" s="42"/>
      <c r="BP93" s="42"/>
      <c r="BQ93" s="42"/>
      <c r="BR93" s="42"/>
      <c r="BS93" s="42"/>
      <c r="BT93" s="42"/>
      <c r="BU93" s="42"/>
      <c r="BV93" s="42"/>
      <c r="BW93" s="42"/>
      <c r="BX93" s="42"/>
      <c r="BZ93" s="52"/>
    </row>
    <row r="94" spans="1:78" s="51" customFormat="1" ht="18" x14ac:dyDescent="0.2">
      <c r="A94" s="42" t="str">
        <f>Classes!J16</f>
        <v>IFMA_C_31010009</v>
      </c>
      <c r="B94" s="42" t="str">
        <f>Classes!P16</f>
        <v>Grundstück</v>
      </c>
      <c r="C94" s="37"/>
      <c r="D94" s="42" t="s">
        <v>884</v>
      </c>
      <c r="E94" s="41"/>
      <c r="G94" s="42" t="str">
        <f>IF(VLOOKUP($A94,Data_Template!$A$6:$BA$16,COLUMNS($A:A)+6,0)=0,"",VLOOKUP($A94,Data_Template!$A$6:$BA$16,COLUMNS($A:A)+6,0))</f>
        <v>x</v>
      </c>
      <c r="H94" s="42" t="str">
        <f>IF(VLOOKUP($A94,Data_Template!$A$6:$BA$16,COLUMNS($A:B)+6,0)=0,"",VLOOKUP($A94,Data_Template!$A$6:$BA$16,COLUMNS($A:B)+6,0))</f>
        <v>x</v>
      </c>
      <c r="I94" s="42" t="str">
        <f>IF(VLOOKUP($A94,Data_Template!$A$6:$BA$16,COLUMNS($A:C)+6,0)=0,"",VLOOKUP($A94,Data_Template!$A$6:$BA$16,COLUMNS($A:C)+6,0))</f>
        <v/>
      </c>
      <c r="J94" s="42" t="str">
        <f>IF(VLOOKUP($A94,Data_Template!$A$6:$BA$16,COLUMNS($A:D)+6,0)=0,"",VLOOKUP($A94,Data_Template!$A$6:$BA$16,COLUMNS($A:D)+6,0))</f>
        <v/>
      </c>
      <c r="K94" s="42" t="str">
        <f>IF(VLOOKUP($A94,Data_Template!$A$6:$BA$16,COLUMNS($A:E)+6,0)=0,"",VLOOKUP($A94,Data_Template!$A$6:$BA$16,COLUMNS($A:E)+6,0))</f>
        <v/>
      </c>
      <c r="L94" s="42" t="str">
        <f>IF(VLOOKUP($A94,Data_Template!$A$6:$BA$16,COLUMNS($A:F)+6,0)=0,"",VLOOKUP($A94,Data_Template!$A$6:$BA$16,COLUMNS($A:F)+6,0))</f>
        <v/>
      </c>
      <c r="M94" s="42" t="str">
        <f>IF(VLOOKUP($A94,Data_Template!$A$6:$BA$16,COLUMNS($A:G)+6,0)=0,"",VLOOKUP($A94,Data_Template!$A$6:$BA$16,COLUMNS($A:G)+6,0))</f>
        <v/>
      </c>
      <c r="N94" s="42" t="str">
        <f>IF(VLOOKUP($A94,Data_Template!$A$6:$BA$16,COLUMNS($A:H)+6,0)=0,"",VLOOKUP($A94,Data_Template!$A$6:$BA$16,COLUMNS($A:H)+6,0))</f>
        <v/>
      </c>
      <c r="O94" s="42" t="str">
        <f>IF(VLOOKUP($A94,Data_Template!$A$6:$BA$16,COLUMNS($A:I)+6,0)=0,"",VLOOKUP($A94,Data_Template!$A$6:$BA$16,COLUMNS($A:I)+6,0))</f>
        <v/>
      </c>
      <c r="P94" s="42" t="str">
        <f>IF(VLOOKUP($A94,Data_Template!$A$6:$BA$16,COLUMNS($A:J)+6,0)=0,"",VLOOKUP($A94,Data_Template!$A$6:$BA$16,COLUMNS($A:J)+6,0))</f>
        <v/>
      </c>
      <c r="Q94" s="42" t="str">
        <f>IF(VLOOKUP($A94,Data_Template!$A$6:$BA$16,COLUMNS($A:K)+6,0)=0,"",VLOOKUP($A94,Data_Template!$A$6:$BA$16,COLUMNS($A:K)+6,0))</f>
        <v>x</v>
      </c>
      <c r="R94" s="42" t="str">
        <f>IF(VLOOKUP($A94,Data_Template!$A$6:$BA$16,COLUMNS($A:L)+6,0)=0,"",VLOOKUP($A94,Data_Template!$A$6:$BA$16,COLUMNS($A:L)+6,0))</f>
        <v/>
      </c>
      <c r="S94" s="42" t="str">
        <f>IF(VLOOKUP($A94,Data_Template!$A$6:$BA$16,COLUMNS($A:M)+6,0)=0,"",VLOOKUP($A94,Data_Template!$A$6:$BA$16,COLUMNS($A:M)+6,0))</f>
        <v/>
      </c>
      <c r="T94" s="42" t="str">
        <f>IF(VLOOKUP($A94,Data_Template!$A$6:$BA$16,COLUMNS($A:N)+6,0)=0,"",VLOOKUP($A94,Data_Template!$A$6:$BA$16,COLUMNS($A:N)+6,0))</f>
        <v/>
      </c>
      <c r="U94" s="42" t="str">
        <f>IF(VLOOKUP($A94,Data_Template!$A$6:$BA$16,COLUMNS($A:O)+6,0)=0,"",VLOOKUP($A94,Data_Template!$A$6:$BA$16,COLUMNS($A:O)+6,0))</f>
        <v/>
      </c>
      <c r="V94" s="42" t="str">
        <f>IF(VLOOKUP($A94,Data_Template!$A$6:$BA$16,COLUMNS($A:P)+6,0)=0,"",VLOOKUP($A94,Data_Template!$A$6:$BA$16,COLUMNS($A:P)+6,0))</f>
        <v/>
      </c>
      <c r="W94" s="42" t="str">
        <f>IF(VLOOKUP($A94,Data_Template!$A$6:$BA$16,COLUMNS($A:Q)+6,0)=0,"",VLOOKUP($A94,Data_Template!$A$6:$BA$16,COLUMNS($A:Q)+6,0))</f>
        <v/>
      </c>
      <c r="X94" s="42" t="str">
        <f>IF(VLOOKUP($A94,Data_Template!$A$6:$BA$16,COLUMNS($A:R)+6,0)=0,"",VLOOKUP($A94,Data_Template!$A$6:$BA$16,COLUMNS($A:R)+6,0))</f>
        <v/>
      </c>
      <c r="Y94" s="42" t="str">
        <f>IF(VLOOKUP($A94,Data_Template!$A$6:$BA$16,COLUMNS($A:S)+6,0)=0,"",VLOOKUP($A94,Data_Template!$A$6:$BA$16,COLUMNS($A:S)+6,0))</f>
        <v/>
      </c>
      <c r="Z94" s="42" t="str">
        <f>IF(VLOOKUP($A94,Data_Template!$A$6:$BA$16,COLUMNS($A:T)+6,0)=0,"",VLOOKUP($A94,Data_Template!$A$6:$BA$16,COLUMNS($A:T)+6,0))</f>
        <v/>
      </c>
      <c r="AA94" s="42" t="str">
        <f>IF(VLOOKUP($A94,Data_Template!$A$6:$BA$16,COLUMNS($A:U)+6,0)=0,"",VLOOKUP($A94,Data_Template!$A$6:$BA$16,COLUMNS($A:U)+6,0))</f>
        <v/>
      </c>
      <c r="AB94" s="42" t="str">
        <f>IF(VLOOKUP($A94,Data_Template!$A$6:$BA$16,COLUMNS($A:V)+6,0)=0,"",VLOOKUP($A94,Data_Template!$A$6:$BA$16,COLUMNS($A:V)+6,0))</f>
        <v/>
      </c>
      <c r="AC94" s="42" t="str">
        <f>IF(VLOOKUP($A94,Data_Template!$A$6:$BA$16,COLUMNS($A:W)+6,0)=0,"",VLOOKUP($A94,Data_Template!$A$6:$BA$16,COLUMNS($A:W)+6,0))</f>
        <v/>
      </c>
      <c r="AD94" s="42" t="str">
        <f>IF(VLOOKUP($A94,Data_Template!$A$6:$BA$16,COLUMNS($A:X)+6,0)=0,"",VLOOKUP($A94,Data_Template!$A$6:$BA$16,COLUMNS($A:X)+6,0))</f>
        <v/>
      </c>
      <c r="AE94" s="42" t="str">
        <f>IF(VLOOKUP($A94,Data_Template!$A$6:$BA$16,COLUMNS($A:Y)+6,0)=0,"",VLOOKUP($A94,Data_Template!$A$6:$BA$16,COLUMNS($A:Y)+6,0))</f>
        <v/>
      </c>
      <c r="AF94" s="42" t="str">
        <f>IF(VLOOKUP($A94,Data_Template!$A$6:$BA$16,COLUMNS($A:Z)+6,0)=0,"",VLOOKUP($A94,Data_Template!$A$6:$BA$16,COLUMNS($A:Z)+6,0))</f>
        <v/>
      </c>
      <c r="AG94" s="42" t="str">
        <f>IF(VLOOKUP($A94,Data_Template!$A$6:$BA$16,COLUMNS($A:AA)+6,0)=0,"",VLOOKUP($A94,Data_Template!$A$6:$BA$16,COLUMNS($A:AA)+6,0))</f>
        <v/>
      </c>
      <c r="AH94" s="42" t="str">
        <f>IF(VLOOKUP($A94,Data_Template!$A$6:$BA$16,COLUMNS($A:AB)+6,0)=0,"",VLOOKUP($A94,Data_Template!$A$6:$BA$16,COLUMNS($A:AB)+6,0))</f>
        <v/>
      </c>
      <c r="AI94" s="42" t="str">
        <f>IF(VLOOKUP($A94,Data_Template!$A$6:$BA$16,COLUMNS($A:AC)+6,0)=0,"",VLOOKUP($A94,Data_Template!$A$6:$BA$16,COLUMNS($A:AC)+6,0))</f>
        <v/>
      </c>
      <c r="AJ94" s="42" t="str">
        <f>IF(VLOOKUP($A94,Data_Template!$A$6:$BA$16,COLUMNS($A:AD)+6,0)=0,"",VLOOKUP($A94,Data_Template!$A$6:$BA$16,COLUMNS($A:AD)+6,0))</f>
        <v/>
      </c>
      <c r="AK94" s="42" t="str">
        <f>IF(VLOOKUP($A94,Data_Template!$A$6:$BA$16,COLUMNS($A:AE)+6,0)=0,"",VLOOKUP($A94,Data_Template!$A$6:$BA$16,COLUMNS($A:AE)+6,0))</f>
        <v/>
      </c>
      <c r="AL94" s="42" t="str">
        <f>IF(VLOOKUP($A94,Data_Template!$A$6:$BA$16,COLUMNS($A:AF)+6,0)=0,"",VLOOKUP($A94,Data_Template!$A$6:$BA$16,COLUMNS($A:AF)+6,0))</f>
        <v/>
      </c>
      <c r="AM94" s="42" t="str">
        <f>IF(VLOOKUP($A94,Data_Template!$A$6:$BA$16,COLUMNS($A:AG)+6,0)=0,"",VLOOKUP($A94,Data_Template!$A$6:$BA$16,COLUMNS($A:AG)+6,0))</f>
        <v/>
      </c>
      <c r="AN94" s="42" t="str">
        <f>IF(VLOOKUP($A94,Data_Template!$A$6:$BA$16,COLUMNS($A:AH)+6,0)=0,"",VLOOKUP($A94,Data_Template!$A$6:$BA$16,COLUMNS($A:AH)+6,0))</f>
        <v/>
      </c>
      <c r="AO94" s="42" t="str">
        <f>IF(VLOOKUP($A94,Data_Template!$A$6:$BA$16,COLUMNS($A:AI)+6,0)=0,"",VLOOKUP($A94,Data_Template!$A$6:$BA$16,COLUMNS($A:AI)+6,0))</f>
        <v/>
      </c>
      <c r="AP94" s="42" t="str">
        <f>IF(VLOOKUP($A94,Data_Template!$A$6:$BA$16,COLUMNS($A:AJ)+6,0)=0,"",VLOOKUP($A94,Data_Template!$A$6:$BA$16,COLUMNS($A:AJ)+6,0))</f>
        <v/>
      </c>
      <c r="AQ94" s="42" t="str">
        <f>IF(VLOOKUP($A94,Data_Template!$A$6:$BA$16,COLUMNS($A:AK)+6,0)=0,"",VLOOKUP($A94,Data_Template!$A$6:$BA$16,COLUMNS($A:AK)+6,0))</f>
        <v/>
      </c>
      <c r="AR94" s="42" t="str">
        <f>IF(VLOOKUP($A94,Data_Template!$A$6:$BA$16,COLUMNS($A:AL)+6,0)=0,"",VLOOKUP($A94,Data_Template!$A$6:$BA$16,COLUMNS($A:AL)+6,0))</f>
        <v/>
      </c>
      <c r="AS94" s="42" t="str">
        <f>IF(VLOOKUP($A94,Data_Template!$A$6:$BA$16,COLUMNS($A:AM)+6,0)=0,"",VLOOKUP($A94,Data_Template!$A$6:$BA$16,COLUMNS($A:AM)+6,0))</f>
        <v/>
      </c>
      <c r="AT94" s="42" t="str">
        <f>IF(VLOOKUP($A94,Data_Template!$A$6:$BA$16,COLUMNS($A:AN)+6,0)=0,"",VLOOKUP($A94,Data_Template!$A$6:$BA$16,COLUMNS($A:AN)+6,0))</f>
        <v/>
      </c>
      <c r="AU94" s="42" t="str">
        <f>IF(VLOOKUP($A94,Data_Template!$A$6:$BA$16,COLUMNS($A:AO)+6,0)=0,"",VLOOKUP($A94,Data_Template!$A$6:$BA$16,COLUMNS($A:AO)+6,0))</f>
        <v/>
      </c>
      <c r="AV94" s="42" t="str">
        <f>IF(VLOOKUP($A94,Data_Template!$A$6:$BA$16,COLUMNS($A:AP)+6,0)=0,"",VLOOKUP($A94,Data_Template!$A$6:$BA$16,COLUMNS($A:AP)+6,0))</f>
        <v/>
      </c>
      <c r="AW94" s="42" t="str">
        <f>IF(VLOOKUP($A94,Data_Template!$A$6:$BA$16,COLUMNS($A:AQ)+6,0)=0,"",VLOOKUP($A94,Data_Template!$A$6:$BA$16,COLUMNS($A:AQ)+6,0))</f>
        <v/>
      </c>
      <c r="AX94" s="42" t="str">
        <f>IF(VLOOKUP($A94,Data_Template!$A$6:$BA$16,COLUMNS($A:AR)+6,0)=0,"",VLOOKUP($A94,Data_Template!$A$6:$BA$16,COLUMNS($A:AR)+6,0))</f>
        <v/>
      </c>
      <c r="AY94" s="42" t="str">
        <f>IF(VLOOKUP($A94,Data_Template!$A$6:$BA$16,COLUMNS($A:AS)+6,0)=0,"",VLOOKUP($A94,Data_Template!$A$6:$BA$16,COLUMNS($A:AS)+6,0))</f>
        <v/>
      </c>
      <c r="AZ94" s="42" t="str">
        <f>IF(VLOOKUP($A94,Data_Template!$A$6:$BA$16,COLUMNS($A:AT)+6,0)=0,"",VLOOKUP($A94,Data_Template!$A$6:$BA$16,COLUMNS($A:AT)+6,0))</f>
        <v/>
      </c>
      <c r="BA94" s="42" t="str">
        <f>IF(VLOOKUP($A94,Data_Template!$A$6:$BA$16,COLUMNS($A:AU)+6,0)=0,"",VLOOKUP($A94,Data_Template!$A$6:$BA$16,COLUMNS($A:AU)+6,0))</f>
        <v/>
      </c>
      <c r="BB94" s="50"/>
      <c r="BC94" s="42"/>
      <c r="BD94" s="42"/>
      <c r="BE94" s="42"/>
      <c r="BF94" s="42"/>
      <c r="BG94" s="42"/>
      <c r="BH94" s="42"/>
      <c r="BI94" s="42"/>
      <c r="BJ94" s="42"/>
      <c r="BL94" s="42"/>
      <c r="BM94" s="42"/>
      <c r="BN94" s="42"/>
      <c r="BO94" s="42"/>
      <c r="BP94" s="42"/>
      <c r="BQ94" s="42"/>
      <c r="BR94" s="42"/>
      <c r="BS94" s="42"/>
      <c r="BT94" s="42"/>
      <c r="BU94" s="42"/>
      <c r="BV94" s="42"/>
      <c r="BW94" s="42"/>
      <c r="BX94" s="42"/>
      <c r="BZ94" s="52"/>
    </row>
    <row r="95" spans="1:78" s="51" customFormat="1" ht="18" x14ac:dyDescent="0.2">
      <c r="A95" s="42" t="str">
        <f>Classes!J17</f>
        <v>IFMA_C_31010010</v>
      </c>
      <c r="B95" s="42" t="str">
        <f>Classes!P17</f>
        <v>Gebäude</v>
      </c>
      <c r="C95" s="37"/>
      <c r="D95" s="42" t="s">
        <v>884</v>
      </c>
      <c r="E95" s="41"/>
      <c r="G95" s="42" t="str">
        <f>IF(VLOOKUP($A95,Data_Template!$A$6:$BA$16,COLUMNS($A:A)+6,0)=0,"",VLOOKUP($A95,Data_Template!$A$6:$BA$16,COLUMNS($A:A)+6,0))</f>
        <v>x</v>
      </c>
      <c r="H95" s="42" t="str">
        <f>IF(VLOOKUP($A95,Data_Template!$A$6:$BA$16,COLUMNS($A:B)+6,0)=0,"",VLOOKUP($A95,Data_Template!$A$6:$BA$16,COLUMNS($A:B)+6,0))</f>
        <v>x</v>
      </c>
      <c r="I95" s="42" t="str">
        <f>IF(VLOOKUP($A95,Data_Template!$A$6:$BA$16,COLUMNS($A:C)+6,0)=0,"",VLOOKUP($A95,Data_Template!$A$6:$BA$16,COLUMNS($A:C)+6,0))</f>
        <v/>
      </c>
      <c r="J95" s="42" t="str">
        <f>IF(VLOOKUP($A95,Data_Template!$A$6:$BA$16,COLUMNS($A:D)+6,0)=0,"",VLOOKUP($A95,Data_Template!$A$6:$BA$16,COLUMNS($A:D)+6,0))</f>
        <v/>
      </c>
      <c r="K95" s="42" t="str">
        <f>IF(VLOOKUP($A95,Data_Template!$A$6:$BA$16,COLUMNS($A:E)+6,0)=0,"",VLOOKUP($A95,Data_Template!$A$6:$BA$16,COLUMNS($A:E)+6,0))</f>
        <v/>
      </c>
      <c r="L95" s="42" t="str">
        <f>IF(VLOOKUP($A95,Data_Template!$A$6:$BA$16,COLUMNS($A:F)+6,0)=0,"",VLOOKUP($A95,Data_Template!$A$6:$BA$16,COLUMNS($A:F)+6,0))</f>
        <v/>
      </c>
      <c r="M95" s="42" t="str">
        <f>IF(VLOOKUP($A95,Data_Template!$A$6:$BA$16,COLUMNS($A:G)+6,0)=0,"",VLOOKUP($A95,Data_Template!$A$6:$BA$16,COLUMNS($A:G)+6,0))</f>
        <v/>
      </c>
      <c r="N95" s="42" t="str">
        <f>IF(VLOOKUP($A95,Data_Template!$A$6:$BA$16,COLUMNS($A:H)+6,0)=0,"",VLOOKUP($A95,Data_Template!$A$6:$BA$16,COLUMNS($A:H)+6,0))</f>
        <v/>
      </c>
      <c r="O95" s="42" t="str">
        <f>IF(VLOOKUP($A95,Data_Template!$A$6:$BA$16,COLUMNS($A:I)+6,0)=0,"",VLOOKUP($A95,Data_Template!$A$6:$BA$16,COLUMNS($A:I)+6,0))</f>
        <v/>
      </c>
      <c r="P95" s="42" t="str">
        <f>IF(VLOOKUP($A95,Data_Template!$A$6:$BA$16,COLUMNS($A:J)+6,0)=0,"",VLOOKUP($A95,Data_Template!$A$6:$BA$16,COLUMNS($A:J)+6,0))</f>
        <v/>
      </c>
      <c r="Q95" s="42" t="str">
        <f>IF(VLOOKUP($A95,Data_Template!$A$6:$BA$16,COLUMNS($A:K)+6,0)=0,"",VLOOKUP($A95,Data_Template!$A$6:$BA$16,COLUMNS($A:K)+6,0))</f>
        <v>x</v>
      </c>
      <c r="R95" s="42" t="str">
        <f>IF(VLOOKUP($A95,Data_Template!$A$6:$BA$16,COLUMNS($A:L)+6,0)=0,"",VLOOKUP($A95,Data_Template!$A$6:$BA$16,COLUMNS($A:L)+6,0))</f>
        <v/>
      </c>
      <c r="S95" s="42" t="str">
        <f>IF(VLOOKUP($A95,Data_Template!$A$6:$BA$16,COLUMNS($A:M)+6,0)=0,"",VLOOKUP($A95,Data_Template!$A$6:$BA$16,COLUMNS($A:M)+6,0))</f>
        <v/>
      </c>
      <c r="T95" s="42" t="str">
        <f>IF(VLOOKUP($A95,Data_Template!$A$6:$BA$16,COLUMNS($A:N)+6,0)=0,"",VLOOKUP($A95,Data_Template!$A$6:$BA$16,COLUMNS($A:N)+6,0))</f>
        <v/>
      </c>
      <c r="U95" s="42" t="str">
        <f>IF(VLOOKUP($A95,Data_Template!$A$6:$BA$16,COLUMNS($A:O)+6,0)=0,"",VLOOKUP($A95,Data_Template!$A$6:$BA$16,COLUMNS($A:O)+6,0))</f>
        <v/>
      </c>
      <c r="V95" s="42" t="str">
        <f>IF(VLOOKUP($A95,Data_Template!$A$6:$BA$16,COLUMNS($A:P)+6,0)=0,"",VLOOKUP($A95,Data_Template!$A$6:$BA$16,COLUMNS($A:P)+6,0))</f>
        <v/>
      </c>
      <c r="W95" s="42" t="str">
        <f>IF(VLOOKUP($A95,Data_Template!$A$6:$BA$16,COLUMNS($A:Q)+6,0)=0,"",VLOOKUP($A95,Data_Template!$A$6:$BA$16,COLUMNS($A:Q)+6,0))</f>
        <v/>
      </c>
      <c r="X95" s="42" t="str">
        <f>IF(VLOOKUP($A95,Data_Template!$A$6:$BA$16,COLUMNS($A:R)+6,0)=0,"",VLOOKUP($A95,Data_Template!$A$6:$BA$16,COLUMNS($A:R)+6,0))</f>
        <v/>
      </c>
      <c r="Y95" s="42" t="str">
        <f>IF(VLOOKUP($A95,Data_Template!$A$6:$BA$16,COLUMNS($A:S)+6,0)=0,"",VLOOKUP($A95,Data_Template!$A$6:$BA$16,COLUMNS($A:S)+6,0))</f>
        <v/>
      </c>
      <c r="Z95" s="42" t="str">
        <f>IF(VLOOKUP($A95,Data_Template!$A$6:$BA$16,COLUMNS($A:T)+6,0)=0,"",VLOOKUP($A95,Data_Template!$A$6:$BA$16,COLUMNS($A:T)+6,0))</f>
        <v/>
      </c>
      <c r="AA95" s="42" t="str">
        <f>IF(VLOOKUP($A95,Data_Template!$A$6:$BA$16,COLUMNS($A:U)+6,0)=0,"",VLOOKUP($A95,Data_Template!$A$6:$BA$16,COLUMNS($A:U)+6,0))</f>
        <v/>
      </c>
      <c r="AB95" s="42" t="str">
        <f>IF(VLOOKUP($A95,Data_Template!$A$6:$BA$16,COLUMNS($A:V)+6,0)=0,"",VLOOKUP($A95,Data_Template!$A$6:$BA$16,COLUMNS($A:V)+6,0))</f>
        <v/>
      </c>
      <c r="AC95" s="42" t="str">
        <f>IF(VLOOKUP($A95,Data_Template!$A$6:$BA$16,COLUMNS($A:W)+6,0)=0,"",VLOOKUP($A95,Data_Template!$A$6:$BA$16,COLUMNS($A:W)+6,0))</f>
        <v/>
      </c>
      <c r="AD95" s="42" t="str">
        <f>IF(VLOOKUP($A95,Data_Template!$A$6:$BA$16,COLUMNS($A:X)+6,0)=0,"",VLOOKUP($A95,Data_Template!$A$6:$BA$16,COLUMNS($A:X)+6,0))</f>
        <v/>
      </c>
      <c r="AE95" s="42" t="str">
        <f>IF(VLOOKUP($A95,Data_Template!$A$6:$BA$16,COLUMNS($A:Y)+6,0)=0,"",VLOOKUP($A95,Data_Template!$A$6:$BA$16,COLUMNS($A:Y)+6,0))</f>
        <v/>
      </c>
      <c r="AF95" s="42" t="str">
        <f>IF(VLOOKUP($A95,Data_Template!$A$6:$BA$16,COLUMNS($A:Z)+6,0)=0,"",VLOOKUP($A95,Data_Template!$A$6:$BA$16,COLUMNS($A:Z)+6,0))</f>
        <v/>
      </c>
      <c r="AG95" s="42" t="str">
        <f>IF(VLOOKUP($A95,Data_Template!$A$6:$BA$16,COLUMNS($A:AA)+6,0)=0,"",VLOOKUP($A95,Data_Template!$A$6:$BA$16,COLUMNS($A:AA)+6,0))</f>
        <v/>
      </c>
      <c r="AH95" s="42" t="str">
        <f>IF(VLOOKUP($A95,Data_Template!$A$6:$BA$16,COLUMNS($A:AB)+6,0)=0,"",VLOOKUP($A95,Data_Template!$A$6:$BA$16,COLUMNS($A:AB)+6,0))</f>
        <v/>
      </c>
      <c r="AI95" s="42" t="str">
        <f>IF(VLOOKUP($A95,Data_Template!$A$6:$BA$16,COLUMNS($A:AC)+6,0)=0,"",VLOOKUP($A95,Data_Template!$A$6:$BA$16,COLUMNS($A:AC)+6,0))</f>
        <v/>
      </c>
      <c r="AJ95" s="42" t="str">
        <f>IF(VLOOKUP($A95,Data_Template!$A$6:$BA$16,COLUMNS($A:AD)+6,0)=0,"",VLOOKUP($A95,Data_Template!$A$6:$BA$16,COLUMNS($A:AD)+6,0))</f>
        <v/>
      </c>
      <c r="AK95" s="42" t="str">
        <f>IF(VLOOKUP($A95,Data_Template!$A$6:$BA$16,COLUMNS($A:AE)+6,0)=0,"",VLOOKUP($A95,Data_Template!$A$6:$BA$16,COLUMNS($A:AE)+6,0))</f>
        <v/>
      </c>
      <c r="AL95" s="42" t="str">
        <f>IF(VLOOKUP($A95,Data_Template!$A$6:$BA$16,COLUMNS($A:AF)+6,0)=0,"",VLOOKUP($A95,Data_Template!$A$6:$BA$16,COLUMNS($A:AF)+6,0))</f>
        <v/>
      </c>
      <c r="AM95" s="42" t="str">
        <f>IF(VLOOKUP($A95,Data_Template!$A$6:$BA$16,COLUMNS($A:AG)+6,0)=0,"",VLOOKUP($A95,Data_Template!$A$6:$BA$16,COLUMNS($A:AG)+6,0))</f>
        <v/>
      </c>
      <c r="AN95" s="42" t="str">
        <f>IF(VLOOKUP($A95,Data_Template!$A$6:$BA$16,COLUMNS($A:AH)+6,0)=0,"",VLOOKUP($A95,Data_Template!$A$6:$BA$16,COLUMNS($A:AH)+6,0))</f>
        <v/>
      </c>
      <c r="AO95" s="42" t="str">
        <f>IF(VLOOKUP($A95,Data_Template!$A$6:$BA$16,COLUMNS($A:AI)+6,0)=0,"",VLOOKUP($A95,Data_Template!$A$6:$BA$16,COLUMNS($A:AI)+6,0))</f>
        <v/>
      </c>
      <c r="AP95" s="42" t="str">
        <f>IF(VLOOKUP($A95,Data_Template!$A$6:$BA$16,COLUMNS($A:AJ)+6,0)=0,"",VLOOKUP($A95,Data_Template!$A$6:$BA$16,COLUMNS($A:AJ)+6,0))</f>
        <v/>
      </c>
      <c r="AQ95" s="42" t="str">
        <f>IF(VLOOKUP($A95,Data_Template!$A$6:$BA$16,COLUMNS($A:AK)+6,0)=0,"",VLOOKUP($A95,Data_Template!$A$6:$BA$16,COLUMNS($A:AK)+6,0))</f>
        <v/>
      </c>
      <c r="AR95" s="42" t="str">
        <f>IF(VLOOKUP($A95,Data_Template!$A$6:$BA$16,COLUMNS($A:AL)+6,0)=0,"",VLOOKUP($A95,Data_Template!$A$6:$BA$16,COLUMNS($A:AL)+6,0))</f>
        <v/>
      </c>
      <c r="AS95" s="42" t="str">
        <f>IF(VLOOKUP($A95,Data_Template!$A$6:$BA$16,COLUMNS($A:AM)+6,0)=0,"",VLOOKUP($A95,Data_Template!$A$6:$BA$16,COLUMNS($A:AM)+6,0))</f>
        <v/>
      </c>
      <c r="AT95" s="42" t="str">
        <f>IF(VLOOKUP($A95,Data_Template!$A$6:$BA$16,COLUMNS($A:AN)+6,0)=0,"",VLOOKUP($A95,Data_Template!$A$6:$BA$16,COLUMNS($A:AN)+6,0))</f>
        <v/>
      </c>
      <c r="AU95" s="42" t="str">
        <f>IF(VLOOKUP($A95,Data_Template!$A$6:$BA$16,COLUMNS($A:AO)+6,0)=0,"",VLOOKUP($A95,Data_Template!$A$6:$BA$16,COLUMNS($A:AO)+6,0))</f>
        <v/>
      </c>
      <c r="AV95" s="42" t="str">
        <f>IF(VLOOKUP($A95,Data_Template!$A$6:$BA$16,COLUMNS($A:AP)+6,0)=0,"",VLOOKUP($A95,Data_Template!$A$6:$BA$16,COLUMNS($A:AP)+6,0))</f>
        <v/>
      </c>
      <c r="AW95" s="42" t="str">
        <f>IF(VLOOKUP($A95,Data_Template!$A$6:$BA$16,COLUMNS($A:AQ)+6,0)=0,"",VLOOKUP($A95,Data_Template!$A$6:$BA$16,COLUMNS($A:AQ)+6,0))</f>
        <v/>
      </c>
      <c r="AX95" s="42" t="str">
        <f>IF(VLOOKUP($A95,Data_Template!$A$6:$BA$16,COLUMNS($A:AR)+6,0)=0,"",VLOOKUP($A95,Data_Template!$A$6:$BA$16,COLUMNS($A:AR)+6,0))</f>
        <v/>
      </c>
      <c r="AY95" s="42" t="str">
        <f>IF(VLOOKUP($A95,Data_Template!$A$6:$BA$16,COLUMNS($A:AS)+6,0)=0,"",VLOOKUP($A95,Data_Template!$A$6:$BA$16,COLUMNS($A:AS)+6,0))</f>
        <v/>
      </c>
      <c r="AZ95" s="42" t="str">
        <f>IF(VLOOKUP($A95,Data_Template!$A$6:$BA$16,COLUMNS($A:AT)+6,0)=0,"",VLOOKUP($A95,Data_Template!$A$6:$BA$16,COLUMNS($A:AT)+6,0))</f>
        <v/>
      </c>
      <c r="BA95" s="42" t="str">
        <f>IF(VLOOKUP($A95,Data_Template!$A$6:$BA$16,COLUMNS($A:AU)+6,0)=0,"",VLOOKUP($A95,Data_Template!$A$6:$BA$16,COLUMNS($A:AU)+6,0))</f>
        <v/>
      </c>
      <c r="BB95" s="50"/>
      <c r="BC95" s="42"/>
      <c r="BD95" s="42"/>
      <c r="BE95" s="42"/>
      <c r="BF95" s="42"/>
      <c r="BG95" s="42"/>
      <c r="BH95" s="42"/>
      <c r="BI95" s="42"/>
      <c r="BJ95" s="42"/>
      <c r="BL95" s="42"/>
      <c r="BM95" s="42"/>
      <c r="BN95" s="42"/>
      <c r="BO95" s="42"/>
      <c r="BP95" s="42"/>
      <c r="BQ95" s="42"/>
      <c r="BR95" s="42"/>
      <c r="BS95" s="42"/>
      <c r="BT95" s="42"/>
      <c r="BU95" s="42"/>
      <c r="BV95" s="42"/>
      <c r="BW95" s="42"/>
      <c r="BX95" s="42"/>
      <c r="BZ95" s="52"/>
    </row>
  </sheetData>
  <mergeCells count="6">
    <mergeCell ref="B8:D8"/>
    <mergeCell ref="B83:D83"/>
    <mergeCell ref="B23:D23"/>
    <mergeCell ref="B38:D38"/>
    <mergeCell ref="B53:D53"/>
    <mergeCell ref="B68:D68"/>
  </mergeCells>
  <conditionalFormatting sqref="B10:B20">
    <cfRule type="expression" dxfId="11" priority="18">
      <formula>SUMPRODUCT(--(LEN(G10:BA10)&gt;0))=0</formula>
    </cfRule>
  </conditionalFormatting>
  <conditionalFormatting sqref="B25:B35">
    <cfRule type="expression" dxfId="10" priority="11">
      <formula>SUMPRODUCT(--(LEN(G25:BA25)&gt;0))=0</formula>
    </cfRule>
  </conditionalFormatting>
  <conditionalFormatting sqref="B40:B50">
    <cfRule type="expression" dxfId="9" priority="7">
      <formula>SUMPRODUCT(--(LEN(G40:BA40)&gt;0))=0</formula>
    </cfRule>
  </conditionalFormatting>
  <conditionalFormatting sqref="B55:B65">
    <cfRule type="expression" dxfId="8" priority="4">
      <formula>SUMPRODUCT(--(LEN(G55:BA55)&gt;0))=0</formula>
    </cfRule>
  </conditionalFormatting>
  <conditionalFormatting sqref="B70:B80">
    <cfRule type="expression" dxfId="7" priority="1">
      <formula>SUMPRODUCT(--(LEN(G70:BA70)&gt;0))=0</formula>
    </cfRule>
  </conditionalFormatting>
  <conditionalFormatting sqref="B85:B95">
    <cfRule type="expression" dxfId="6" priority="17">
      <formula>SUMPRODUCT(--(LEN(G85:BA85)&gt;0))=0</formula>
    </cfRule>
  </conditionalFormatting>
  <conditionalFormatting sqref="G10:BA20">
    <cfRule type="expression" dxfId="5" priority="25">
      <formula>NOT(_xlfn.ISFORMULA(G10))</formula>
    </cfRule>
  </conditionalFormatting>
  <conditionalFormatting sqref="G25:BA35">
    <cfRule type="expression" dxfId="4" priority="13">
      <formula>NOT(_xlfn.ISFORMULA(G25))</formula>
    </cfRule>
  </conditionalFormatting>
  <conditionalFormatting sqref="G40:BA50">
    <cfRule type="expression" dxfId="3" priority="9">
      <formula>NOT(_xlfn.ISFORMULA(G40))</formula>
    </cfRule>
  </conditionalFormatting>
  <conditionalFormatting sqref="G55:BA65">
    <cfRule type="expression" dxfId="2" priority="6">
      <formula>NOT(_xlfn.ISFORMULA(G55))</formula>
    </cfRule>
  </conditionalFormatting>
  <conditionalFormatting sqref="G70:BA80">
    <cfRule type="expression" dxfId="1" priority="3">
      <formula>NOT(_xlfn.ISFORMULA(G70))</formula>
    </cfRule>
  </conditionalFormatting>
  <conditionalFormatting sqref="G85:BA95">
    <cfRule type="expression" dxfId="0" priority="21">
      <formula>NOT(_xlfn.ISFORMULA(G85))</formula>
    </cfRule>
  </conditionalFormatting>
  <dataValidations disablePrompts="1" count="1">
    <dataValidation type="list" allowBlank="1" sqref="BH85:BH95 BL96:BL1906 BP6:BP8 BH10:BH20 BL21 BH25:BH35 BP22:BP23 BL36 BP37:BP38 BH40:BH50 BL51 BP52:BP53 BH55:BH65 BL66 BL81 BP67:BP68 BH70:BH80 BP82:BP83" xr:uid="{3052849E-7972-4271-8F3D-8C97E2D436B7}">
      <formula1>Status</formula1>
    </dataValidation>
  </dataValidations>
  <pageMargins left="0.70866141732283472" right="0.70866141732283472" top="0.78740157480314965" bottom="0.78740157480314965" header="0.31496062992125984" footer="0.31496062992125984"/>
  <pageSetup paperSize="9" scale="29" fitToHeight="0" orientation="landscape" r:id="rId1"/>
  <headerFooter>
    <oddHeader>&amp;CIFMA Schweiz</oddHeader>
    <oddFooter>&amp;L&amp;"Aptos Narrow,Standard"Data_Template_Flächenmanagement&amp;ROkt 2026 / Seite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15" sqref="D15"/>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218"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208" t="s">
        <v>120</v>
      </c>
      <c r="B1" s="208" t="s">
        <v>393</v>
      </c>
      <c r="C1" s="208" t="s">
        <v>394</v>
      </c>
      <c r="D1" s="208" t="s">
        <v>395</v>
      </c>
      <c r="E1" s="209" t="s">
        <v>166</v>
      </c>
      <c r="F1" s="209" t="s">
        <v>396</v>
      </c>
      <c r="G1" s="209" t="s">
        <v>397</v>
      </c>
      <c r="H1" s="209" t="s">
        <v>398</v>
      </c>
      <c r="I1" s="210" t="s">
        <v>399</v>
      </c>
      <c r="J1" s="209" t="s">
        <v>400</v>
      </c>
      <c r="K1" s="210" t="s">
        <v>1</v>
      </c>
      <c r="L1" s="209" t="s">
        <v>401</v>
      </c>
      <c r="M1" s="210" t="s">
        <v>402</v>
      </c>
      <c r="N1" s="209" t="s">
        <v>248</v>
      </c>
    </row>
    <row r="2" spans="1:14" s="212" customFormat="1" x14ac:dyDescent="0.25">
      <c r="A2" s="211" t="s">
        <v>403</v>
      </c>
      <c r="B2" s="211" t="s">
        <v>404</v>
      </c>
      <c r="C2" s="211" t="s">
        <v>405</v>
      </c>
      <c r="D2" s="211" t="s">
        <v>406</v>
      </c>
      <c r="E2" s="211" t="s">
        <v>407</v>
      </c>
      <c r="F2" s="211" t="s">
        <v>408</v>
      </c>
      <c r="G2" s="211" t="s">
        <v>409</v>
      </c>
      <c r="H2" s="211" t="s">
        <v>410</v>
      </c>
      <c r="I2" s="211" t="s">
        <v>315</v>
      </c>
      <c r="J2" s="211" t="s">
        <v>408</v>
      </c>
      <c r="K2" s="211" t="s">
        <v>292</v>
      </c>
      <c r="L2" s="211" t="s">
        <v>343</v>
      </c>
      <c r="M2" s="211" t="s">
        <v>344</v>
      </c>
      <c r="N2" s="211" t="s">
        <v>292</v>
      </c>
    </row>
    <row r="3" spans="1:14" s="212" customFormat="1" x14ac:dyDescent="0.25">
      <c r="A3" s="213" t="s">
        <v>411</v>
      </c>
      <c r="B3" s="213" t="s">
        <v>412</v>
      </c>
      <c r="C3" s="213" t="s">
        <v>413</v>
      </c>
      <c r="D3" s="213" t="s">
        <v>414</v>
      </c>
      <c r="E3" s="213" t="s">
        <v>309</v>
      </c>
      <c r="F3" s="213" t="s">
        <v>415</v>
      </c>
      <c r="G3" s="213" t="s">
        <v>416</v>
      </c>
      <c r="H3" s="213" t="s">
        <v>417</v>
      </c>
      <c r="I3" s="213" t="s">
        <v>418</v>
      </c>
      <c r="J3" s="213" t="s">
        <v>316</v>
      </c>
      <c r="K3" s="213" t="s">
        <v>419</v>
      </c>
      <c r="L3" s="213" t="s">
        <v>420</v>
      </c>
      <c r="M3" s="213" t="s">
        <v>421</v>
      </c>
      <c r="N3" s="213" t="s">
        <v>419</v>
      </c>
    </row>
    <row r="4" spans="1:14" s="212" customFormat="1" x14ac:dyDescent="0.25">
      <c r="A4" s="213" t="s">
        <v>290</v>
      </c>
      <c r="B4" s="213" t="s">
        <v>291</v>
      </c>
      <c r="C4" s="213" t="s">
        <v>422</v>
      </c>
      <c r="D4" s="213" t="s">
        <v>423</v>
      </c>
      <c r="E4" s="213" t="s">
        <v>324</v>
      </c>
      <c r="F4" s="213" t="s">
        <v>424</v>
      </c>
      <c r="G4" s="213" t="s">
        <v>425</v>
      </c>
      <c r="H4" s="213" t="s">
        <v>426</v>
      </c>
      <c r="I4" s="213" t="s">
        <v>321</v>
      </c>
      <c r="J4" s="213" t="s">
        <v>427</v>
      </c>
      <c r="K4" s="213" t="s">
        <v>428</v>
      </c>
      <c r="L4" s="213" t="s">
        <v>429</v>
      </c>
      <c r="M4" s="213" t="s">
        <v>430</v>
      </c>
      <c r="N4" s="213" t="s">
        <v>428</v>
      </c>
    </row>
    <row r="5" spans="1:14" s="212" customFormat="1" x14ac:dyDescent="0.25">
      <c r="A5" s="213" t="s">
        <v>431</v>
      </c>
      <c r="B5" s="213" t="s">
        <v>432</v>
      </c>
      <c r="C5" s="213" t="s">
        <v>433</v>
      </c>
      <c r="D5" s="213" t="s">
        <v>434</v>
      </c>
      <c r="E5" s="213" t="s">
        <v>319</v>
      </c>
      <c r="F5" s="213" t="s">
        <v>435</v>
      </c>
      <c r="G5" s="213" t="s">
        <v>436</v>
      </c>
      <c r="H5" s="213" t="s">
        <v>437</v>
      </c>
      <c r="I5" s="213" t="s">
        <v>314</v>
      </c>
      <c r="J5" s="213" t="s">
        <v>438</v>
      </c>
      <c r="K5" s="213" t="s">
        <v>439</v>
      </c>
      <c r="L5" s="213" t="s">
        <v>440</v>
      </c>
      <c r="M5" s="213" t="s">
        <v>441</v>
      </c>
      <c r="N5" s="213" t="s">
        <v>439</v>
      </c>
    </row>
    <row r="6" spans="1:14" s="212" customFormat="1" x14ac:dyDescent="0.25">
      <c r="A6" s="213" t="s">
        <v>442</v>
      </c>
      <c r="B6" s="213" t="s">
        <v>443</v>
      </c>
      <c r="C6" s="213" t="s">
        <v>444</v>
      </c>
      <c r="D6" s="213" t="s">
        <v>445</v>
      </c>
      <c r="E6" s="213" t="s">
        <v>313</v>
      </c>
      <c r="F6" s="213" t="s">
        <v>446</v>
      </c>
      <c r="G6" s="213" t="s">
        <v>447</v>
      </c>
      <c r="H6" s="213" t="s">
        <v>448</v>
      </c>
      <c r="I6" s="213" t="s">
        <v>310</v>
      </c>
      <c r="J6" s="213" t="s">
        <v>449</v>
      </c>
      <c r="K6" s="213" t="s">
        <v>450</v>
      </c>
      <c r="L6" s="214"/>
      <c r="M6" s="214"/>
      <c r="N6" s="213" t="s">
        <v>450</v>
      </c>
    </row>
    <row r="7" spans="1:14" s="212" customFormat="1" x14ac:dyDescent="0.25">
      <c r="A7" s="213" t="s">
        <v>451</v>
      </c>
      <c r="B7" s="213" t="s">
        <v>452</v>
      </c>
      <c r="C7" s="213" t="s">
        <v>453</v>
      </c>
      <c r="D7" s="213" t="s">
        <v>454</v>
      </c>
      <c r="E7" s="213" t="s">
        <v>323</v>
      </c>
      <c r="F7" s="213" t="s">
        <v>455</v>
      </c>
      <c r="G7" s="213" t="s">
        <v>456</v>
      </c>
      <c r="H7" s="213" t="s">
        <v>457</v>
      </c>
      <c r="I7" s="213" t="s">
        <v>458</v>
      </c>
      <c r="J7" s="213" t="s">
        <v>459</v>
      </c>
      <c r="K7" s="213" t="s">
        <v>249</v>
      </c>
      <c r="L7" s="214"/>
      <c r="M7" s="214"/>
      <c r="N7" s="213" t="s">
        <v>249</v>
      </c>
    </row>
    <row r="8" spans="1:14" s="212" customFormat="1" x14ac:dyDescent="0.25">
      <c r="A8" s="213" t="s">
        <v>460</v>
      </c>
      <c r="B8" s="213" t="s">
        <v>461</v>
      </c>
      <c r="C8" s="213" t="s">
        <v>462</v>
      </c>
      <c r="D8" s="213" t="s">
        <v>463</v>
      </c>
      <c r="E8" s="213" t="s">
        <v>312</v>
      </c>
      <c r="F8" s="213" t="s">
        <v>464</v>
      </c>
      <c r="G8" s="213" t="s">
        <v>465</v>
      </c>
      <c r="H8" s="213" t="s">
        <v>466</v>
      </c>
      <c r="I8" s="213" t="s">
        <v>467</v>
      </c>
      <c r="J8" s="213" t="s">
        <v>468</v>
      </c>
      <c r="K8" s="213" t="s">
        <v>469</v>
      </c>
      <c r="L8" s="214"/>
      <c r="M8" s="214"/>
      <c r="N8" s="213" t="s">
        <v>469</v>
      </c>
    </row>
    <row r="9" spans="1:14" s="212" customFormat="1" x14ac:dyDescent="0.25">
      <c r="A9" s="213" t="s">
        <v>470</v>
      </c>
      <c r="B9" s="213" t="s">
        <v>471</v>
      </c>
      <c r="C9" s="213" t="s">
        <v>472</v>
      </c>
      <c r="D9" s="213" t="s">
        <v>473</v>
      </c>
      <c r="E9" s="213" t="s">
        <v>317</v>
      </c>
      <c r="F9" s="213" t="s">
        <v>474</v>
      </c>
      <c r="G9" s="213" t="s">
        <v>475</v>
      </c>
      <c r="H9" s="213" t="s">
        <v>476</v>
      </c>
      <c r="I9" s="214"/>
      <c r="J9" s="213" t="s">
        <v>322</v>
      </c>
      <c r="K9" s="213" t="s">
        <v>477</v>
      </c>
      <c r="L9" s="214"/>
      <c r="M9" s="214"/>
      <c r="N9" s="213" t="s">
        <v>477</v>
      </c>
    </row>
    <row r="10" spans="1:14" s="212" customFormat="1" x14ac:dyDescent="0.25">
      <c r="A10" s="215"/>
      <c r="B10" s="215"/>
      <c r="C10" s="215"/>
      <c r="D10" s="215"/>
      <c r="E10" s="213" t="s">
        <v>325</v>
      </c>
      <c r="F10" s="213" t="s">
        <v>478</v>
      </c>
      <c r="G10" s="213" t="s">
        <v>479</v>
      </c>
      <c r="H10" s="213" t="s">
        <v>480</v>
      </c>
      <c r="I10" s="214"/>
      <c r="J10" s="213" t="s">
        <v>311</v>
      </c>
      <c r="K10" s="213" t="s">
        <v>481</v>
      </c>
      <c r="L10" s="214"/>
      <c r="M10" s="214"/>
      <c r="N10" s="213" t="s">
        <v>481</v>
      </c>
    </row>
    <row r="11" spans="1:14" s="212" customFormat="1" x14ac:dyDescent="0.25">
      <c r="A11" s="215"/>
      <c r="B11" s="215"/>
      <c r="C11" s="215"/>
      <c r="D11" s="215"/>
      <c r="E11" s="213" t="s">
        <v>318</v>
      </c>
      <c r="F11" s="213" t="s">
        <v>482</v>
      </c>
      <c r="G11" s="213" t="s">
        <v>483</v>
      </c>
      <c r="H11" s="213" t="s">
        <v>484</v>
      </c>
      <c r="I11" s="214"/>
      <c r="J11" s="213" t="s">
        <v>328</v>
      </c>
      <c r="K11" s="214"/>
      <c r="L11" s="214"/>
      <c r="M11" s="214"/>
      <c r="N11" s="214"/>
    </row>
    <row r="12" spans="1:14" s="212" customFormat="1" x14ac:dyDescent="0.25">
      <c r="A12" s="215"/>
      <c r="B12" s="215"/>
      <c r="C12" s="215"/>
      <c r="D12" s="215"/>
      <c r="E12" s="213" t="s">
        <v>485</v>
      </c>
      <c r="F12" s="213" t="s">
        <v>486</v>
      </c>
      <c r="G12" s="213" t="s">
        <v>487</v>
      </c>
      <c r="H12" s="213" t="s">
        <v>488</v>
      </c>
      <c r="I12" s="214"/>
      <c r="J12" s="213" t="s">
        <v>320</v>
      </c>
      <c r="K12" s="214"/>
      <c r="L12" s="214"/>
      <c r="M12" s="214"/>
      <c r="N12" s="214"/>
    </row>
    <row r="13" spans="1:14" s="212" customFormat="1" x14ac:dyDescent="0.25">
      <c r="A13" s="215"/>
      <c r="B13" s="215"/>
      <c r="C13" s="215"/>
      <c r="D13" s="215"/>
      <c r="E13" s="213" t="s">
        <v>490</v>
      </c>
      <c r="F13" s="213" t="s">
        <v>491</v>
      </c>
      <c r="G13" s="213" t="s">
        <v>492</v>
      </c>
      <c r="H13" s="213" t="s">
        <v>493</v>
      </c>
      <c r="I13" s="214"/>
      <c r="J13" s="213" t="s">
        <v>489</v>
      </c>
      <c r="K13" s="214"/>
      <c r="L13" s="214"/>
      <c r="M13" s="214"/>
      <c r="N13" s="214"/>
    </row>
    <row r="14" spans="1:14" s="212" customFormat="1" x14ac:dyDescent="0.25">
      <c r="A14" s="215"/>
      <c r="B14" s="215"/>
      <c r="C14" s="215"/>
      <c r="D14" s="215"/>
      <c r="E14" s="213" t="s">
        <v>495</v>
      </c>
      <c r="F14" s="213" t="s">
        <v>496</v>
      </c>
      <c r="G14" s="213" t="s">
        <v>497</v>
      </c>
      <c r="H14" s="213" t="s">
        <v>498</v>
      </c>
      <c r="I14" s="214"/>
      <c r="J14" s="213" t="s">
        <v>494</v>
      </c>
      <c r="K14" s="214"/>
      <c r="L14" s="214"/>
      <c r="M14" s="214"/>
      <c r="N14" s="214"/>
    </row>
    <row r="15" spans="1:14" s="212" customFormat="1" x14ac:dyDescent="0.25">
      <c r="A15" s="215"/>
      <c r="B15" s="215"/>
      <c r="C15" s="215"/>
      <c r="D15" s="215"/>
      <c r="E15" s="213" t="s">
        <v>327</v>
      </c>
      <c r="F15" s="213" t="s">
        <v>500</v>
      </c>
      <c r="G15" s="213" t="s">
        <v>501</v>
      </c>
      <c r="H15" s="213" t="s">
        <v>502</v>
      </c>
      <c r="I15" s="214"/>
      <c r="J15" s="213" t="s">
        <v>499</v>
      </c>
      <c r="K15" s="214"/>
      <c r="L15" s="214"/>
      <c r="M15" s="214"/>
      <c r="N15" s="214"/>
    </row>
    <row r="16" spans="1:14" s="212" customFormat="1" x14ac:dyDescent="0.25">
      <c r="A16" s="215"/>
      <c r="B16" s="215"/>
      <c r="C16" s="215"/>
      <c r="D16" s="215"/>
      <c r="E16" s="213" t="s">
        <v>504</v>
      </c>
      <c r="F16" s="213" t="s">
        <v>505</v>
      </c>
      <c r="G16" s="213" t="s">
        <v>506</v>
      </c>
      <c r="H16" s="213" t="s">
        <v>507</v>
      </c>
      <c r="I16" s="214"/>
      <c r="J16" s="213" t="s">
        <v>503</v>
      </c>
      <c r="K16" s="214"/>
      <c r="L16" s="214"/>
      <c r="M16" s="214"/>
      <c r="N16" s="214"/>
    </row>
    <row r="17" spans="1:14" s="212" customFormat="1" x14ac:dyDescent="0.25">
      <c r="A17" s="215"/>
      <c r="B17" s="215"/>
      <c r="C17" s="215"/>
      <c r="D17" s="215"/>
      <c r="E17" s="213" t="s">
        <v>509</v>
      </c>
      <c r="F17" s="213" t="s">
        <v>510</v>
      </c>
      <c r="G17" s="213" t="s">
        <v>511</v>
      </c>
      <c r="H17" s="213" t="s">
        <v>512</v>
      </c>
      <c r="I17" s="214"/>
      <c r="J17" s="213" t="s">
        <v>508</v>
      </c>
      <c r="K17" s="214"/>
      <c r="L17" s="214"/>
      <c r="M17" s="214"/>
      <c r="N17" s="214"/>
    </row>
    <row r="18" spans="1:14" s="212" customFormat="1" ht="25.5" customHeight="1" x14ac:dyDescent="0.25">
      <c r="A18" s="215"/>
      <c r="B18" s="215"/>
      <c r="C18" s="215"/>
      <c r="D18" s="215"/>
      <c r="E18" s="216"/>
      <c r="F18" s="216"/>
      <c r="G18" s="216"/>
      <c r="H18" s="216"/>
      <c r="I18" s="216"/>
      <c r="J18" s="213" t="s">
        <v>513</v>
      </c>
      <c r="K18" s="216"/>
      <c r="L18" s="216"/>
      <c r="M18" s="216"/>
      <c r="N18" s="216"/>
    </row>
    <row r="19" spans="1:14" s="212" customFormat="1" x14ac:dyDescent="0.25">
      <c r="A19" s="215"/>
      <c r="B19" s="215"/>
      <c r="C19" s="215"/>
      <c r="D19" s="215"/>
      <c r="E19" s="216"/>
      <c r="F19" s="216"/>
      <c r="G19" s="216"/>
      <c r="H19" s="216"/>
      <c r="I19" s="216"/>
      <c r="J19" s="217" t="s">
        <v>514</v>
      </c>
      <c r="K19" s="216"/>
      <c r="L19" s="216"/>
      <c r="M19" s="216"/>
      <c r="N19" s="216"/>
    </row>
    <row r="20" spans="1:14" s="212" customFormat="1" x14ac:dyDescent="0.25">
      <c r="A20" s="215"/>
      <c r="B20" s="215"/>
      <c r="C20" s="215"/>
      <c r="D20" s="215"/>
      <c r="E20" s="216"/>
      <c r="F20" s="216"/>
      <c r="G20" s="216"/>
      <c r="H20" s="216"/>
      <c r="I20" s="216"/>
      <c r="J20" s="217" t="s">
        <v>515</v>
      </c>
      <c r="K20" s="216"/>
      <c r="L20" s="216"/>
      <c r="M20" s="216"/>
      <c r="N20" s="216"/>
    </row>
    <row r="21" spans="1:14" s="212" customFormat="1" x14ac:dyDescent="0.25">
      <c r="A21" s="215"/>
      <c r="B21" s="215"/>
      <c r="C21" s="215"/>
      <c r="D21" s="215"/>
      <c r="E21" s="216"/>
      <c r="F21" s="216"/>
      <c r="G21" s="216"/>
      <c r="H21" s="216"/>
      <c r="I21" s="216"/>
      <c r="J21" s="217" t="s">
        <v>326</v>
      </c>
      <c r="K21" s="216"/>
      <c r="L21" s="216"/>
      <c r="M21" s="216"/>
      <c r="N21" s="216"/>
    </row>
    <row r="22" spans="1:14" s="212" customFormat="1" ht="25.5" customHeight="1" x14ac:dyDescent="0.25">
      <c r="A22" s="215"/>
      <c r="B22" s="215"/>
      <c r="C22" s="215"/>
      <c r="D22" s="215"/>
      <c r="E22" s="216"/>
      <c r="F22" s="216"/>
      <c r="G22" s="216"/>
      <c r="H22" s="216"/>
      <c r="I22" s="216"/>
      <c r="J22" s="217" t="s">
        <v>516</v>
      </c>
      <c r="K22" s="216"/>
      <c r="L22" s="216"/>
      <c r="M22" s="216"/>
      <c r="N22" s="216"/>
    </row>
    <row r="23" spans="1:14" s="212" customFormat="1" ht="25.5" x14ac:dyDescent="0.25">
      <c r="A23" s="215"/>
      <c r="B23" s="215"/>
      <c r="C23" s="215"/>
      <c r="D23" s="215"/>
      <c r="E23" s="216"/>
      <c r="F23" s="216"/>
      <c r="G23" s="216"/>
      <c r="H23" s="216"/>
      <c r="I23" s="216"/>
      <c r="J23" s="217" t="s">
        <v>517</v>
      </c>
      <c r="K23" s="216"/>
      <c r="L23" s="216"/>
      <c r="M23" s="216"/>
      <c r="N23" s="216"/>
    </row>
    <row r="24" spans="1:14" s="212" customFormat="1" x14ac:dyDescent="0.25">
      <c r="A24" s="215"/>
      <c r="B24" s="215"/>
      <c r="C24" s="215"/>
      <c r="D24" s="215"/>
      <c r="E24" s="216"/>
      <c r="F24" s="216"/>
      <c r="G24" s="216"/>
      <c r="H24" s="216"/>
      <c r="I24" s="216"/>
      <c r="J24" s="217" t="s">
        <v>518</v>
      </c>
      <c r="K24" s="216"/>
      <c r="L24" s="216"/>
      <c r="M24" s="216"/>
      <c r="N24" s="216"/>
    </row>
    <row r="25" spans="1:14" s="212" customFormat="1" x14ac:dyDescent="0.25">
      <c r="A25" s="215"/>
      <c r="B25" s="215"/>
      <c r="C25" s="215"/>
      <c r="D25" s="215"/>
      <c r="E25" s="216"/>
      <c r="F25" s="216"/>
      <c r="G25" s="216"/>
      <c r="H25" s="216"/>
      <c r="I25" s="216"/>
      <c r="J25" s="217" t="s">
        <v>519</v>
      </c>
      <c r="K25" s="216"/>
      <c r="L25" s="216"/>
      <c r="M25" s="216"/>
      <c r="N25" s="216"/>
    </row>
    <row r="26" spans="1:14" s="212" customFormat="1" x14ac:dyDescent="0.25">
      <c r="A26" s="215"/>
      <c r="B26" s="215"/>
      <c r="C26" s="215"/>
      <c r="D26" s="215"/>
      <c r="E26" s="216"/>
      <c r="F26" s="216"/>
      <c r="G26" s="216"/>
      <c r="H26" s="216"/>
      <c r="I26" s="216"/>
      <c r="J26" s="216"/>
      <c r="K26" s="216"/>
      <c r="L26" s="216"/>
      <c r="M26" s="216"/>
      <c r="N26" s="216"/>
    </row>
    <row r="27" spans="1:14" s="212" customFormat="1" x14ac:dyDescent="0.25">
      <c r="A27" s="215"/>
      <c r="B27" s="215"/>
      <c r="C27" s="215"/>
      <c r="D27" s="215"/>
      <c r="E27" s="216"/>
      <c r="F27" s="216"/>
      <c r="G27" s="216"/>
      <c r="H27" s="216"/>
      <c r="I27" s="216"/>
      <c r="J27" s="216"/>
      <c r="K27" s="216"/>
      <c r="L27" s="216"/>
      <c r="M27" s="216"/>
      <c r="N27" s="216"/>
    </row>
    <row r="28" spans="1:14" s="212" customFormat="1" x14ac:dyDescent="0.25">
      <c r="A28" s="215"/>
      <c r="B28" s="215"/>
      <c r="C28" s="215"/>
      <c r="D28" s="215"/>
      <c r="E28" s="216"/>
      <c r="F28" s="216"/>
      <c r="G28" s="216"/>
      <c r="H28" s="216"/>
      <c r="I28" s="216"/>
      <c r="J28" s="216"/>
      <c r="K28" s="216"/>
      <c r="L28" s="216"/>
      <c r="M28" s="216"/>
      <c r="N28" s="216"/>
    </row>
    <row r="29" spans="1:14" s="212" customFormat="1" x14ac:dyDescent="0.25">
      <c r="A29" s="215"/>
      <c r="B29" s="215"/>
      <c r="C29" s="215"/>
      <c r="D29" s="215"/>
      <c r="E29" s="216"/>
      <c r="F29" s="216"/>
      <c r="G29" s="216"/>
      <c r="H29" s="216"/>
      <c r="I29" s="216"/>
      <c r="J29" s="216"/>
      <c r="K29" s="216"/>
      <c r="L29" s="216"/>
      <c r="M29" s="216"/>
      <c r="N29" s="216"/>
    </row>
    <row r="30" spans="1:14" s="212" customFormat="1" x14ac:dyDescent="0.25">
      <c r="A30" s="215"/>
      <c r="B30" s="215"/>
      <c r="C30" s="215"/>
      <c r="D30" s="215"/>
      <c r="E30" s="216"/>
      <c r="F30" s="216"/>
      <c r="G30" s="216"/>
      <c r="H30" s="216"/>
      <c r="I30" s="216"/>
      <c r="J30" s="216"/>
      <c r="K30" s="216"/>
      <c r="L30" s="216"/>
      <c r="M30" s="216"/>
      <c r="N30" s="216"/>
    </row>
    <row r="31" spans="1:14" s="212" customFormat="1" x14ac:dyDescent="0.25">
      <c r="A31" s="215"/>
      <c r="B31" s="215"/>
      <c r="C31" s="215"/>
      <c r="D31" s="215"/>
      <c r="E31" s="216"/>
      <c r="F31" s="216"/>
      <c r="G31" s="216"/>
      <c r="H31" s="216"/>
      <c r="I31" s="216"/>
      <c r="J31" s="216"/>
      <c r="K31" s="216"/>
      <c r="L31" s="216"/>
      <c r="M31" s="216"/>
      <c r="N31" s="216"/>
    </row>
    <row r="32" spans="1:14" s="212" customFormat="1" x14ac:dyDescent="0.25">
      <c r="A32" s="215"/>
      <c r="B32" s="215"/>
      <c r="C32" s="215"/>
      <c r="D32" s="215"/>
      <c r="E32" s="216"/>
      <c r="F32" s="216"/>
      <c r="G32" s="216"/>
      <c r="H32" s="216"/>
      <c r="I32" s="216"/>
      <c r="J32" s="216"/>
      <c r="K32" s="216"/>
      <c r="L32" s="216"/>
      <c r="M32" s="216"/>
      <c r="N32" s="216"/>
    </row>
    <row r="33" spans="1:14" s="212" customFormat="1" x14ac:dyDescent="0.25">
      <c r="A33" s="215"/>
      <c r="B33" s="215"/>
      <c r="C33" s="215"/>
      <c r="D33" s="215"/>
      <c r="E33" s="216"/>
      <c r="F33" s="216"/>
      <c r="G33" s="216"/>
      <c r="H33" s="216"/>
      <c r="I33" s="216"/>
      <c r="J33" s="216"/>
      <c r="K33" s="216"/>
      <c r="L33" s="216"/>
      <c r="M33" s="216"/>
      <c r="N33" s="216"/>
    </row>
    <row r="34" spans="1:14" x14ac:dyDescent="0.25">
      <c r="A34" s="215"/>
      <c r="B34" s="215"/>
      <c r="C34" s="215"/>
      <c r="D34" s="215"/>
      <c r="E34" s="216"/>
      <c r="F34" s="216"/>
      <c r="G34" s="216"/>
      <c r="H34" s="216"/>
      <c r="I34" s="216"/>
      <c r="J34" s="216"/>
      <c r="K34" s="216"/>
      <c r="L34" s="216"/>
      <c r="M34" s="216"/>
      <c r="N34" s="216"/>
    </row>
    <row r="35" spans="1:14" x14ac:dyDescent="0.25">
      <c r="A35" s="215"/>
      <c r="B35" s="215"/>
      <c r="C35" s="215"/>
      <c r="D35" s="215"/>
      <c r="E35" s="216"/>
      <c r="F35" s="216"/>
      <c r="G35" s="216"/>
      <c r="H35" s="216"/>
      <c r="I35" s="216"/>
      <c r="J35" s="216"/>
      <c r="K35" s="216"/>
      <c r="L35" s="216"/>
      <c r="M35" s="216"/>
      <c r="N35" s="216"/>
    </row>
    <row r="36" spans="1:14" x14ac:dyDescent="0.25">
      <c r="A36" s="215"/>
      <c r="B36" s="215"/>
      <c r="C36" s="215"/>
      <c r="D36" s="215"/>
      <c r="E36" s="216"/>
      <c r="F36" s="216"/>
      <c r="G36" s="216"/>
      <c r="H36" s="216"/>
      <c r="I36" s="216"/>
      <c r="J36" s="216"/>
      <c r="K36" s="216"/>
      <c r="L36" s="216"/>
      <c r="M36" s="216"/>
      <c r="N36" s="216"/>
    </row>
    <row r="37" spans="1:14" x14ac:dyDescent="0.25">
      <c r="A37" s="215"/>
      <c r="B37" s="215"/>
      <c r="C37" s="215"/>
      <c r="D37" s="215"/>
      <c r="E37" s="216"/>
      <c r="F37" s="216"/>
      <c r="G37" s="216"/>
      <c r="H37" s="216"/>
      <c r="I37" s="216"/>
      <c r="J37" s="216"/>
      <c r="K37" s="216"/>
      <c r="L37" s="216"/>
      <c r="M37" s="216"/>
      <c r="N37" s="216"/>
    </row>
    <row r="38" spans="1:14" x14ac:dyDescent="0.25">
      <c r="A38" s="215"/>
      <c r="B38" s="215"/>
      <c r="C38" s="215"/>
      <c r="D38" s="215"/>
      <c r="E38" s="216"/>
      <c r="F38" s="216"/>
      <c r="G38" s="216"/>
      <c r="H38" s="216"/>
      <c r="I38" s="216"/>
      <c r="J38" s="216"/>
      <c r="K38" s="216"/>
      <c r="L38" s="216"/>
      <c r="M38" s="216"/>
      <c r="N38" s="216"/>
    </row>
    <row r="39" spans="1:14" x14ac:dyDescent="0.25">
      <c r="A39" s="215"/>
      <c r="B39" s="215"/>
      <c r="C39" s="215"/>
      <c r="D39" s="215"/>
      <c r="E39" s="216"/>
      <c r="F39" s="216"/>
      <c r="G39" s="216"/>
      <c r="H39" s="216"/>
      <c r="I39" s="216"/>
      <c r="J39" s="216"/>
      <c r="K39" s="216"/>
      <c r="L39" s="216"/>
      <c r="M39" s="216"/>
      <c r="N39" s="216"/>
    </row>
    <row r="40" spans="1:14" x14ac:dyDescent="0.25">
      <c r="A40" s="215"/>
      <c r="B40" s="215"/>
      <c r="C40" s="215"/>
      <c r="D40" s="215"/>
      <c r="E40" s="216"/>
      <c r="F40" s="216"/>
      <c r="G40" s="216"/>
      <c r="H40" s="216"/>
      <c r="I40" s="216"/>
      <c r="J40" s="216"/>
      <c r="K40" s="216"/>
      <c r="L40" s="216"/>
      <c r="M40" s="216"/>
      <c r="N40" s="216"/>
    </row>
    <row r="41" spans="1:14" x14ac:dyDescent="0.25">
      <c r="A41" s="215"/>
      <c r="B41" s="215"/>
      <c r="C41" s="215"/>
      <c r="D41" s="215"/>
      <c r="E41" s="216"/>
      <c r="F41" s="216"/>
      <c r="G41" s="216"/>
      <c r="H41" s="216"/>
      <c r="I41" s="216"/>
      <c r="J41" s="216"/>
      <c r="K41" s="216"/>
      <c r="L41" s="216"/>
      <c r="M41" s="216"/>
      <c r="N41" s="216"/>
    </row>
    <row r="42" spans="1:14" x14ac:dyDescent="0.25">
      <c r="A42" s="215"/>
      <c r="B42" s="215"/>
      <c r="C42" s="215"/>
      <c r="D42" s="215"/>
      <c r="E42" s="216"/>
      <c r="F42" s="216"/>
      <c r="G42" s="216"/>
      <c r="H42" s="216"/>
      <c r="I42" s="216"/>
      <c r="J42" s="216"/>
      <c r="K42" s="216"/>
      <c r="L42" s="216"/>
      <c r="M42" s="216"/>
      <c r="N42" s="216"/>
    </row>
    <row r="43" spans="1:14" x14ac:dyDescent="0.25">
      <c r="A43" s="215"/>
      <c r="B43" s="215"/>
      <c r="C43" s="215"/>
      <c r="D43" s="215"/>
      <c r="E43" s="216"/>
      <c r="F43" s="216"/>
      <c r="G43" s="216"/>
      <c r="H43" s="216"/>
      <c r="I43" s="216"/>
      <c r="J43" s="216"/>
      <c r="K43" s="216"/>
      <c r="L43" s="216"/>
      <c r="M43" s="216"/>
      <c r="N43" s="216"/>
    </row>
    <row r="44" spans="1:14" x14ac:dyDescent="0.25">
      <c r="A44" s="215"/>
      <c r="B44" s="215"/>
      <c r="C44" s="215"/>
      <c r="D44" s="215"/>
      <c r="E44" s="216"/>
      <c r="F44" s="216"/>
      <c r="G44" s="216"/>
      <c r="H44" s="216"/>
      <c r="I44" s="216"/>
      <c r="J44" s="216"/>
      <c r="K44" s="216"/>
      <c r="L44" s="216"/>
      <c r="M44" s="216"/>
      <c r="N44" s="216"/>
    </row>
    <row r="45" spans="1:14" x14ac:dyDescent="0.25">
      <c r="A45" s="215"/>
      <c r="B45" s="215"/>
      <c r="C45" s="215"/>
      <c r="D45" s="215"/>
      <c r="E45" s="216"/>
      <c r="F45" s="216"/>
      <c r="G45" s="216"/>
      <c r="H45" s="216"/>
      <c r="I45" s="216"/>
      <c r="J45" s="216"/>
      <c r="K45" s="216"/>
      <c r="L45" s="216"/>
      <c r="M45" s="216"/>
      <c r="N45" s="216"/>
    </row>
    <row r="46" spans="1:14" x14ac:dyDescent="0.25">
      <c r="A46" s="215"/>
      <c r="B46" s="215"/>
      <c r="C46" s="215"/>
      <c r="D46" s="215"/>
      <c r="E46" s="216"/>
      <c r="F46" s="216"/>
      <c r="G46" s="216"/>
      <c r="H46" s="216"/>
      <c r="I46" s="216"/>
      <c r="J46" s="216"/>
      <c r="K46" s="216"/>
      <c r="L46" s="216"/>
      <c r="M46" s="216"/>
      <c r="N46" s="216"/>
    </row>
    <row r="47" spans="1:14" x14ac:dyDescent="0.25">
      <c r="A47" s="215"/>
      <c r="B47" s="215"/>
      <c r="C47" s="215"/>
      <c r="D47" s="215"/>
      <c r="E47" s="216"/>
      <c r="F47" s="216"/>
      <c r="G47" s="216"/>
      <c r="H47" s="216"/>
      <c r="I47" s="216"/>
      <c r="J47" s="216"/>
      <c r="K47" s="216"/>
      <c r="L47" s="216"/>
      <c r="M47" s="216"/>
      <c r="N47" s="216"/>
    </row>
    <row r="48" spans="1:14" x14ac:dyDescent="0.25">
      <c r="A48" s="215"/>
      <c r="B48" s="215"/>
      <c r="C48" s="215"/>
      <c r="D48" s="215"/>
      <c r="E48" s="216"/>
      <c r="F48" s="216"/>
      <c r="G48" s="216"/>
      <c r="H48" s="216"/>
      <c r="I48" s="216"/>
      <c r="J48" s="216"/>
      <c r="K48" s="216"/>
      <c r="L48" s="216"/>
      <c r="M48" s="216"/>
      <c r="N48" s="216"/>
    </row>
    <row r="49" spans="1:14" x14ac:dyDescent="0.25">
      <c r="A49" s="215"/>
      <c r="B49" s="215"/>
      <c r="C49" s="215"/>
      <c r="D49" s="215"/>
      <c r="E49" s="216"/>
      <c r="F49" s="216"/>
      <c r="G49" s="216"/>
      <c r="H49" s="216"/>
      <c r="I49" s="216"/>
      <c r="J49" s="216"/>
      <c r="K49" s="216"/>
      <c r="L49" s="216"/>
      <c r="M49" s="216"/>
      <c r="N49" s="216"/>
    </row>
    <row r="50" spans="1:14" x14ac:dyDescent="0.25">
      <c r="A50" s="215"/>
      <c r="B50" s="215"/>
      <c r="C50" s="215"/>
      <c r="D50" s="215"/>
      <c r="E50" s="216"/>
      <c r="F50" s="216"/>
      <c r="G50" s="216"/>
      <c r="H50" s="216"/>
      <c r="I50" s="216"/>
      <c r="J50" s="216"/>
      <c r="K50" s="216"/>
      <c r="L50" s="216"/>
      <c r="M50" s="216"/>
      <c r="N50" s="216"/>
    </row>
  </sheetData>
  <pageMargins left="0.70866141732283472" right="0.70866141732283472" top="0.78740157480314965" bottom="0.78740157480314965" header="0.31496062992125984" footer="0.31496062992125984"/>
  <pageSetup paperSize="9" scale="32" orientation="landscape" r:id="rId1"/>
  <headerFooter>
    <oddHeader>&amp;CIFMA Schweiz</oddHeader>
    <oddFooter>&amp;L&amp;"Aptos Narrow,Standard"Data_Template_Flächenmanagement&amp;ROkt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16</vt:i4>
      </vt:variant>
    </vt:vector>
  </HeadingPairs>
  <TitlesOfParts>
    <vt:vector size="28" baseType="lpstr">
      <vt:lpstr>Impressum</vt:lpstr>
      <vt:lpstr>Anleitung</vt:lpstr>
      <vt:lpstr>Header</vt:lpstr>
      <vt:lpstr>Classes</vt:lpstr>
      <vt:lpstr>Properties</vt:lpstr>
      <vt:lpstr>Values</vt:lpstr>
      <vt:lpstr>Documents</vt:lpstr>
      <vt:lpstr>GroupOfProperties</vt:lpstr>
      <vt:lpstr>Data_Template</vt:lpstr>
      <vt:lpstr>Gelöschte Bauteile</vt:lpstr>
      <vt:lpstr>Use Cases</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Thomas Glättli</cp:lastModifiedBy>
  <cp:lastPrinted>2026-09-24T13:58:55Z</cp:lastPrinted>
  <dcterms:created xsi:type="dcterms:W3CDTF">2024-10-08T09:18:01Z</dcterms:created>
  <dcterms:modified xsi:type="dcterms:W3CDTF">2026-09-24T14:44:51Z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